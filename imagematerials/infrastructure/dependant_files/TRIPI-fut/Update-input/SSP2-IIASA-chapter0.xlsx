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E1B31A3D-9909-4ADA-B0D5-BE43C57D0AE7}" xr6:coauthVersionLast="47" xr6:coauthVersionMax="47" xr10:uidLastSave="{00000000-0000-0000-0000-000000000000}"/>
  <bookViews>
    <workbookView xWindow="-120" yWindow="-120" windowWidth="38640" windowHeight="21120" activeTab="1" xr2:uid="{9C857677-CA12-41C1-9B79-EBB60B481FE3}"/>
  </bookViews>
  <sheets>
    <sheet name="Urban population" sheetId="1" r:id="rId1"/>
    <sheet name="Rural population" sheetId="2" r:id="rId2"/>
    <sheet name="GDP" sheetId="4" r:id="rId3"/>
    <sheet name="GDP-cap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0" i="2" l="1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" i="1"/>
  <c r="D150" i="2"/>
  <c r="D15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6" i="2"/>
  <c r="D87" i="2"/>
  <c r="D88" i="2"/>
  <c r="D89" i="2"/>
  <c r="D90" i="2"/>
  <c r="D91" i="2"/>
  <c r="D92" i="2"/>
  <c r="D93" i="2"/>
  <c r="D94" i="2"/>
  <c r="D96" i="2"/>
  <c r="D97" i="2"/>
  <c r="D99" i="2"/>
  <c r="D101" i="2"/>
  <c r="D102" i="2"/>
  <c r="D10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7" i="2"/>
  <c r="D148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9" i="2"/>
  <c r="D170" i="2"/>
  <c r="D171" i="2"/>
  <c r="D172" i="2"/>
  <c r="D174" i="2"/>
  <c r="D175" i="2"/>
  <c r="D176" i="2"/>
  <c r="D177" i="2"/>
  <c r="D178" i="2"/>
  <c r="D179" i="2"/>
  <c r="D180" i="2"/>
  <c r="D181" i="2"/>
  <c r="D182" i="2"/>
  <c r="D184" i="2"/>
  <c r="D185" i="2"/>
  <c r="D186" i="2"/>
  <c r="D187" i="2"/>
  <c r="D188" i="2"/>
  <c r="D189" i="2"/>
  <c r="D190" i="2"/>
  <c r="D191" i="2"/>
  <c r="D195" i="2"/>
  <c r="D196" i="2"/>
  <c r="D198" i="2"/>
  <c r="D199" i="2"/>
  <c r="D200" i="2"/>
  <c r="D2" i="2"/>
  <c r="E187" i="4" l="1"/>
  <c r="E194" i="4"/>
  <c r="E195" i="4"/>
  <c r="E196" i="4"/>
  <c r="E197" i="4"/>
  <c r="E198" i="4"/>
  <c r="E199" i="4"/>
  <c r="E200" i="4"/>
  <c r="E201" i="4"/>
  <c r="G20" i="2"/>
  <c r="E20" i="4" s="1"/>
  <c r="G25" i="2"/>
  <c r="E25" i="4" s="1"/>
  <c r="G26" i="2"/>
  <c r="E26" i="4" s="1"/>
  <c r="G27" i="2"/>
  <c r="E27" i="4" s="1"/>
  <c r="G31" i="2"/>
  <c r="E31" i="4" s="1"/>
  <c r="G34" i="2"/>
  <c r="E34" i="4" s="1"/>
  <c r="E36" i="4"/>
  <c r="E37" i="4"/>
  <c r="G39" i="2"/>
  <c r="E39" i="4" s="1"/>
  <c r="G40" i="2"/>
  <c r="E40" i="4" s="1"/>
  <c r="G43" i="2"/>
  <c r="G45" i="2"/>
  <c r="E44" i="4" s="1"/>
  <c r="G49" i="2"/>
  <c r="E48" i="4" s="1"/>
  <c r="G54" i="2"/>
  <c r="E53" i="4" s="1"/>
  <c r="G61" i="2"/>
  <c r="E60" i="4" s="1"/>
  <c r="G63" i="2"/>
  <c r="E62" i="4" s="1"/>
  <c r="G67" i="2"/>
  <c r="G72" i="2"/>
  <c r="E70" i="4" s="1"/>
  <c r="G74" i="2"/>
  <c r="E72" i="4" s="1"/>
  <c r="G75" i="2"/>
  <c r="E73" i="4" s="1"/>
  <c r="G97" i="2"/>
  <c r="E95" i="4" s="1"/>
  <c r="G114" i="2"/>
  <c r="E112" i="4" s="1"/>
  <c r="G116" i="2"/>
  <c r="E114" i="4" s="1"/>
  <c r="G145" i="2"/>
  <c r="E142" i="4" s="1"/>
  <c r="G150" i="2"/>
  <c r="E146" i="4" s="1"/>
  <c r="G152" i="2"/>
  <c r="E149" i="4"/>
  <c r="G160" i="2"/>
  <c r="E155" i="4" s="1"/>
  <c r="E166" i="4"/>
  <c r="G172" i="2"/>
  <c r="E167" i="4" s="1"/>
  <c r="G180" i="2"/>
  <c r="E174" i="4" s="1"/>
  <c r="G181" i="2"/>
  <c r="E175" i="4" s="1"/>
  <c r="G193" i="2"/>
  <c r="E186" i="4" s="1"/>
  <c r="G195" i="2"/>
  <c r="E188" i="4" s="1"/>
  <c r="G196" i="2"/>
  <c r="E189" i="4" s="1"/>
  <c r="G2" i="2"/>
  <c r="E2" i="4" s="1"/>
  <c r="G3" i="1"/>
  <c r="G3" i="2" s="1"/>
  <c r="E3" i="4" s="1"/>
  <c r="G4" i="1"/>
  <c r="G4" i="2" s="1"/>
  <c r="E4" i="4" s="1"/>
  <c r="G5" i="1"/>
  <c r="G5" i="2" s="1"/>
  <c r="E5" i="4" s="1"/>
  <c r="G6" i="1"/>
  <c r="G6" i="2" s="1"/>
  <c r="E6" i="4" s="1"/>
  <c r="G7" i="1"/>
  <c r="G7" i="2" s="1"/>
  <c r="E7" i="4" s="1"/>
  <c r="G8" i="1"/>
  <c r="G8" i="2" s="1"/>
  <c r="E8" i="4" s="1"/>
  <c r="G9" i="1"/>
  <c r="G9" i="2" s="1"/>
  <c r="E9" i="4" s="1"/>
  <c r="G10" i="1"/>
  <c r="G10" i="2" s="1"/>
  <c r="E10" i="4" s="1"/>
  <c r="G11" i="1"/>
  <c r="G11" i="2" s="1"/>
  <c r="E11" i="4" s="1"/>
  <c r="G12" i="1"/>
  <c r="G12" i="2" s="1"/>
  <c r="E12" i="4" s="1"/>
  <c r="G13" i="1"/>
  <c r="G13" i="2" s="1"/>
  <c r="E13" i="4" s="1"/>
  <c r="G14" i="1"/>
  <c r="G14" i="2" s="1"/>
  <c r="E14" i="4" s="1"/>
  <c r="G15" i="1"/>
  <c r="G15" i="2" s="1"/>
  <c r="E15" i="4" s="1"/>
  <c r="G16" i="1"/>
  <c r="G16" i="2" s="1"/>
  <c r="E16" i="4" s="1"/>
  <c r="G17" i="1"/>
  <c r="G17" i="2" s="1"/>
  <c r="E17" i="4" s="1"/>
  <c r="G18" i="1"/>
  <c r="G18" i="2" s="1"/>
  <c r="E18" i="4" s="1"/>
  <c r="G19" i="1"/>
  <c r="G19" i="2" s="1"/>
  <c r="E19" i="4" s="1"/>
  <c r="G21" i="1"/>
  <c r="G21" i="2" s="1"/>
  <c r="E21" i="4" s="1"/>
  <c r="G22" i="1"/>
  <c r="G22" i="2" s="1"/>
  <c r="E22" i="4" s="1"/>
  <c r="G23" i="1"/>
  <c r="G23" i="2" s="1"/>
  <c r="E23" i="4" s="1"/>
  <c r="G24" i="1"/>
  <c r="G24" i="2" s="1"/>
  <c r="E24" i="4" s="1"/>
  <c r="G28" i="1"/>
  <c r="G28" i="2" s="1"/>
  <c r="E28" i="4" s="1"/>
  <c r="G29" i="1"/>
  <c r="G29" i="2" s="1"/>
  <c r="E29" i="4" s="1"/>
  <c r="G30" i="1"/>
  <c r="G30" i="2" s="1"/>
  <c r="E30" i="4" s="1"/>
  <c r="G31" i="1"/>
  <c r="G32" i="1"/>
  <c r="G32" i="2" s="1"/>
  <c r="E32" i="4" s="1"/>
  <c r="G33" i="1"/>
  <c r="G33" i="2" s="1"/>
  <c r="E33" i="4" s="1"/>
  <c r="G35" i="1"/>
  <c r="G35" i="2" s="1"/>
  <c r="E35" i="4" s="1"/>
  <c r="G38" i="1"/>
  <c r="G38" i="2" s="1"/>
  <c r="E38" i="4" s="1"/>
  <c r="G41" i="1"/>
  <c r="G41" i="2" s="1"/>
  <c r="E41" i="4" s="1"/>
  <c r="G42" i="1"/>
  <c r="G42" i="2" s="1"/>
  <c r="E42" i="4" s="1"/>
  <c r="G44" i="1"/>
  <c r="G44" i="2" s="1"/>
  <c r="E43" i="4" s="1"/>
  <c r="G46" i="1"/>
  <c r="G46" i="2" s="1"/>
  <c r="E45" i="4" s="1"/>
  <c r="G47" i="1"/>
  <c r="G47" i="2" s="1"/>
  <c r="E46" i="4" s="1"/>
  <c r="G48" i="1"/>
  <c r="G48" i="2" s="1"/>
  <c r="E47" i="4" s="1"/>
  <c r="G50" i="1"/>
  <c r="G50" i="2" s="1"/>
  <c r="E49" i="4" s="1"/>
  <c r="G51" i="1"/>
  <c r="G51" i="2" s="1"/>
  <c r="E50" i="4" s="1"/>
  <c r="G52" i="1"/>
  <c r="G52" i="2" s="1"/>
  <c r="E51" i="4" s="1"/>
  <c r="G53" i="1"/>
  <c r="G53" i="2" s="1"/>
  <c r="E52" i="4" s="1"/>
  <c r="G55" i="1"/>
  <c r="G55" i="2" s="1"/>
  <c r="E54" i="4" s="1"/>
  <c r="G56" i="1"/>
  <c r="G56" i="2" s="1"/>
  <c r="E55" i="4" s="1"/>
  <c r="G57" i="1"/>
  <c r="G57" i="2" s="1"/>
  <c r="E56" i="4" s="1"/>
  <c r="G58" i="1"/>
  <c r="G58" i="2" s="1"/>
  <c r="E57" i="4" s="1"/>
  <c r="G59" i="1"/>
  <c r="G59" i="2" s="1"/>
  <c r="E58" i="4" s="1"/>
  <c r="G60" i="1"/>
  <c r="G60" i="2" s="1"/>
  <c r="E59" i="4" s="1"/>
  <c r="G62" i="1"/>
  <c r="G62" i="2" s="1"/>
  <c r="E61" i="4" s="1"/>
  <c r="G64" i="1"/>
  <c r="G64" i="2" s="1"/>
  <c r="E63" i="4" s="1"/>
  <c r="G65" i="1"/>
  <c r="G65" i="2" s="1"/>
  <c r="E64" i="4" s="1"/>
  <c r="G66" i="1"/>
  <c r="G66" i="2" s="1"/>
  <c r="E65" i="4" s="1"/>
  <c r="G68" i="1"/>
  <c r="G68" i="2" s="1"/>
  <c r="E66" i="4" s="1"/>
  <c r="G69" i="1"/>
  <c r="G69" i="2" s="1"/>
  <c r="E67" i="4" s="1"/>
  <c r="G70" i="1"/>
  <c r="G70" i="2" s="1"/>
  <c r="E68" i="4" s="1"/>
  <c r="G71" i="1"/>
  <c r="G71" i="2" s="1"/>
  <c r="E69" i="4" s="1"/>
  <c r="G73" i="1"/>
  <c r="G73" i="2" s="1"/>
  <c r="E71" i="4" s="1"/>
  <c r="G76" i="1"/>
  <c r="G76" i="2" s="1"/>
  <c r="E74" i="4" s="1"/>
  <c r="G77" i="1"/>
  <c r="G77" i="2" s="1"/>
  <c r="E75" i="4" s="1"/>
  <c r="G78" i="1"/>
  <c r="G78" i="2" s="1"/>
  <c r="E76" i="4" s="1"/>
  <c r="G79" i="1"/>
  <c r="G79" i="2" s="1"/>
  <c r="E77" i="4" s="1"/>
  <c r="G80" i="1"/>
  <c r="G80" i="2" s="1"/>
  <c r="E78" i="4" s="1"/>
  <c r="G81" i="1"/>
  <c r="G81" i="2" s="1"/>
  <c r="E79" i="4" s="1"/>
  <c r="G82" i="1"/>
  <c r="G82" i="2" s="1"/>
  <c r="E80" i="4" s="1"/>
  <c r="G83" i="1"/>
  <c r="G83" i="2" s="1"/>
  <c r="E81" i="4" s="1"/>
  <c r="G84" i="1"/>
  <c r="G84" i="2" s="1"/>
  <c r="E82" i="4" s="1"/>
  <c r="G85" i="1"/>
  <c r="G85" i="2" s="1"/>
  <c r="E83" i="4" s="1"/>
  <c r="G86" i="1"/>
  <c r="G86" i="2" s="1"/>
  <c r="E84" i="4" s="1"/>
  <c r="G87" i="1"/>
  <c r="G87" i="2" s="1"/>
  <c r="E85" i="4" s="1"/>
  <c r="G88" i="1"/>
  <c r="G88" i="2" s="1"/>
  <c r="E86" i="4" s="1"/>
  <c r="G89" i="1"/>
  <c r="G89" i="2" s="1"/>
  <c r="E87" i="4" s="1"/>
  <c r="G90" i="1"/>
  <c r="G90" i="2" s="1"/>
  <c r="E88" i="4" s="1"/>
  <c r="G91" i="1"/>
  <c r="G91" i="2" s="1"/>
  <c r="E89" i="4" s="1"/>
  <c r="G92" i="1"/>
  <c r="G92" i="2" s="1"/>
  <c r="E90" i="4" s="1"/>
  <c r="G93" i="1"/>
  <c r="G93" i="2" s="1"/>
  <c r="E91" i="4" s="1"/>
  <c r="G94" i="1"/>
  <c r="G94" i="2" s="1"/>
  <c r="E92" i="4" s="1"/>
  <c r="G95" i="1"/>
  <c r="G95" i="2" s="1"/>
  <c r="E93" i="4" s="1"/>
  <c r="G96" i="1"/>
  <c r="G96" i="2" s="1"/>
  <c r="E94" i="4" s="1"/>
  <c r="G98" i="1"/>
  <c r="G98" i="2" s="1"/>
  <c r="E96" i="4" s="1"/>
  <c r="G99" i="1"/>
  <c r="G99" i="2" s="1"/>
  <c r="E97" i="4" s="1"/>
  <c r="G100" i="1"/>
  <c r="G100" i="2" s="1"/>
  <c r="E98" i="4" s="1"/>
  <c r="G101" i="1"/>
  <c r="G101" i="2" s="1"/>
  <c r="E99" i="4" s="1"/>
  <c r="G102" i="1"/>
  <c r="G102" i="2" s="1"/>
  <c r="E100" i="4" s="1"/>
  <c r="G103" i="1"/>
  <c r="G103" i="2" s="1"/>
  <c r="E101" i="4" s="1"/>
  <c r="G104" i="1"/>
  <c r="G104" i="2" s="1"/>
  <c r="E102" i="4" s="1"/>
  <c r="G105" i="1"/>
  <c r="G105" i="2" s="1"/>
  <c r="E103" i="4" s="1"/>
  <c r="G106" i="1"/>
  <c r="G106" i="2" s="1"/>
  <c r="E104" i="4" s="1"/>
  <c r="G107" i="1"/>
  <c r="G107" i="2" s="1"/>
  <c r="E105" i="4" s="1"/>
  <c r="G108" i="1"/>
  <c r="G108" i="2" s="1"/>
  <c r="E106" i="4" s="1"/>
  <c r="G109" i="1"/>
  <c r="G109" i="2" s="1"/>
  <c r="E107" i="4" s="1"/>
  <c r="G110" i="1"/>
  <c r="G110" i="2" s="1"/>
  <c r="E108" i="4" s="1"/>
  <c r="G111" i="1"/>
  <c r="G111" i="2" s="1"/>
  <c r="E109" i="4" s="1"/>
  <c r="G112" i="1"/>
  <c r="G112" i="2" s="1"/>
  <c r="E110" i="4" s="1"/>
  <c r="G113" i="1"/>
  <c r="G113" i="2" s="1"/>
  <c r="E111" i="4" s="1"/>
  <c r="G115" i="1"/>
  <c r="G115" i="2" s="1"/>
  <c r="E113" i="4" s="1"/>
  <c r="G117" i="1"/>
  <c r="G117" i="2" s="1"/>
  <c r="E115" i="4" s="1"/>
  <c r="G118" i="1"/>
  <c r="G118" i="2" s="1"/>
  <c r="E116" i="4" s="1"/>
  <c r="G119" i="1"/>
  <c r="G119" i="2" s="1"/>
  <c r="E117" i="4" s="1"/>
  <c r="G120" i="1"/>
  <c r="G120" i="2" s="1"/>
  <c r="E118" i="4" s="1"/>
  <c r="G121" i="1"/>
  <c r="G121" i="2" s="1"/>
  <c r="E119" i="4" s="1"/>
  <c r="G122" i="1"/>
  <c r="G122" i="2" s="1"/>
  <c r="E120" i="4" s="1"/>
  <c r="G123" i="1"/>
  <c r="G123" i="2" s="1"/>
  <c r="E121" i="4" s="1"/>
  <c r="G124" i="1"/>
  <c r="G124" i="2" s="1"/>
  <c r="G125" i="1"/>
  <c r="G125" i="2" s="1"/>
  <c r="E122" i="4" s="1"/>
  <c r="G126" i="1"/>
  <c r="G126" i="2" s="1"/>
  <c r="E123" i="4" s="1"/>
  <c r="G127" i="1"/>
  <c r="G127" i="2" s="1"/>
  <c r="E124" i="4" s="1"/>
  <c r="G128" i="1"/>
  <c r="G128" i="2" s="1"/>
  <c r="E125" i="4" s="1"/>
  <c r="G129" i="1"/>
  <c r="G129" i="2" s="1"/>
  <c r="E126" i="4" s="1"/>
  <c r="G130" i="1"/>
  <c r="G130" i="2" s="1"/>
  <c r="E127" i="4" s="1"/>
  <c r="G131" i="1"/>
  <c r="G131" i="2" s="1"/>
  <c r="E128" i="4" s="1"/>
  <c r="G132" i="1"/>
  <c r="G132" i="2" s="1"/>
  <c r="E129" i="4" s="1"/>
  <c r="G133" i="1"/>
  <c r="G133" i="2" s="1"/>
  <c r="E130" i="4" s="1"/>
  <c r="G134" i="1"/>
  <c r="G134" i="2" s="1"/>
  <c r="E131" i="4" s="1"/>
  <c r="G135" i="1"/>
  <c r="G135" i="2" s="1"/>
  <c r="E132" i="4" s="1"/>
  <c r="G136" i="1"/>
  <c r="G136" i="2" s="1"/>
  <c r="E133" i="4" s="1"/>
  <c r="G137" i="1"/>
  <c r="G137" i="2" s="1"/>
  <c r="E134" i="4" s="1"/>
  <c r="G138" i="1"/>
  <c r="G138" i="2" s="1"/>
  <c r="E135" i="4" s="1"/>
  <c r="G139" i="1"/>
  <c r="G139" i="2" s="1"/>
  <c r="E136" i="4" s="1"/>
  <c r="G140" i="1"/>
  <c r="G140" i="2" s="1"/>
  <c r="E137" i="4" s="1"/>
  <c r="G141" i="1"/>
  <c r="G141" i="2" s="1"/>
  <c r="E138" i="4" s="1"/>
  <c r="G142" i="1"/>
  <c r="G142" i="2" s="1"/>
  <c r="E139" i="4" s="1"/>
  <c r="G143" i="1"/>
  <c r="G143" i="2" s="1"/>
  <c r="E140" i="4" s="1"/>
  <c r="G144" i="1"/>
  <c r="G144" i="2" s="1"/>
  <c r="E141" i="4" s="1"/>
  <c r="G146" i="1"/>
  <c r="G146" i="2" s="1"/>
  <c r="E143" i="4" s="1"/>
  <c r="G147" i="1"/>
  <c r="G147" i="2" s="1"/>
  <c r="E144" i="4" s="1"/>
  <c r="G148" i="1"/>
  <c r="G148" i="2" s="1"/>
  <c r="E145" i="4" s="1"/>
  <c r="G149" i="1"/>
  <c r="G149" i="2" s="1"/>
  <c r="G151" i="1"/>
  <c r="G151" i="2" s="1"/>
  <c r="E147" i="4" s="1"/>
  <c r="G152" i="1"/>
  <c r="G153" i="1"/>
  <c r="G153" i="2" s="1"/>
  <c r="E148" i="4" s="1"/>
  <c r="G154" i="1"/>
  <c r="G155" i="1"/>
  <c r="G155" i="2" s="1"/>
  <c r="E150" i="4" s="1"/>
  <c r="G156" i="1"/>
  <c r="G156" i="2" s="1"/>
  <c r="E151" i="4" s="1"/>
  <c r="G157" i="1"/>
  <c r="G157" i="2" s="1"/>
  <c r="E152" i="4" s="1"/>
  <c r="G158" i="1"/>
  <c r="G158" i="2" s="1"/>
  <c r="E153" i="4" s="1"/>
  <c r="G159" i="1"/>
  <c r="G159" i="2" s="1"/>
  <c r="E154" i="4" s="1"/>
  <c r="G161" i="1"/>
  <c r="G161" i="2" s="1"/>
  <c r="E156" i="4" s="1"/>
  <c r="G162" i="1"/>
  <c r="G162" i="2" s="1"/>
  <c r="E157" i="4" s="1"/>
  <c r="G163" i="1"/>
  <c r="G163" i="2" s="1"/>
  <c r="E158" i="4" s="1"/>
  <c r="G164" i="1"/>
  <c r="G164" i="2" s="1"/>
  <c r="E159" i="4" s="1"/>
  <c r="G165" i="1"/>
  <c r="G165" i="2" s="1"/>
  <c r="E160" i="4" s="1"/>
  <c r="G166" i="1"/>
  <c r="G166" i="2" s="1"/>
  <c r="E161" i="4" s="1"/>
  <c r="G167" i="1"/>
  <c r="G167" i="2" s="1"/>
  <c r="E162" i="4" s="1"/>
  <c r="G168" i="1"/>
  <c r="G168" i="2" s="1"/>
  <c r="E163" i="4" s="1"/>
  <c r="G169" i="1"/>
  <c r="G169" i="2" s="1"/>
  <c r="E164" i="4" s="1"/>
  <c r="G170" i="1"/>
  <c r="G170" i="2" s="1"/>
  <c r="E165" i="4" s="1"/>
  <c r="G173" i="1"/>
  <c r="G173" i="2" s="1"/>
  <c r="G174" i="1"/>
  <c r="G174" i="2" s="1"/>
  <c r="E168" i="4" s="1"/>
  <c r="G175" i="1"/>
  <c r="G175" i="2" s="1"/>
  <c r="E169" i="4" s="1"/>
  <c r="G176" i="1"/>
  <c r="G176" i="2" s="1"/>
  <c r="E170" i="4" s="1"/>
  <c r="G177" i="1"/>
  <c r="G177" i="2" s="1"/>
  <c r="E171" i="4" s="1"/>
  <c r="G178" i="1"/>
  <c r="G178" i="2" s="1"/>
  <c r="E172" i="4" s="1"/>
  <c r="G179" i="1"/>
  <c r="G179" i="2" s="1"/>
  <c r="E173" i="4" s="1"/>
  <c r="G182" i="1"/>
  <c r="G182" i="2" s="1"/>
  <c r="E176" i="4" s="1"/>
  <c r="G183" i="1"/>
  <c r="G183" i="2" s="1"/>
  <c r="E177" i="4" s="1"/>
  <c r="G184" i="1"/>
  <c r="G184" i="2" s="1"/>
  <c r="E178" i="4" s="1"/>
  <c r="G185" i="1"/>
  <c r="G185" i="2" s="1"/>
  <c r="E179" i="4" s="1"/>
  <c r="G186" i="1"/>
  <c r="G186" i="2" s="1"/>
  <c r="E180" i="4" s="1"/>
  <c r="G187" i="1"/>
  <c r="G187" i="2" s="1"/>
  <c r="E181" i="4" s="1"/>
  <c r="G188" i="1"/>
  <c r="G188" i="2" s="1"/>
  <c r="E182" i="4" s="1"/>
  <c r="G189" i="1"/>
  <c r="G189" i="2" s="1"/>
  <c r="E183" i="4" s="1"/>
  <c r="G190" i="1"/>
  <c r="G190" i="2" s="1"/>
  <c r="E184" i="4" s="1"/>
  <c r="G191" i="1"/>
  <c r="G191" i="2" s="1"/>
  <c r="E185" i="4" s="1"/>
  <c r="G192" i="1"/>
  <c r="G192" i="2" s="1"/>
  <c r="G194" i="1"/>
  <c r="G197" i="1"/>
  <c r="G197" i="2" s="1"/>
  <c r="E190" i="4" s="1"/>
  <c r="G198" i="1"/>
  <c r="G198" i="2" s="1"/>
  <c r="E191" i="4" s="1"/>
  <c r="G199" i="1"/>
  <c r="G199" i="2" s="1"/>
  <c r="E192" i="4" s="1"/>
  <c r="G200" i="1"/>
  <c r="G200" i="2" s="1"/>
  <c r="E193" i="4" s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J2" i="1"/>
  <c r="J2" i="2" s="1"/>
  <c r="K2" i="1"/>
  <c r="K2" i="2" s="1"/>
  <c r="L2" i="1"/>
  <c r="L2" i="2" s="1"/>
  <c r="M2" i="1"/>
  <c r="M2" i="2" s="1"/>
  <c r="N2" i="1"/>
  <c r="N2" i="2" s="1"/>
  <c r="O2" i="1"/>
  <c r="O2" i="2" s="1"/>
  <c r="P2" i="1"/>
  <c r="P2" i="2" s="1"/>
  <c r="Q2" i="1"/>
  <c r="Q2" i="2" s="1"/>
  <c r="R2" i="1"/>
  <c r="R2" i="2" s="1"/>
  <c r="S2" i="1"/>
  <c r="S2" i="2" s="1"/>
  <c r="T2" i="1"/>
  <c r="T2" i="2" s="1"/>
  <c r="U2" i="1"/>
  <c r="U2" i="2" s="1"/>
  <c r="V2" i="1"/>
  <c r="V2" i="2" s="1"/>
  <c r="W2" i="1"/>
  <c r="W2" i="2" s="1"/>
  <c r="X2" i="1"/>
  <c r="X2" i="2" s="1"/>
  <c r="Y2" i="1"/>
  <c r="Y2" i="2" s="1"/>
  <c r="Z2" i="1"/>
  <c r="Z2" i="2" s="1"/>
  <c r="AA2" i="1"/>
  <c r="AA2" i="2" s="1"/>
  <c r="AB2" i="1"/>
  <c r="AB2" i="2" s="1"/>
  <c r="AC2" i="1"/>
  <c r="AC2" i="2" s="1"/>
  <c r="AD2" i="1"/>
  <c r="AD2" i="2" s="1"/>
  <c r="AE2" i="1"/>
  <c r="AE2" i="2" s="1"/>
  <c r="AF2" i="1"/>
  <c r="AF2" i="2" s="1"/>
  <c r="AG2" i="1"/>
  <c r="AG2" i="2" s="1"/>
  <c r="AH2" i="1"/>
  <c r="AH2" i="2" s="1"/>
  <c r="AI2" i="1"/>
  <c r="AI2" i="2" s="1"/>
  <c r="AJ2" i="1"/>
  <c r="AJ2" i="2" s="1"/>
  <c r="AK2" i="1"/>
  <c r="AK2" i="2" s="1"/>
  <c r="AL2" i="1"/>
  <c r="AL2" i="2" s="1"/>
  <c r="AM2" i="1"/>
  <c r="AM2" i="2" s="1"/>
  <c r="J3" i="1"/>
  <c r="J3" i="2" s="1"/>
  <c r="K3" i="1"/>
  <c r="K3" i="2" s="1"/>
  <c r="L3" i="1"/>
  <c r="L3" i="2" s="1"/>
  <c r="M3" i="1"/>
  <c r="M3" i="2" s="1"/>
  <c r="N3" i="1"/>
  <c r="N3" i="2" s="1"/>
  <c r="O3" i="1"/>
  <c r="O3" i="2" s="1"/>
  <c r="P3" i="1"/>
  <c r="P3" i="2" s="1"/>
  <c r="Q3" i="1"/>
  <c r="Q3" i="2" s="1"/>
  <c r="R3" i="1"/>
  <c r="R3" i="2" s="1"/>
  <c r="S3" i="1"/>
  <c r="S3" i="2" s="1"/>
  <c r="T3" i="1"/>
  <c r="T3" i="2" s="1"/>
  <c r="U3" i="1"/>
  <c r="U3" i="2" s="1"/>
  <c r="V3" i="1"/>
  <c r="V3" i="2" s="1"/>
  <c r="W3" i="1"/>
  <c r="W3" i="2" s="1"/>
  <c r="X3" i="1"/>
  <c r="X3" i="2" s="1"/>
  <c r="Y3" i="1"/>
  <c r="Y3" i="2" s="1"/>
  <c r="Z3" i="1"/>
  <c r="Z3" i="2" s="1"/>
  <c r="AA3" i="1"/>
  <c r="AA3" i="2" s="1"/>
  <c r="AB3" i="1"/>
  <c r="AB3" i="2" s="1"/>
  <c r="AC3" i="1"/>
  <c r="AC3" i="2" s="1"/>
  <c r="AD3" i="1"/>
  <c r="AD3" i="2" s="1"/>
  <c r="AE3" i="1"/>
  <c r="AE3" i="2" s="1"/>
  <c r="AF3" i="1"/>
  <c r="AF3" i="2" s="1"/>
  <c r="AG3" i="1"/>
  <c r="AG3" i="2" s="1"/>
  <c r="AH3" i="1"/>
  <c r="AH3" i="2" s="1"/>
  <c r="AI3" i="1"/>
  <c r="AI3" i="2" s="1"/>
  <c r="AJ3" i="1"/>
  <c r="AJ3" i="2" s="1"/>
  <c r="AK3" i="1"/>
  <c r="AK3" i="2" s="1"/>
  <c r="AL3" i="1"/>
  <c r="AL3" i="2" s="1"/>
  <c r="AM3" i="1"/>
  <c r="AM3" i="2" s="1"/>
  <c r="J4" i="1"/>
  <c r="J4" i="2" s="1"/>
  <c r="K4" i="1"/>
  <c r="K4" i="2" s="1"/>
  <c r="L4" i="1"/>
  <c r="L4" i="2" s="1"/>
  <c r="M4" i="1"/>
  <c r="M4" i="2" s="1"/>
  <c r="N4" i="1"/>
  <c r="N4" i="2" s="1"/>
  <c r="O4" i="1"/>
  <c r="O4" i="2" s="1"/>
  <c r="P4" i="1"/>
  <c r="P4" i="2" s="1"/>
  <c r="Q4" i="1"/>
  <c r="Q4" i="2" s="1"/>
  <c r="R4" i="1"/>
  <c r="R4" i="2" s="1"/>
  <c r="S4" i="1"/>
  <c r="S4" i="2" s="1"/>
  <c r="T4" i="1"/>
  <c r="T4" i="2" s="1"/>
  <c r="U4" i="1"/>
  <c r="U4" i="2" s="1"/>
  <c r="V4" i="1"/>
  <c r="V4" i="2" s="1"/>
  <c r="W4" i="1"/>
  <c r="W4" i="2" s="1"/>
  <c r="X4" i="1"/>
  <c r="X4" i="2" s="1"/>
  <c r="Y4" i="1"/>
  <c r="Y4" i="2" s="1"/>
  <c r="Z4" i="1"/>
  <c r="Z4" i="2" s="1"/>
  <c r="AA4" i="1"/>
  <c r="AA4" i="2" s="1"/>
  <c r="AB4" i="1"/>
  <c r="AB4" i="2" s="1"/>
  <c r="AC4" i="1"/>
  <c r="AC4" i="2" s="1"/>
  <c r="AD4" i="1"/>
  <c r="AD4" i="2" s="1"/>
  <c r="AE4" i="1"/>
  <c r="AE4" i="2" s="1"/>
  <c r="AF4" i="1"/>
  <c r="AF4" i="2" s="1"/>
  <c r="AG4" i="1"/>
  <c r="AG4" i="2" s="1"/>
  <c r="AH4" i="1"/>
  <c r="AH4" i="2" s="1"/>
  <c r="AI4" i="1"/>
  <c r="AI4" i="2" s="1"/>
  <c r="AJ4" i="1"/>
  <c r="AJ4" i="2" s="1"/>
  <c r="AK4" i="1"/>
  <c r="AK4" i="2" s="1"/>
  <c r="AL4" i="1"/>
  <c r="AL4" i="2" s="1"/>
  <c r="AM4" i="1"/>
  <c r="AM4" i="2" s="1"/>
  <c r="J5" i="1"/>
  <c r="J5" i="2" s="1"/>
  <c r="K5" i="1"/>
  <c r="K5" i="2" s="1"/>
  <c r="L5" i="1"/>
  <c r="L5" i="2" s="1"/>
  <c r="M5" i="1"/>
  <c r="M5" i="2" s="1"/>
  <c r="N5" i="1"/>
  <c r="N5" i="2" s="1"/>
  <c r="O5" i="1"/>
  <c r="O5" i="2" s="1"/>
  <c r="P5" i="1"/>
  <c r="P5" i="2" s="1"/>
  <c r="Q5" i="1"/>
  <c r="Q5" i="2" s="1"/>
  <c r="R5" i="1"/>
  <c r="R5" i="2" s="1"/>
  <c r="S5" i="1"/>
  <c r="S5" i="2" s="1"/>
  <c r="T5" i="1"/>
  <c r="T5" i="2" s="1"/>
  <c r="U5" i="1"/>
  <c r="U5" i="2" s="1"/>
  <c r="V5" i="1"/>
  <c r="V5" i="2" s="1"/>
  <c r="W5" i="1"/>
  <c r="W5" i="2" s="1"/>
  <c r="X5" i="1"/>
  <c r="X5" i="2" s="1"/>
  <c r="Y5" i="1"/>
  <c r="Y5" i="2" s="1"/>
  <c r="Z5" i="1"/>
  <c r="Z5" i="2" s="1"/>
  <c r="AA5" i="1"/>
  <c r="AA5" i="2" s="1"/>
  <c r="AB5" i="1"/>
  <c r="AB5" i="2" s="1"/>
  <c r="AC5" i="1"/>
  <c r="AC5" i="2" s="1"/>
  <c r="AD5" i="1"/>
  <c r="AD5" i="2" s="1"/>
  <c r="AE5" i="1"/>
  <c r="AE5" i="2" s="1"/>
  <c r="AF5" i="1"/>
  <c r="AF5" i="2" s="1"/>
  <c r="AG5" i="1"/>
  <c r="AG5" i="2" s="1"/>
  <c r="AH5" i="1"/>
  <c r="AH5" i="2" s="1"/>
  <c r="AI5" i="1"/>
  <c r="AI5" i="2" s="1"/>
  <c r="AJ5" i="1"/>
  <c r="AJ5" i="2" s="1"/>
  <c r="AK5" i="1"/>
  <c r="AK5" i="2" s="1"/>
  <c r="AL5" i="1"/>
  <c r="AL5" i="2" s="1"/>
  <c r="AM5" i="1"/>
  <c r="AM5" i="2" s="1"/>
  <c r="J6" i="1"/>
  <c r="J6" i="2" s="1"/>
  <c r="K6" i="1"/>
  <c r="K6" i="2" s="1"/>
  <c r="L6" i="1"/>
  <c r="L6" i="2" s="1"/>
  <c r="M6" i="1"/>
  <c r="M6" i="2" s="1"/>
  <c r="N6" i="1"/>
  <c r="N6" i="2" s="1"/>
  <c r="O6" i="1"/>
  <c r="O6" i="2" s="1"/>
  <c r="P6" i="1"/>
  <c r="P6" i="2" s="1"/>
  <c r="Q6" i="1"/>
  <c r="Q6" i="2" s="1"/>
  <c r="R6" i="1"/>
  <c r="R6" i="2" s="1"/>
  <c r="S6" i="1"/>
  <c r="S6" i="2" s="1"/>
  <c r="T6" i="1"/>
  <c r="T6" i="2" s="1"/>
  <c r="U6" i="1"/>
  <c r="U6" i="2" s="1"/>
  <c r="V6" i="1"/>
  <c r="V6" i="2" s="1"/>
  <c r="W6" i="1"/>
  <c r="W6" i="2" s="1"/>
  <c r="X6" i="1"/>
  <c r="X6" i="2" s="1"/>
  <c r="Y6" i="1"/>
  <c r="Y6" i="2" s="1"/>
  <c r="Z6" i="1"/>
  <c r="Z6" i="2" s="1"/>
  <c r="AA6" i="1"/>
  <c r="AA6" i="2" s="1"/>
  <c r="AB6" i="1"/>
  <c r="AB6" i="2" s="1"/>
  <c r="AC6" i="1"/>
  <c r="AC6" i="2" s="1"/>
  <c r="AD6" i="1"/>
  <c r="AD6" i="2" s="1"/>
  <c r="AE6" i="1"/>
  <c r="AE6" i="2" s="1"/>
  <c r="AF6" i="1"/>
  <c r="AF6" i="2" s="1"/>
  <c r="AG6" i="1"/>
  <c r="AG6" i="2" s="1"/>
  <c r="AH6" i="1"/>
  <c r="AH6" i="2" s="1"/>
  <c r="AI6" i="1"/>
  <c r="AI6" i="2" s="1"/>
  <c r="AJ6" i="1"/>
  <c r="AJ6" i="2" s="1"/>
  <c r="AK6" i="1"/>
  <c r="AK6" i="2" s="1"/>
  <c r="AL6" i="1"/>
  <c r="AL6" i="2" s="1"/>
  <c r="AM6" i="1"/>
  <c r="AM6" i="2" s="1"/>
  <c r="J7" i="1"/>
  <c r="J7" i="2" s="1"/>
  <c r="K7" i="1"/>
  <c r="K7" i="2" s="1"/>
  <c r="L7" i="1"/>
  <c r="L7" i="2" s="1"/>
  <c r="M7" i="1"/>
  <c r="M7" i="2" s="1"/>
  <c r="N7" i="1"/>
  <c r="N7" i="2" s="1"/>
  <c r="O7" i="1"/>
  <c r="O7" i="2" s="1"/>
  <c r="P7" i="1"/>
  <c r="P7" i="2" s="1"/>
  <c r="Q7" i="1"/>
  <c r="Q7" i="2" s="1"/>
  <c r="R7" i="1"/>
  <c r="R7" i="2" s="1"/>
  <c r="S7" i="1"/>
  <c r="S7" i="2" s="1"/>
  <c r="T7" i="1"/>
  <c r="T7" i="2" s="1"/>
  <c r="U7" i="1"/>
  <c r="U7" i="2" s="1"/>
  <c r="V7" i="1"/>
  <c r="V7" i="2" s="1"/>
  <c r="W7" i="1"/>
  <c r="W7" i="2" s="1"/>
  <c r="X7" i="1"/>
  <c r="X7" i="2" s="1"/>
  <c r="Y7" i="1"/>
  <c r="Y7" i="2" s="1"/>
  <c r="Z7" i="1"/>
  <c r="Z7" i="2" s="1"/>
  <c r="AA7" i="1"/>
  <c r="AA7" i="2" s="1"/>
  <c r="AB7" i="1"/>
  <c r="AB7" i="2" s="1"/>
  <c r="AC7" i="1"/>
  <c r="AC7" i="2" s="1"/>
  <c r="AD7" i="1"/>
  <c r="AD7" i="2" s="1"/>
  <c r="AE7" i="1"/>
  <c r="AE7" i="2" s="1"/>
  <c r="AF7" i="1"/>
  <c r="AF7" i="2" s="1"/>
  <c r="AG7" i="1"/>
  <c r="AG7" i="2" s="1"/>
  <c r="AH7" i="1"/>
  <c r="AH7" i="2" s="1"/>
  <c r="AI7" i="1"/>
  <c r="AI7" i="2" s="1"/>
  <c r="AJ7" i="1"/>
  <c r="AJ7" i="2" s="1"/>
  <c r="AK7" i="1"/>
  <c r="AK7" i="2" s="1"/>
  <c r="AL7" i="1"/>
  <c r="AL7" i="2" s="1"/>
  <c r="AM7" i="1"/>
  <c r="AM7" i="2" s="1"/>
  <c r="J8" i="1"/>
  <c r="J8" i="2" s="1"/>
  <c r="K8" i="1"/>
  <c r="K8" i="2" s="1"/>
  <c r="L8" i="1"/>
  <c r="L8" i="2" s="1"/>
  <c r="M8" i="1"/>
  <c r="M8" i="2" s="1"/>
  <c r="N8" i="1"/>
  <c r="N8" i="2" s="1"/>
  <c r="O8" i="1"/>
  <c r="O8" i="2" s="1"/>
  <c r="P8" i="1"/>
  <c r="P8" i="2" s="1"/>
  <c r="Q8" i="1"/>
  <c r="Q8" i="2" s="1"/>
  <c r="R8" i="1"/>
  <c r="R8" i="2" s="1"/>
  <c r="S8" i="1"/>
  <c r="S8" i="2" s="1"/>
  <c r="T8" i="1"/>
  <c r="T8" i="2" s="1"/>
  <c r="U8" i="1"/>
  <c r="U8" i="2" s="1"/>
  <c r="V8" i="1"/>
  <c r="V8" i="2" s="1"/>
  <c r="W8" i="1"/>
  <c r="W8" i="2" s="1"/>
  <c r="X8" i="1"/>
  <c r="X8" i="2" s="1"/>
  <c r="Y8" i="1"/>
  <c r="Y8" i="2" s="1"/>
  <c r="Z8" i="1"/>
  <c r="Z8" i="2" s="1"/>
  <c r="AA8" i="1"/>
  <c r="AA8" i="2" s="1"/>
  <c r="AB8" i="1"/>
  <c r="AB8" i="2" s="1"/>
  <c r="AC8" i="1"/>
  <c r="AC8" i="2" s="1"/>
  <c r="AD8" i="1"/>
  <c r="AD8" i="2" s="1"/>
  <c r="AE8" i="1"/>
  <c r="AE8" i="2" s="1"/>
  <c r="AF8" i="1"/>
  <c r="AF8" i="2" s="1"/>
  <c r="AG8" i="1"/>
  <c r="AG8" i="2" s="1"/>
  <c r="AH8" i="1"/>
  <c r="AH8" i="2" s="1"/>
  <c r="AI8" i="1"/>
  <c r="AI8" i="2" s="1"/>
  <c r="AJ8" i="1"/>
  <c r="AJ8" i="2" s="1"/>
  <c r="AK8" i="1"/>
  <c r="AK8" i="2" s="1"/>
  <c r="AL8" i="1"/>
  <c r="AL8" i="2" s="1"/>
  <c r="AM8" i="1"/>
  <c r="AM8" i="2" s="1"/>
  <c r="J9" i="1"/>
  <c r="J9" i="2" s="1"/>
  <c r="K9" i="1"/>
  <c r="K9" i="2" s="1"/>
  <c r="L9" i="1"/>
  <c r="L9" i="2" s="1"/>
  <c r="M9" i="1"/>
  <c r="M9" i="2" s="1"/>
  <c r="N9" i="1"/>
  <c r="N9" i="2" s="1"/>
  <c r="O9" i="1"/>
  <c r="O9" i="2" s="1"/>
  <c r="P9" i="1"/>
  <c r="P9" i="2" s="1"/>
  <c r="Q9" i="1"/>
  <c r="Q9" i="2" s="1"/>
  <c r="R9" i="1"/>
  <c r="R9" i="2" s="1"/>
  <c r="S9" i="1"/>
  <c r="S9" i="2" s="1"/>
  <c r="T9" i="1"/>
  <c r="T9" i="2" s="1"/>
  <c r="U9" i="1"/>
  <c r="U9" i="2" s="1"/>
  <c r="V9" i="1"/>
  <c r="V9" i="2" s="1"/>
  <c r="W9" i="1"/>
  <c r="W9" i="2" s="1"/>
  <c r="X9" i="1"/>
  <c r="X9" i="2" s="1"/>
  <c r="Y9" i="1"/>
  <c r="Y9" i="2" s="1"/>
  <c r="Z9" i="1"/>
  <c r="Z9" i="2" s="1"/>
  <c r="AA9" i="1"/>
  <c r="AA9" i="2" s="1"/>
  <c r="AB9" i="1"/>
  <c r="AB9" i="2" s="1"/>
  <c r="AC9" i="1"/>
  <c r="AC9" i="2" s="1"/>
  <c r="AD9" i="1"/>
  <c r="AD9" i="2" s="1"/>
  <c r="AE9" i="1"/>
  <c r="AE9" i="2" s="1"/>
  <c r="AF9" i="1"/>
  <c r="AF9" i="2" s="1"/>
  <c r="AG9" i="1"/>
  <c r="AG9" i="2" s="1"/>
  <c r="AH9" i="1"/>
  <c r="AH9" i="2" s="1"/>
  <c r="AI9" i="1"/>
  <c r="AI9" i="2" s="1"/>
  <c r="AJ9" i="1"/>
  <c r="AJ9" i="2" s="1"/>
  <c r="AK9" i="1"/>
  <c r="AK9" i="2" s="1"/>
  <c r="AL9" i="1"/>
  <c r="AL9" i="2" s="1"/>
  <c r="AM9" i="1"/>
  <c r="AM9" i="2" s="1"/>
  <c r="J10" i="1"/>
  <c r="J10" i="2" s="1"/>
  <c r="K10" i="1"/>
  <c r="K10" i="2" s="1"/>
  <c r="L10" i="1"/>
  <c r="L10" i="2" s="1"/>
  <c r="M10" i="1"/>
  <c r="M10" i="2" s="1"/>
  <c r="N10" i="1"/>
  <c r="N10" i="2" s="1"/>
  <c r="O10" i="1"/>
  <c r="O10" i="2" s="1"/>
  <c r="P10" i="1"/>
  <c r="P10" i="2" s="1"/>
  <c r="Q10" i="1"/>
  <c r="Q10" i="2" s="1"/>
  <c r="R10" i="1"/>
  <c r="R10" i="2" s="1"/>
  <c r="S10" i="1"/>
  <c r="S10" i="2" s="1"/>
  <c r="T10" i="1"/>
  <c r="T10" i="2" s="1"/>
  <c r="U10" i="1"/>
  <c r="U10" i="2" s="1"/>
  <c r="V10" i="1"/>
  <c r="V10" i="2" s="1"/>
  <c r="W10" i="1"/>
  <c r="W10" i="2" s="1"/>
  <c r="X10" i="1"/>
  <c r="X10" i="2" s="1"/>
  <c r="Y10" i="1"/>
  <c r="Y10" i="2" s="1"/>
  <c r="Z10" i="1"/>
  <c r="Z10" i="2" s="1"/>
  <c r="AA10" i="1"/>
  <c r="AA10" i="2" s="1"/>
  <c r="AB10" i="1"/>
  <c r="AB10" i="2" s="1"/>
  <c r="AC10" i="1"/>
  <c r="AC10" i="2" s="1"/>
  <c r="AD10" i="1"/>
  <c r="AD10" i="2" s="1"/>
  <c r="AE10" i="1"/>
  <c r="AE10" i="2" s="1"/>
  <c r="AF10" i="1"/>
  <c r="AF10" i="2" s="1"/>
  <c r="AG10" i="1"/>
  <c r="AG10" i="2" s="1"/>
  <c r="AH10" i="1"/>
  <c r="AH10" i="2" s="1"/>
  <c r="AI10" i="1"/>
  <c r="AI10" i="2" s="1"/>
  <c r="AJ10" i="1"/>
  <c r="AJ10" i="2" s="1"/>
  <c r="AK10" i="1"/>
  <c r="AK10" i="2" s="1"/>
  <c r="AL10" i="1"/>
  <c r="AL10" i="2" s="1"/>
  <c r="AM10" i="1"/>
  <c r="AM10" i="2" s="1"/>
  <c r="J11" i="1"/>
  <c r="J11" i="2" s="1"/>
  <c r="K11" i="1"/>
  <c r="K11" i="2" s="1"/>
  <c r="L11" i="1"/>
  <c r="L11" i="2" s="1"/>
  <c r="M11" i="1"/>
  <c r="M11" i="2" s="1"/>
  <c r="N11" i="1"/>
  <c r="N11" i="2" s="1"/>
  <c r="O11" i="1"/>
  <c r="O11" i="2" s="1"/>
  <c r="P11" i="1"/>
  <c r="P11" i="2" s="1"/>
  <c r="Q11" i="1"/>
  <c r="Q11" i="2" s="1"/>
  <c r="R11" i="1"/>
  <c r="R11" i="2" s="1"/>
  <c r="S11" i="1"/>
  <c r="S11" i="2" s="1"/>
  <c r="T11" i="1"/>
  <c r="T11" i="2" s="1"/>
  <c r="U11" i="1"/>
  <c r="U11" i="2" s="1"/>
  <c r="V11" i="1"/>
  <c r="V11" i="2" s="1"/>
  <c r="W11" i="1"/>
  <c r="W11" i="2" s="1"/>
  <c r="X11" i="1"/>
  <c r="X11" i="2" s="1"/>
  <c r="Y11" i="1"/>
  <c r="Y11" i="2" s="1"/>
  <c r="Z11" i="1"/>
  <c r="Z11" i="2" s="1"/>
  <c r="AA11" i="1"/>
  <c r="AA11" i="2" s="1"/>
  <c r="AB11" i="1"/>
  <c r="AB11" i="2" s="1"/>
  <c r="AC11" i="1"/>
  <c r="AC11" i="2" s="1"/>
  <c r="AD11" i="1"/>
  <c r="AD11" i="2" s="1"/>
  <c r="AE11" i="1"/>
  <c r="AE11" i="2" s="1"/>
  <c r="AF11" i="1"/>
  <c r="AF11" i="2" s="1"/>
  <c r="AG11" i="1"/>
  <c r="AG11" i="2" s="1"/>
  <c r="AH11" i="1"/>
  <c r="AH11" i="2" s="1"/>
  <c r="AI11" i="1"/>
  <c r="AI11" i="2" s="1"/>
  <c r="AJ11" i="1"/>
  <c r="AJ11" i="2" s="1"/>
  <c r="AK11" i="1"/>
  <c r="AK11" i="2" s="1"/>
  <c r="AL11" i="1"/>
  <c r="AL11" i="2" s="1"/>
  <c r="AM11" i="1"/>
  <c r="AM11" i="2" s="1"/>
  <c r="J12" i="1"/>
  <c r="J12" i="2" s="1"/>
  <c r="K12" i="1"/>
  <c r="K12" i="2" s="1"/>
  <c r="L12" i="1"/>
  <c r="L12" i="2" s="1"/>
  <c r="M12" i="1"/>
  <c r="M12" i="2" s="1"/>
  <c r="N12" i="1"/>
  <c r="N12" i="2" s="1"/>
  <c r="O12" i="1"/>
  <c r="O12" i="2" s="1"/>
  <c r="P12" i="1"/>
  <c r="P12" i="2" s="1"/>
  <c r="Q12" i="1"/>
  <c r="Q12" i="2" s="1"/>
  <c r="R12" i="1"/>
  <c r="R12" i="2" s="1"/>
  <c r="S12" i="1"/>
  <c r="S12" i="2" s="1"/>
  <c r="T12" i="1"/>
  <c r="T12" i="2" s="1"/>
  <c r="U12" i="1"/>
  <c r="U12" i="2" s="1"/>
  <c r="V12" i="1"/>
  <c r="V12" i="2" s="1"/>
  <c r="W12" i="1"/>
  <c r="W12" i="2" s="1"/>
  <c r="X12" i="1"/>
  <c r="X12" i="2" s="1"/>
  <c r="Y12" i="1"/>
  <c r="Y12" i="2" s="1"/>
  <c r="Z12" i="1"/>
  <c r="Z12" i="2" s="1"/>
  <c r="AA12" i="1"/>
  <c r="AA12" i="2" s="1"/>
  <c r="AB12" i="1"/>
  <c r="AB12" i="2" s="1"/>
  <c r="AC12" i="1"/>
  <c r="AC12" i="2" s="1"/>
  <c r="AD12" i="1"/>
  <c r="AD12" i="2" s="1"/>
  <c r="AE12" i="1"/>
  <c r="AE12" i="2" s="1"/>
  <c r="AF12" i="1"/>
  <c r="AF12" i="2" s="1"/>
  <c r="AG12" i="1"/>
  <c r="AG12" i="2" s="1"/>
  <c r="AH12" i="1"/>
  <c r="AH12" i="2" s="1"/>
  <c r="AI12" i="1"/>
  <c r="AI12" i="2" s="1"/>
  <c r="AJ12" i="1"/>
  <c r="AJ12" i="2" s="1"/>
  <c r="AK12" i="1"/>
  <c r="AK12" i="2" s="1"/>
  <c r="AL12" i="1"/>
  <c r="AL12" i="2" s="1"/>
  <c r="AM12" i="1"/>
  <c r="AM12" i="2" s="1"/>
  <c r="J13" i="1"/>
  <c r="J13" i="2" s="1"/>
  <c r="K13" i="1"/>
  <c r="K13" i="2" s="1"/>
  <c r="L13" i="1"/>
  <c r="L13" i="2" s="1"/>
  <c r="M13" i="1"/>
  <c r="M13" i="2" s="1"/>
  <c r="N13" i="1"/>
  <c r="N13" i="2" s="1"/>
  <c r="O13" i="1"/>
  <c r="O13" i="2" s="1"/>
  <c r="P13" i="1"/>
  <c r="P13" i="2" s="1"/>
  <c r="Q13" i="1"/>
  <c r="Q13" i="2" s="1"/>
  <c r="R13" i="1"/>
  <c r="R13" i="2" s="1"/>
  <c r="S13" i="1"/>
  <c r="S13" i="2" s="1"/>
  <c r="T13" i="1"/>
  <c r="T13" i="2" s="1"/>
  <c r="U13" i="1"/>
  <c r="U13" i="2" s="1"/>
  <c r="V13" i="1"/>
  <c r="V13" i="2" s="1"/>
  <c r="W13" i="1"/>
  <c r="W13" i="2" s="1"/>
  <c r="X13" i="1"/>
  <c r="X13" i="2" s="1"/>
  <c r="Y13" i="1"/>
  <c r="Y13" i="2" s="1"/>
  <c r="Z13" i="1"/>
  <c r="Z13" i="2" s="1"/>
  <c r="AA13" i="1"/>
  <c r="AA13" i="2" s="1"/>
  <c r="AB13" i="1"/>
  <c r="AB13" i="2" s="1"/>
  <c r="AC13" i="1"/>
  <c r="AC13" i="2" s="1"/>
  <c r="AD13" i="1"/>
  <c r="AD13" i="2" s="1"/>
  <c r="AE13" i="1"/>
  <c r="AE13" i="2" s="1"/>
  <c r="AF13" i="1"/>
  <c r="AF13" i="2" s="1"/>
  <c r="AG13" i="1"/>
  <c r="AG13" i="2" s="1"/>
  <c r="AH13" i="1"/>
  <c r="AH13" i="2" s="1"/>
  <c r="AI13" i="1"/>
  <c r="AI13" i="2" s="1"/>
  <c r="AJ13" i="1"/>
  <c r="AJ13" i="2" s="1"/>
  <c r="AK13" i="1"/>
  <c r="AK13" i="2" s="1"/>
  <c r="AL13" i="1"/>
  <c r="AL13" i="2" s="1"/>
  <c r="AM13" i="1"/>
  <c r="AM13" i="2" s="1"/>
  <c r="J14" i="1"/>
  <c r="J14" i="2" s="1"/>
  <c r="K14" i="1"/>
  <c r="K14" i="2" s="1"/>
  <c r="L14" i="1"/>
  <c r="L14" i="2" s="1"/>
  <c r="M14" i="1"/>
  <c r="M14" i="2" s="1"/>
  <c r="N14" i="1"/>
  <c r="N14" i="2" s="1"/>
  <c r="O14" i="1"/>
  <c r="O14" i="2" s="1"/>
  <c r="P14" i="1"/>
  <c r="P14" i="2" s="1"/>
  <c r="Q14" i="1"/>
  <c r="Q14" i="2" s="1"/>
  <c r="R14" i="1"/>
  <c r="R14" i="2" s="1"/>
  <c r="S14" i="1"/>
  <c r="S14" i="2" s="1"/>
  <c r="T14" i="1"/>
  <c r="T14" i="2" s="1"/>
  <c r="U14" i="1"/>
  <c r="U14" i="2" s="1"/>
  <c r="V14" i="1"/>
  <c r="V14" i="2" s="1"/>
  <c r="W14" i="1"/>
  <c r="W14" i="2" s="1"/>
  <c r="X14" i="1"/>
  <c r="X14" i="2" s="1"/>
  <c r="Y14" i="1"/>
  <c r="Y14" i="2" s="1"/>
  <c r="Z14" i="1"/>
  <c r="Z14" i="2" s="1"/>
  <c r="AA14" i="1"/>
  <c r="AA14" i="2" s="1"/>
  <c r="AB14" i="1"/>
  <c r="AB14" i="2" s="1"/>
  <c r="AC14" i="1"/>
  <c r="AC14" i="2" s="1"/>
  <c r="AD14" i="1"/>
  <c r="AD14" i="2" s="1"/>
  <c r="AE14" i="1"/>
  <c r="AE14" i="2" s="1"/>
  <c r="AF14" i="1"/>
  <c r="AF14" i="2" s="1"/>
  <c r="AG14" i="1"/>
  <c r="AG14" i="2" s="1"/>
  <c r="AH14" i="1"/>
  <c r="AH14" i="2" s="1"/>
  <c r="AI14" i="1"/>
  <c r="AI14" i="2" s="1"/>
  <c r="AJ14" i="1"/>
  <c r="AJ14" i="2" s="1"/>
  <c r="AK14" i="1"/>
  <c r="AK14" i="2" s="1"/>
  <c r="AL14" i="1"/>
  <c r="AL14" i="2" s="1"/>
  <c r="AM14" i="1"/>
  <c r="AM14" i="2" s="1"/>
  <c r="J15" i="1"/>
  <c r="J15" i="2" s="1"/>
  <c r="K15" i="1"/>
  <c r="K15" i="2" s="1"/>
  <c r="L15" i="1"/>
  <c r="L15" i="2" s="1"/>
  <c r="M15" i="1"/>
  <c r="M15" i="2" s="1"/>
  <c r="N15" i="1"/>
  <c r="N15" i="2" s="1"/>
  <c r="O15" i="1"/>
  <c r="O15" i="2" s="1"/>
  <c r="P15" i="1"/>
  <c r="P15" i="2" s="1"/>
  <c r="Q15" i="1"/>
  <c r="Q15" i="2" s="1"/>
  <c r="R15" i="1"/>
  <c r="R15" i="2" s="1"/>
  <c r="S15" i="1"/>
  <c r="S15" i="2" s="1"/>
  <c r="T15" i="1"/>
  <c r="T15" i="2" s="1"/>
  <c r="U15" i="1"/>
  <c r="U15" i="2" s="1"/>
  <c r="V15" i="1"/>
  <c r="V15" i="2" s="1"/>
  <c r="W15" i="1"/>
  <c r="W15" i="2" s="1"/>
  <c r="X15" i="1"/>
  <c r="X15" i="2" s="1"/>
  <c r="Y15" i="1"/>
  <c r="Y15" i="2" s="1"/>
  <c r="Z15" i="1"/>
  <c r="Z15" i="2" s="1"/>
  <c r="AA15" i="1"/>
  <c r="AA15" i="2" s="1"/>
  <c r="AB15" i="1"/>
  <c r="AB15" i="2" s="1"/>
  <c r="AC15" i="1"/>
  <c r="AC15" i="2" s="1"/>
  <c r="AD15" i="1"/>
  <c r="AD15" i="2" s="1"/>
  <c r="AE15" i="1"/>
  <c r="AE15" i="2" s="1"/>
  <c r="AF15" i="1"/>
  <c r="AF15" i="2" s="1"/>
  <c r="AG15" i="1"/>
  <c r="AG15" i="2" s="1"/>
  <c r="AH15" i="1"/>
  <c r="AH15" i="2" s="1"/>
  <c r="AI15" i="1"/>
  <c r="AI15" i="2" s="1"/>
  <c r="AJ15" i="1"/>
  <c r="AJ15" i="2" s="1"/>
  <c r="AK15" i="1"/>
  <c r="AK15" i="2" s="1"/>
  <c r="AL15" i="1"/>
  <c r="AL15" i="2" s="1"/>
  <c r="AM15" i="1"/>
  <c r="AM15" i="2" s="1"/>
  <c r="J16" i="1"/>
  <c r="J16" i="2" s="1"/>
  <c r="K16" i="1"/>
  <c r="K16" i="2" s="1"/>
  <c r="L16" i="1"/>
  <c r="L16" i="2" s="1"/>
  <c r="M16" i="1"/>
  <c r="M16" i="2" s="1"/>
  <c r="N16" i="1"/>
  <c r="N16" i="2" s="1"/>
  <c r="O16" i="1"/>
  <c r="O16" i="2" s="1"/>
  <c r="P16" i="1"/>
  <c r="P16" i="2" s="1"/>
  <c r="Q16" i="1"/>
  <c r="Q16" i="2" s="1"/>
  <c r="R16" i="1"/>
  <c r="R16" i="2" s="1"/>
  <c r="S16" i="1"/>
  <c r="S16" i="2" s="1"/>
  <c r="T16" i="1"/>
  <c r="T16" i="2" s="1"/>
  <c r="U16" i="1"/>
  <c r="U16" i="2" s="1"/>
  <c r="V16" i="1"/>
  <c r="V16" i="2" s="1"/>
  <c r="W16" i="1"/>
  <c r="W16" i="2" s="1"/>
  <c r="X16" i="1"/>
  <c r="X16" i="2" s="1"/>
  <c r="Y16" i="1"/>
  <c r="Y16" i="2" s="1"/>
  <c r="Z16" i="1"/>
  <c r="Z16" i="2" s="1"/>
  <c r="AA16" i="1"/>
  <c r="AA16" i="2" s="1"/>
  <c r="AB16" i="1"/>
  <c r="AB16" i="2" s="1"/>
  <c r="AC16" i="1"/>
  <c r="AC16" i="2" s="1"/>
  <c r="AD16" i="1"/>
  <c r="AD16" i="2" s="1"/>
  <c r="AE16" i="1"/>
  <c r="AE16" i="2" s="1"/>
  <c r="AF16" i="1"/>
  <c r="AF16" i="2" s="1"/>
  <c r="AG16" i="1"/>
  <c r="AG16" i="2" s="1"/>
  <c r="AH16" i="1"/>
  <c r="AH16" i="2" s="1"/>
  <c r="AI16" i="1"/>
  <c r="AI16" i="2" s="1"/>
  <c r="AJ16" i="1"/>
  <c r="AJ16" i="2" s="1"/>
  <c r="AK16" i="1"/>
  <c r="AK16" i="2" s="1"/>
  <c r="AL16" i="1"/>
  <c r="AL16" i="2" s="1"/>
  <c r="AM16" i="1"/>
  <c r="AM16" i="2" s="1"/>
  <c r="J17" i="1"/>
  <c r="J17" i="2" s="1"/>
  <c r="K17" i="1"/>
  <c r="K17" i="2" s="1"/>
  <c r="L17" i="1"/>
  <c r="L17" i="2" s="1"/>
  <c r="M17" i="1"/>
  <c r="M17" i="2" s="1"/>
  <c r="N17" i="1"/>
  <c r="N17" i="2" s="1"/>
  <c r="O17" i="1"/>
  <c r="O17" i="2" s="1"/>
  <c r="P17" i="1"/>
  <c r="P17" i="2" s="1"/>
  <c r="Q17" i="1"/>
  <c r="Q17" i="2" s="1"/>
  <c r="R17" i="1"/>
  <c r="R17" i="2" s="1"/>
  <c r="S17" i="1"/>
  <c r="S17" i="2" s="1"/>
  <c r="T17" i="1"/>
  <c r="T17" i="2" s="1"/>
  <c r="U17" i="1"/>
  <c r="U17" i="2" s="1"/>
  <c r="V17" i="1"/>
  <c r="V17" i="2" s="1"/>
  <c r="W17" i="1"/>
  <c r="W17" i="2" s="1"/>
  <c r="X17" i="1"/>
  <c r="X17" i="2" s="1"/>
  <c r="Y17" i="1"/>
  <c r="Y17" i="2" s="1"/>
  <c r="Z17" i="1"/>
  <c r="Z17" i="2" s="1"/>
  <c r="AA17" i="1"/>
  <c r="AA17" i="2" s="1"/>
  <c r="AB17" i="1"/>
  <c r="AB17" i="2" s="1"/>
  <c r="AC17" i="1"/>
  <c r="AC17" i="2" s="1"/>
  <c r="AD17" i="1"/>
  <c r="AD17" i="2" s="1"/>
  <c r="AE17" i="1"/>
  <c r="AE17" i="2" s="1"/>
  <c r="AF17" i="1"/>
  <c r="AF17" i="2" s="1"/>
  <c r="AG17" i="1"/>
  <c r="AG17" i="2" s="1"/>
  <c r="AH17" i="1"/>
  <c r="AH17" i="2" s="1"/>
  <c r="AI17" i="1"/>
  <c r="AI17" i="2" s="1"/>
  <c r="AJ17" i="1"/>
  <c r="AJ17" i="2" s="1"/>
  <c r="AK17" i="1"/>
  <c r="AK17" i="2" s="1"/>
  <c r="AL17" i="1"/>
  <c r="AL17" i="2" s="1"/>
  <c r="AM17" i="1"/>
  <c r="AM17" i="2" s="1"/>
  <c r="J18" i="1"/>
  <c r="J18" i="2" s="1"/>
  <c r="K18" i="1"/>
  <c r="K18" i="2" s="1"/>
  <c r="L18" i="1"/>
  <c r="L18" i="2" s="1"/>
  <c r="M18" i="1"/>
  <c r="M18" i="2" s="1"/>
  <c r="N18" i="1"/>
  <c r="N18" i="2" s="1"/>
  <c r="O18" i="1"/>
  <c r="O18" i="2" s="1"/>
  <c r="P18" i="1"/>
  <c r="P18" i="2" s="1"/>
  <c r="Q18" i="1"/>
  <c r="Q18" i="2" s="1"/>
  <c r="R18" i="1"/>
  <c r="R18" i="2" s="1"/>
  <c r="S18" i="1"/>
  <c r="S18" i="2" s="1"/>
  <c r="T18" i="1"/>
  <c r="T18" i="2" s="1"/>
  <c r="U18" i="1"/>
  <c r="U18" i="2" s="1"/>
  <c r="V18" i="1"/>
  <c r="V18" i="2" s="1"/>
  <c r="W18" i="1"/>
  <c r="W18" i="2" s="1"/>
  <c r="X18" i="1"/>
  <c r="X18" i="2" s="1"/>
  <c r="Y18" i="1"/>
  <c r="Y18" i="2" s="1"/>
  <c r="Z18" i="1"/>
  <c r="Z18" i="2" s="1"/>
  <c r="AA18" i="1"/>
  <c r="AA18" i="2" s="1"/>
  <c r="AB18" i="1"/>
  <c r="AB18" i="2" s="1"/>
  <c r="AC18" i="1"/>
  <c r="AC18" i="2" s="1"/>
  <c r="AD18" i="1"/>
  <c r="AD18" i="2" s="1"/>
  <c r="AE18" i="1"/>
  <c r="AE18" i="2" s="1"/>
  <c r="AF18" i="1"/>
  <c r="AF18" i="2" s="1"/>
  <c r="AG18" i="1"/>
  <c r="AG18" i="2" s="1"/>
  <c r="AH18" i="1"/>
  <c r="AH18" i="2" s="1"/>
  <c r="AI18" i="1"/>
  <c r="AI18" i="2" s="1"/>
  <c r="AJ18" i="1"/>
  <c r="AJ18" i="2" s="1"/>
  <c r="AK18" i="1"/>
  <c r="AK18" i="2" s="1"/>
  <c r="AL18" i="1"/>
  <c r="AL18" i="2" s="1"/>
  <c r="AM18" i="1"/>
  <c r="AM18" i="2" s="1"/>
  <c r="J19" i="1"/>
  <c r="J19" i="2" s="1"/>
  <c r="K19" i="1"/>
  <c r="K19" i="2" s="1"/>
  <c r="L19" i="1"/>
  <c r="L19" i="2" s="1"/>
  <c r="M19" i="1"/>
  <c r="M19" i="2" s="1"/>
  <c r="N19" i="1"/>
  <c r="N19" i="2" s="1"/>
  <c r="O19" i="1"/>
  <c r="O19" i="2" s="1"/>
  <c r="P19" i="1"/>
  <c r="P19" i="2" s="1"/>
  <c r="Q19" i="1"/>
  <c r="Q19" i="2" s="1"/>
  <c r="R19" i="1"/>
  <c r="R19" i="2" s="1"/>
  <c r="S19" i="1"/>
  <c r="S19" i="2" s="1"/>
  <c r="T19" i="1"/>
  <c r="T19" i="2" s="1"/>
  <c r="U19" i="1"/>
  <c r="U19" i="2" s="1"/>
  <c r="V19" i="1"/>
  <c r="V19" i="2" s="1"/>
  <c r="W19" i="1"/>
  <c r="W19" i="2" s="1"/>
  <c r="X19" i="1"/>
  <c r="X19" i="2" s="1"/>
  <c r="Y19" i="1"/>
  <c r="Y19" i="2" s="1"/>
  <c r="Z19" i="1"/>
  <c r="Z19" i="2" s="1"/>
  <c r="AA19" i="1"/>
  <c r="AA19" i="2" s="1"/>
  <c r="AB19" i="1"/>
  <c r="AB19" i="2" s="1"/>
  <c r="AC19" i="1"/>
  <c r="AC19" i="2" s="1"/>
  <c r="AD19" i="1"/>
  <c r="AD19" i="2" s="1"/>
  <c r="AE19" i="1"/>
  <c r="AE19" i="2" s="1"/>
  <c r="AF19" i="1"/>
  <c r="AF19" i="2" s="1"/>
  <c r="AG19" i="1"/>
  <c r="AG19" i="2" s="1"/>
  <c r="AH19" i="1"/>
  <c r="AH19" i="2" s="1"/>
  <c r="AI19" i="1"/>
  <c r="AI19" i="2" s="1"/>
  <c r="AJ19" i="1"/>
  <c r="AJ19" i="2" s="1"/>
  <c r="AK19" i="1"/>
  <c r="AK19" i="2" s="1"/>
  <c r="AL19" i="1"/>
  <c r="AL19" i="2" s="1"/>
  <c r="AM19" i="1"/>
  <c r="AM19" i="2" s="1"/>
  <c r="J20" i="1"/>
  <c r="J20" i="2" s="1"/>
  <c r="K20" i="1"/>
  <c r="K20" i="2" s="1"/>
  <c r="L20" i="1"/>
  <c r="L20" i="2" s="1"/>
  <c r="M20" i="1"/>
  <c r="M20" i="2" s="1"/>
  <c r="N20" i="1"/>
  <c r="N20" i="2" s="1"/>
  <c r="O20" i="1"/>
  <c r="O20" i="2" s="1"/>
  <c r="P20" i="1"/>
  <c r="P20" i="2" s="1"/>
  <c r="Q20" i="1"/>
  <c r="Q20" i="2" s="1"/>
  <c r="R20" i="1"/>
  <c r="R20" i="2" s="1"/>
  <c r="S20" i="1"/>
  <c r="S20" i="2" s="1"/>
  <c r="T20" i="1"/>
  <c r="T20" i="2" s="1"/>
  <c r="U20" i="1"/>
  <c r="U20" i="2" s="1"/>
  <c r="V20" i="1"/>
  <c r="V20" i="2" s="1"/>
  <c r="W20" i="1"/>
  <c r="W20" i="2" s="1"/>
  <c r="X20" i="1"/>
  <c r="X20" i="2" s="1"/>
  <c r="Y20" i="1"/>
  <c r="Y20" i="2" s="1"/>
  <c r="Z20" i="1"/>
  <c r="Z20" i="2" s="1"/>
  <c r="AA20" i="1"/>
  <c r="AA20" i="2" s="1"/>
  <c r="AB20" i="1"/>
  <c r="AB20" i="2" s="1"/>
  <c r="AC20" i="1"/>
  <c r="AC20" i="2" s="1"/>
  <c r="AD20" i="1"/>
  <c r="AD20" i="2" s="1"/>
  <c r="AE20" i="1"/>
  <c r="AE20" i="2" s="1"/>
  <c r="AF20" i="1"/>
  <c r="AF20" i="2" s="1"/>
  <c r="AG20" i="1"/>
  <c r="AG20" i="2" s="1"/>
  <c r="AH20" i="1"/>
  <c r="AH20" i="2" s="1"/>
  <c r="AI20" i="1"/>
  <c r="AI20" i="2" s="1"/>
  <c r="AJ20" i="1"/>
  <c r="AJ20" i="2" s="1"/>
  <c r="AK20" i="1"/>
  <c r="AK20" i="2" s="1"/>
  <c r="AL20" i="1"/>
  <c r="AL20" i="2" s="1"/>
  <c r="AM20" i="1"/>
  <c r="AM20" i="2" s="1"/>
  <c r="J21" i="1"/>
  <c r="J21" i="2" s="1"/>
  <c r="K21" i="1"/>
  <c r="K21" i="2" s="1"/>
  <c r="L21" i="1"/>
  <c r="L21" i="2" s="1"/>
  <c r="M21" i="1"/>
  <c r="M21" i="2" s="1"/>
  <c r="N21" i="1"/>
  <c r="N21" i="2" s="1"/>
  <c r="O21" i="1"/>
  <c r="O21" i="2" s="1"/>
  <c r="P21" i="1"/>
  <c r="P21" i="2" s="1"/>
  <c r="Q21" i="1"/>
  <c r="Q21" i="2" s="1"/>
  <c r="R21" i="1"/>
  <c r="R21" i="2" s="1"/>
  <c r="S21" i="1"/>
  <c r="S21" i="2" s="1"/>
  <c r="T21" i="1"/>
  <c r="T21" i="2" s="1"/>
  <c r="U21" i="1"/>
  <c r="U21" i="2" s="1"/>
  <c r="V21" i="1"/>
  <c r="V21" i="2" s="1"/>
  <c r="W21" i="1"/>
  <c r="W21" i="2" s="1"/>
  <c r="X21" i="1"/>
  <c r="X21" i="2" s="1"/>
  <c r="Y21" i="1"/>
  <c r="Y21" i="2" s="1"/>
  <c r="Z21" i="1"/>
  <c r="Z21" i="2" s="1"/>
  <c r="AA21" i="1"/>
  <c r="AA21" i="2" s="1"/>
  <c r="AB21" i="1"/>
  <c r="AB21" i="2" s="1"/>
  <c r="AC21" i="1"/>
  <c r="AC21" i="2" s="1"/>
  <c r="AD21" i="1"/>
  <c r="AD21" i="2" s="1"/>
  <c r="AE21" i="1"/>
  <c r="AE21" i="2" s="1"/>
  <c r="AF21" i="1"/>
  <c r="AF21" i="2" s="1"/>
  <c r="AG21" i="1"/>
  <c r="AG21" i="2" s="1"/>
  <c r="AH21" i="1"/>
  <c r="AH21" i="2" s="1"/>
  <c r="AI21" i="1"/>
  <c r="AI21" i="2" s="1"/>
  <c r="AJ21" i="1"/>
  <c r="AJ21" i="2" s="1"/>
  <c r="AK21" i="1"/>
  <c r="AK21" i="2" s="1"/>
  <c r="AL21" i="1"/>
  <c r="AL21" i="2" s="1"/>
  <c r="AM21" i="1"/>
  <c r="AM21" i="2" s="1"/>
  <c r="J22" i="1"/>
  <c r="J22" i="2" s="1"/>
  <c r="K22" i="1"/>
  <c r="K22" i="2" s="1"/>
  <c r="L22" i="1"/>
  <c r="L22" i="2" s="1"/>
  <c r="M22" i="1"/>
  <c r="M22" i="2" s="1"/>
  <c r="N22" i="1"/>
  <c r="N22" i="2" s="1"/>
  <c r="O22" i="1"/>
  <c r="O22" i="2" s="1"/>
  <c r="P22" i="1"/>
  <c r="P22" i="2" s="1"/>
  <c r="Q22" i="1"/>
  <c r="Q22" i="2" s="1"/>
  <c r="R22" i="1"/>
  <c r="R22" i="2" s="1"/>
  <c r="S22" i="1"/>
  <c r="S22" i="2" s="1"/>
  <c r="T22" i="1"/>
  <c r="T22" i="2" s="1"/>
  <c r="U22" i="1"/>
  <c r="U22" i="2" s="1"/>
  <c r="V22" i="1"/>
  <c r="V22" i="2" s="1"/>
  <c r="W22" i="1"/>
  <c r="W22" i="2" s="1"/>
  <c r="X22" i="1"/>
  <c r="X22" i="2" s="1"/>
  <c r="Y22" i="1"/>
  <c r="Y22" i="2" s="1"/>
  <c r="Z22" i="1"/>
  <c r="Z22" i="2" s="1"/>
  <c r="AA22" i="1"/>
  <c r="AA22" i="2" s="1"/>
  <c r="AB22" i="1"/>
  <c r="AB22" i="2" s="1"/>
  <c r="AC22" i="1"/>
  <c r="AC22" i="2" s="1"/>
  <c r="AD22" i="1"/>
  <c r="AD22" i="2" s="1"/>
  <c r="AE22" i="1"/>
  <c r="AE22" i="2" s="1"/>
  <c r="AF22" i="1"/>
  <c r="AF22" i="2" s="1"/>
  <c r="AG22" i="1"/>
  <c r="AG22" i="2" s="1"/>
  <c r="AH22" i="1"/>
  <c r="AH22" i="2" s="1"/>
  <c r="AI22" i="1"/>
  <c r="AI22" i="2" s="1"/>
  <c r="AJ22" i="1"/>
  <c r="AJ22" i="2" s="1"/>
  <c r="AK22" i="1"/>
  <c r="AK22" i="2" s="1"/>
  <c r="AL22" i="1"/>
  <c r="AL22" i="2" s="1"/>
  <c r="AM22" i="1"/>
  <c r="AM22" i="2" s="1"/>
  <c r="J23" i="1"/>
  <c r="J23" i="2" s="1"/>
  <c r="K23" i="1"/>
  <c r="K23" i="2" s="1"/>
  <c r="L23" i="1"/>
  <c r="L23" i="2" s="1"/>
  <c r="M23" i="1"/>
  <c r="M23" i="2" s="1"/>
  <c r="N23" i="1"/>
  <c r="N23" i="2" s="1"/>
  <c r="O23" i="1"/>
  <c r="O23" i="2" s="1"/>
  <c r="P23" i="1"/>
  <c r="P23" i="2" s="1"/>
  <c r="Q23" i="1"/>
  <c r="Q23" i="2" s="1"/>
  <c r="R23" i="1"/>
  <c r="R23" i="2" s="1"/>
  <c r="S23" i="1"/>
  <c r="S23" i="2" s="1"/>
  <c r="T23" i="1"/>
  <c r="T23" i="2" s="1"/>
  <c r="U23" i="1"/>
  <c r="U23" i="2" s="1"/>
  <c r="V23" i="1"/>
  <c r="V23" i="2" s="1"/>
  <c r="W23" i="1"/>
  <c r="W23" i="2" s="1"/>
  <c r="X23" i="1"/>
  <c r="X23" i="2" s="1"/>
  <c r="Y23" i="1"/>
  <c r="Y23" i="2" s="1"/>
  <c r="Z23" i="1"/>
  <c r="Z23" i="2" s="1"/>
  <c r="AA23" i="1"/>
  <c r="AA23" i="2" s="1"/>
  <c r="AB23" i="1"/>
  <c r="AB23" i="2" s="1"/>
  <c r="AC23" i="1"/>
  <c r="AC23" i="2" s="1"/>
  <c r="AD23" i="1"/>
  <c r="AD23" i="2" s="1"/>
  <c r="AE23" i="1"/>
  <c r="AE23" i="2" s="1"/>
  <c r="AF23" i="1"/>
  <c r="AF23" i="2" s="1"/>
  <c r="AG23" i="1"/>
  <c r="AG23" i="2" s="1"/>
  <c r="AH23" i="1"/>
  <c r="AH23" i="2" s="1"/>
  <c r="AI23" i="1"/>
  <c r="AI23" i="2" s="1"/>
  <c r="AJ23" i="1"/>
  <c r="AJ23" i="2" s="1"/>
  <c r="AK23" i="1"/>
  <c r="AK23" i="2" s="1"/>
  <c r="AL23" i="1"/>
  <c r="AL23" i="2" s="1"/>
  <c r="AM23" i="1"/>
  <c r="AM23" i="2" s="1"/>
  <c r="J24" i="1"/>
  <c r="J24" i="2" s="1"/>
  <c r="K24" i="1"/>
  <c r="K24" i="2" s="1"/>
  <c r="L24" i="1"/>
  <c r="L24" i="2" s="1"/>
  <c r="M24" i="1"/>
  <c r="M24" i="2" s="1"/>
  <c r="N24" i="1"/>
  <c r="N24" i="2" s="1"/>
  <c r="O24" i="1"/>
  <c r="O24" i="2" s="1"/>
  <c r="P24" i="1"/>
  <c r="P24" i="2" s="1"/>
  <c r="Q24" i="1"/>
  <c r="Q24" i="2" s="1"/>
  <c r="R24" i="1"/>
  <c r="R24" i="2" s="1"/>
  <c r="S24" i="1"/>
  <c r="S24" i="2" s="1"/>
  <c r="T24" i="1"/>
  <c r="T24" i="2" s="1"/>
  <c r="U24" i="1"/>
  <c r="U24" i="2" s="1"/>
  <c r="V24" i="1"/>
  <c r="V24" i="2" s="1"/>
  <c r="W24" i="1"/>
  <c r="W24" i="2" s="1"/>
  <c r="X24" i="1"/>
  <c r="X24" i="2" s="1"/>
  <c r="Y24" i="1"/>
  <c r="Y24" i="2" s="1"/>
  <c r="Z24" i="1"/>
  <c r="Z24" i="2" s="1"/>
  <c r="AA24" i="1"/>
  <c r="AA24" i="2" s="1"/>
  <c r="AB24" i="1"/>
  <c r="AB24" i="2" s="1"/>
  <c r="AC24" i="1"/>
  <c r="AC24" i="2" s="1"/>
  <c r="AD24" i="1"/>
  <c r="AD24" i="2" s="1"/>
  <c r="AE24" i="1"/>
  <c r="AE24" i="2" s="1"/>
  <c r="AF24" i="1"/>
  <c r="AF24" i="2" s="1"/>
  <c r="AG24" i="1"/>
  <c r="AG24" i="2" s="1"/>
  <c r="AH24" i="1"/>
  <c r="AH24" i="2" s="1"/>
  <c r="AI24" i="1"/>
  <c r="AI24" i="2" s="1"/>
  <c r="AJ24" i="1"/>
  <c r="AJ24" i="2" s="1"/>
  <c r="AK24" i="1"/>
  <c r="AK24" i="2" s="1"/>
  <c r="AL24" i="1"/>
  <c r="AL24" i="2" s="1"/>
  <c r="AM24" i="1"/>
  <c r="AM24" i="2" s="1"/>
  <c r="J25" i="1"/>
  <c r="J25" i="2" s="1"/>
  <c r="K25" i="1"/>
  <c r="K25" i="2" s="1"/>
  <c r="L25" i="1"/>
  <c r="L25" i="2" s="1"/>
  <c r="M25" i="1"/>
  <c r="M25" i="2" s="1"/>
  <c r="N25" i="1"/>
  <c r="N25" i="2" s="1"/>
  <c r="O25" i="1"/>
  <c r="O25" i="2" s="1"/>
  <c r="P25" i="1"/>
  <c r="P25" i="2" s="1"/>
  <c r="Q25" i="1"/>
  <c r="Q25" i="2" s="1"/>
  <c r="R25" i="1"/>
  <c r="R25" i="2" s="1"/>
  <c r="S25" i="1"/>
  <c r="S25" i="2" s="1"/>
  <c r="T25" i="1"/>
  <c r="T25" i="2" s="1"/>
  <c r="U25" i="1"/>
  <c r="U25" i="2" s="1"/>
  <c r="V25" i="1"/>
  <c r="V25" i="2" s="1"/>
  <c r="W25" i="1"/>
  <c r="W25" i="2" s="1"/>
  <c r="X25" i="1"/>
  <c r="X25" i="2" s="1"/>
  <c r="Y25" i="1"/>
  <c r="Y25" i="2" s="1"/>
  <c r="Z25" i="1"/>
  <c r="Z25" i="2" s="1"/>
  <c r="AA25" i="1"/>
  <c r="AA25" i="2" s="1"/>
  <c r="AB25" i="1"/>
  <c r="AB25" i="2" s="1"/>
  <c r="AC25" i="1"/>
  <c r="AC25" i="2" s="1"/>
  <c r="AD25" i="1"/>
  <c r="AD25" i="2" s="1"/>
  <c r="AE25" i="1"/>
  <c r="AE25" i="2" s="1"/>
  <c r="AF25" i="1"/>
  <c r="AF25" i="2" s="1"/>
  <c r="AG25" i="1"/>
  <c r="AG25" i="2" s="1"/>
  <c r="AH25" i="1"/>
  <c r="AH25" i="2" s="1"/>
  <c r="AI25" i="1"/>
  <c r="AI25" i="2" s="1"/>
  <c r="AJ25" i="1"/>
  <c r="AJ25" i="2" s="1"/>
  <c r="AK25" i="1"/>
  <c r="AK25" i="2" s="1"/>
  <c r="AL25" i="1"/>
  <c r="AL25" i="2" s="1"/>
  <c r="AM25" i="1"/>
  <c r="AM25" i="2" s="1"/>
  <c r="J26" i="1"/>
  <c r="J26" i="2" s="1"/>
  <c r="K26" i="1"/>
  <c r="K26" i="2" s="1"/>
  <c r="L26" i="1"/>
  <c r="L26" i="2" s="1"/>
  <c r="M26" i="1"/>
  <c r="M26" i="2" s="1"/>
  <c r="N26" i="1"/>
  <c r="N26" i="2" s="1"/>
  <c r="O26" i="1"/>
  <c r="O26" i="2" s="1"/>
  <c r="P26" i="1"/>
  <c r="P26" i="2" s="1"/>
  <c r="Q26" i="1"/>
  <c r="Q26" i="2" s="1"/>
  <c r="R26" i="1"/>
  <c r="R26" i="2" s="1"/>
  <c r="S26" i="1"/>
  <c r="S26" i="2" s="1"/>
  <c r="T26" i="1"/>
  <c r="T26" i="2" s="1"/>
  <c r="U26" i="1"/>
  <c r="U26" i="2" s="1"/>
  <c r="V26" i="1"/>
  <c r="V26" i="2" s="1"/>
  <c r="W26" i="1"/>
  <c r="W26" i="2" s="1"/>
  <c r="X26" i="1"/>
  <c r="X26" i="2" s="1"/>
  <c r="Y26" i="1"/>
  <c r="Y26" i="2" s="1"/>
  <c r="Z26" i="1"/>
  <c r="Z26" i="2" s="1"/>
  <c r="AA26" i="1"/>
  <c r="AA26" i="2" s="1"/>
  <c r="AB26" i="1"/>
  <c r="AB26" i="2" s="1"/>
  <c r="AC26" i="1"/>
  <c r="AC26" i="2" s="1"/>
  <c r="AD26" i="1"/>
  <c r="AD26" i="2" s="1"/>
  <c r="AE26" i="1"/>
  <c r="AE26" i="2" s="1"/>
  <c r="AF26" i="1"/>
  <c r="AF26" i="2" s="1"/>
  <c r="AG26" i="1"/>
  <c r="AG26" i="2" s="1"/>
  <c r="AH26" i="1"/>
  <c r="AH26" i="2" s="1"/>
  <c r="AI26" i="1"/>
  <c r="AI26" i="2" s="1"/>
  <c r="AJ26" i="1"/>
  <c r="AJ26" i="2" s="1"/>
  <c r="AK26" i="1"/>
  <c r="AK26" i="2" s="1"/>
  <c r="AL26" i="1"/>
  <c r="AL26" i="2" s="1"/>
  <c r="AM26" i="1"/>
  <c r="AM26" i="2" s="1"/>
  <c r="J27" i="1"/>
  <c r="J27" i="2" s="1"/>
  <c r="K27" i="1"/>
  <c r="K27" i="2" s="1"/>
  <c r="L27" i="1"/>
  <c r="L27" i="2" s="1"/>
  <c r="M27" i="1"/>
  <c r="M27" i="2" s="1"/>
  <c r="N27" i="1"/>
  <c r="N27" i="2" s="1"/>
  <c r="O27" i="1"/>
  <c r="O27" i="2" s="1"/>
  <c r="P27" i="1"/>
  <c r="P27" i="2" s="1"/>
  <c r="Q27" i="1"/>
  <c r="Q27" i="2" s="1"/>
  <c r="R27" i="1"/>
  <c r="R27" i="2" s="1"/>
  <c r="S27" i="1"/>
  <c r="S27" i="2" s="1"/>
  <c r="T27" i="1"/>
  <c r="T27" i="2" s="1"/>
  <c r="U27" i="1"/>
  <c r="U27" i="2" s="1"/>
  <c r="V27" i="1"/>
  <c r="V27" i="2" s="1"/>
  <c r="W27" i="1"/>
  <c r="W27" i="2" s="1"/>
  <c r="X27" i="1"/>
  <c r="X27" i="2" s="1"/>
  <c r="Y27" i="1"/>
  <c r="Y27" i="2" s="1"/>
  <c r="Z27" i="1"/>
  <c r="Z27" i="2" s="1"/>
  <c r="AA27" i="1"/>
  <c r="AA27" i="2" s="1"/>
  <c r="AB27" i="1"/>
  <c r="AB27" i="2" s="1"/>
  <c r="AC27" i="1"/>
  <c r="AC27" i="2" s="1"/>
  <c r="AD27" i="1"/>
  <c r="AD27" i="2" s="1"/>
  <c r="AE27" i="1"/>
  <c r="AE27" i="2" s="1"/>
  <c r="AF27" i="1"/>
  <c r="AF27" i="2" s="1"/>
  <c r="AG27" i="1"/>
  <c r="AG27" i="2" s="1"/>
  <c r="AH27" i="1"/>
  <c r="AH27" i="2" s="1"/>
  <c r="AI27" i="1"/>
  <c r="AI27" i="2" s="1"/>
  <c r="AJ27" i="1"/>
  <c r="AJ27" i="2" s="1"/>
  <c r="AK27" i="1"/>
  <c r="AK27" i="2" s="1"/>
  <c r="AL27" i="1"/>
  <c r="AL27" i="2" s="1"/>
  <c r="AM27" i="1"/>
  <c r="AM27" i="2" s="1"/>
  <c r="J28" i="1"/>
  <c r="J28" i="2" s="1"/>
  <c r="K28" i="1"/>
  <c r="K28" i="2" s="1"/>
  <c r="L28" i="1"/>
  <c r="L28" i="2" s="1"/>
  <c r="M28" i="1"/>
  <c r="M28" i="2" s="1"/>
  <c r="N28" i="1"/>
  <c r="N28" i="2" s="1"/>
  <c r="O28" i="1"/>
  <c r="O28" i="2" s="1"/>
  <c r="P28" i="1"/>
  <c r="P28" i="2" s="1"/>
  <c r="Q28" i="1"/>
  <c r="Q28" i="2" s="1"/>
  <c r="R28" i="1"/>
  <c r="R28" i="2" s="1"/>
  <c r="S28" i="1"/>
  <c r="S28" i="2" s="1"/>
  <c r="T28" i="1"/>
  <c r="T28" i="2" s="1"/>
  <c r="U28" i="1"/>
  <c r="U28" i="2" s="1"/>
  <c r="V28" i="1"/>
  <c r="V28" i="2" s="1"/>
  <c r="W28" i="1"/>
  <c r="W28" i="2" s="1"/>
  <c r="X28" i="1"/>
  <c r="X28" i="2" s="1"/>
  <c r="Y28" i="1"/>
  <c r="Y28" i="2" s="1"/>
  <c r="Z28" i="1"/>
  <c r="Z28" i="2" s="1"/>
  <c r="AA28" i="1"/>
  <c r="AA28" i="2" s="1"/>
  <c r="AB28" i="1"/>
  <c r="AB28" i="2" s="1"/>
  <c r="AC28" i="1"/>
  <c r="AC28" i="2" s="1"/>
  <c r="AD28" i="1"/>
  <c r="AD28" i="2" s="1"/>
  <c r="AE28" i="1"/>
  <c r="AE28" i="2" s="1"/>
  <c r="AF28" i="1"/>
  <c r="AF28" i="2" s="1"/>
  <c r="AG28" i="1"/>
  <c r="AG28" i="2" s="1"/>
  <c r="AH28" i="1"/>
  <c r="AH28" i="2" s="1"/>
  <c r="AI28" i="1"/>
  <c r="AI28" i="2" s="1"/>
  <c r="AJ28" i="1"/>
  <c r="AJ28" i="2" s="1"/>
  <c r="AK28" i="1"/>
  <c r="AK28" i="2" s="1"/>
  <c r="AL28" i="1"/>
  <c r="AL28" i="2" s="1"/>
  <c r="AM28" i="1"/>
  <c r="AM28" i="2" s="1"/>
  <c r="J29" i="1"/>
  <c r="J29" i="2" s="1"/>
  <c r="K29" i="1"/>
  <c r="K29" i="2" s="1"/>
  <c r="L29" i="1"/>
  <c r="L29" i="2" s="1"/>
  <c r="M29" i="1"/>
  <c r="M29" i="2" s="1"/>
  <c r="N29" i="1"/>
  <c r="N29" i="2" s="1"/>
  <c r="O29" i="1"/>
  <c r="O29" i="2" s="1"/>
  <c r="P29" i="1"/>
  <c r="P29" i="2" s="1"/>
  <c r="Q29" i="1"/>
  <c r="Q29" i="2" s="1"/>
  <c r="R29" i="1"/>
  <c r="R29" i="2" s="1"/>
  <c r="S29" i="1"/>
  <c r="S29" i="2" s="1"/>
  <c r="T29" i="1"/>
  <c r="T29" i="2" s="1"/>
  <c r="U29" i="1"/>
  <c r="U29" i="2" s="1"/>
  <c r="V29" i="1"/>
  <c r="V29" i="2" s="1"/>
  <c r="W29" i="1"/>
  <c r="W29" i="2" s="1"/>
  <c r="X29" i="1"/>
  <c r="X29" i="2" s="1"/>
  <c r="Y29" i="1"/>
  <c r="Y29" i="2" s="1"/>
  <c r="Z29" i="1"/>
  <c r="Z29" i="2" s="1"/>
  <c r="AA29" i="1"/>
  <c r="AA29" i="2" s="1"/>
  <c r="AB29" i="1"/>
  <c r="AB29" i="2" s="1"/>
  <c r="AC29" i="1"/>
  <c r="AC29" i="2" s="1"/>
  <c r="AD29" i="1"/>
  <c r="AD29" i="2" s="1"/>
  <c r="AE29" i="1"/>
  <c r="AE29" i="2" s="1"/>
  <c r="AF29" i="1"/>
  <c r="AF29" i="2" s="1"/>
  <c r="AG29" i="1"/>
  <c r="AG29" i="2" s="1"/>
  <c r="AH29" i="1"/>
  <c r="AH29" i="2" s="1"/>
  <c r="AI29" i="1"/>
  <c r="AI29" i="2" s="1"/>
  <c r="AJ29" i="1"/>
  <c r="AJ29" i="2" s="1"/>
  <c r="AK29" i="1"/>
  <c r="AK29" i="2" s="1"/>
  <c r="AL29" i="1"/>
  <c r="AL29" i="2" s="1"/>
  <c r="AM29" i="1"/>
  <c r="AM29" i="2" s="1"/>
  <c r="J30" i="1"/>
  <c r="J30" i="2" s="1"/>
  <c r="K30" i="1"/>
  <c r="K30" i="2" s="1"/>
  <c r="L30" i="1"/>
  <c r="L30" i="2" s="1"/>
  <c r="M30" i="1"/>
  <c r="M30" i="2" s="1"/>
  <c r="N30" i="1"/>
  <c r="N30" i="2" s="1"/>
  <c r="O30" i="1"/>
  <c r="O30" i="2" s="1"/>
  <c r="P30" i="1"/>
  <c r="P30" i="2" s="1"/>
  <c r="Q30" i="1"/>
  <c r="Q30" i="2" s="1"/>
  <c r="R30" i="1"/>
  <c r="R30" i="2" s="1"/>
  <c r="S30" i="1"/>
  <c r="S30" i="2" s="1"/>
  <c r="T30" i="1"/>
  <c r="T30" i="2" s="1"/>
  <c r="U30" i="1"/>
  <c r="U30" i="2" s="1"/>
  <c r="V30" i="1"/>
  <c r="V30" i="2" s="1"/>
  <c r="W30" i="1"/>
  <c r="W30" i="2" s="1"/>
  <c r="X30" i="1"/>
  <c r="X30" i="2" s="1"/>
  <c r="Y30" i="1"/>
  <c r="Y30" i="2" s="1"/>
  <c r="Z30" i="1"/>
  <c r="Z30" i="2" s="1"/>
  <c r="AA30" i="1"/>
  <c r="AA30" i="2" s="1"/>
  <c r="AB30" i="1"/>
  <c r="AB30" i="2" s="1"/>
  <c r="AC30" i="1"/>
  <c r="AC30" i="2" s="1"/>
  <c r="AD30" i="1"/>
  <c r="AD30" i="2" s="1"/>
  <c r="AE30" i="1"/>
  <c r="AE30" i="2" s="1"/>
  <c r="AF30" i="1"/>
  <c r="AF30" i="2" s="1"/>
  <c r="AG30" i="1"/>
  <c r="AG30" i="2" s="1"/>
  <c r="AH30" i="1"/>
  <c r="AH30" i="2" s="1"/>
  <c r="AI30" i="1"/>
  <c r="AI30" i="2" s="1"/>
  <c r="AJ30" i="1"/>
  <c r="AJ30" i="2" s="1"/>
  <c r="AK30" i="1"/>
  <c r="AK30" i="2" s="1"/>
  <c r="AL30" i="1"/>
  <c r="AL30" i="2" s="1"/>
  <c r="AM30" i="1"/>
  <c r="AM30" i="2" s="1"/>
  <c r="J31" i="1"/>
  <c r="J31" i="2" s="1"/>
  <c r="K31" i="1"/>
  <c r="K31" i="2" s="1"/>
  <c r="L31" i="1"/>
  <c r="L31" i="2" s="1"/>
  <c r="M31" i="1"/>
  <c r="M31" i="2" s="1"/>
  <c r="N31" i="1"/>
  <c r="N31" i="2" s="1"/>
  <c r="O31" i="1"/>
  <c r="O31" i="2" s="1"/>
  <c r="P31" i="1"/>
  <c r="P31" i="2" s="1"/>
  <c r="Q31" i="1"/>
  <c r="Q31" i="2" s="1"/>
  <c r="R31" i="1"/>
  <c r="R31" i="2" s="1"/>
  <c r="S31" i="1"/>
  <c r="S31" i="2" s="1"/>
  <c r="T31" i="1"/>
  <c r="T31" i="2" s="1"/>
  <c r="U31" i="1"/>
  <c r="U31" i="2" s="1"/>
  <c r="V31" i="1"/>
  <c r="V31" i="2" s="1"/>
  <c r="W31" i="1"/>
  <c r="W31" i="2" s="1"/>
  <c r="X31" i="1"/>
  <c r="X31" i="2" s="1"/>
  <c r="Y31" i="1"/>
  <c r="Y31" i="2" s="1"/>
  <c r="Z31" i="1"/>
  <c r="Z31" i="2" s="1"/>
  <c r="AA31" i="1"/>
  <c r="AA31" i="2" s="1"/>
  <c r="AB31" i="1"/>
  <c r="AB31" i="2" s="1"/>
  <c r="AC31" i="1"/>
  <c r="AC31" i="2" s="1"/>
  <c r="AD31" i="1"/>
  <c r="AD31" i="2" s="1"/>
  <c r="AE31" i="1"/>
  <c r="AE31" i="2" s="1"/>
  <c r="AF31" i="1"/>
  <c r="AF31" i="2" s="1"/>
  <c r="AG31" i="1"/>
  <c r="AG31" i="2" s="1"/>
  <c r="AH31" i="1"/>
  <c r="AH31" i="2" s="1"/>
  <c r="AI31" i="1"/>
  <c r="AI31" i="2" s="1"/>
  <c r="AJ31" i="1"/>
  <c r="AJ31" i="2" s="1"/>
  <c r="AK31" i="1"/>
  <c r="AK31" i="2" s="1"/>
  <c r="AL31" i="1"/>
  <c r="AL31" i="2" s="1"/>
  <c r="AM31" i="1"/>
  <c r="AM31" i="2" s="1"/>
  <c r="J32" i="1"/>
  <c r="J32" i="2" s="1"/>
  <c r="K32" i="1"/>
  <c r="K32" i="2" s="1"/>
  <c r="L32" i="1"/>
  <c r="L32" i="2" s="1"/>
  <c r="M32" i="1"/>
  <c r="M32" i="2" s="1"/>
  <c r="N32" i="1"/>
  <c r="N32" i="2" s="1"/>
  <c r="O32" i="1"/>
  <c r="O32" i="2" s="1"/>
  <c r="P32" i="1"/>
  <c r="P32" i="2" s="1"/>
  <c r="Q32" i="1"/>
  <c r="Q32" i="2" s="1"/>
  <c r="R32" i="1"/>
  <c r="R32" i="2" s="1"/>
  <c r="S32" i="1"/>
  <c r="S32" i="2" s="1"/>
  <c r="T32" i="1"/>
  <c r="T32" i="2" s="1"/>
  <c r="U32" i="1"/>
  <c r="U32" i="2" s="1"/>
  <c r="V32" i="1"/>
  <c r="V32" i="2" s="1"/>
  <c r="W32" i="1"/>
  <c r="W32" i="2" s="1"/>
  <c r="X32" i="1"/>
  <c r="X32" i="2" s="1"/>
  <c r="Y32" i="1"/>
  <c r="Y32" i="2" s="1"/>
  <c r="Z32" i="1"/>
  <c r="Z32" i="2" s="1"/>
  <c r="AA32" i="1"/>
  <c r="AA32" i="2" s="1"/>
  <c r="AB32" i="1"/>
  <c r="AB32" i="2" s="1"/>
  <c r="AC32" i="1"/>
  <c r="AC32" i="2" s="1"/>
  <c r="AD32" i="1"/>
  <c r="AD32" i="2" s="1"/>
  <c r="AE32" i="1"/>
  <c r="AE32" i="2" s="1"/>
  <c r="AF32" i="1"/>
  <c r="AF32" i="2" s="1"/>
  <c r="AG32" i="1"/>
  <c r="AG32" i="2" s="1"/>
  <c r="AH32" i="1"/>
  <c r="AH32" i="2" s="1"/>
  <c r="AI32" i="1"/>
  <c r="AI32" i="2" s="1"/>
  <c r="AJ32" i="1"/>
  <c r="AJ32" i="2" s="1"/>
  <c r="AK32" i="1"/>
  <c r="AK32" i="2" s="1"/>
  <c r="AL32" i="1"/>
  <c r="AL32" i="2" s="1"/>
  <c r="AM32" i="1"/>
  <c r="AM32" i="2" s="1"/>
  <c r="J33" i="1"/>
  <c r="J33" i="2" s="1"/>
  <c r="K33" i="1"/>
  <c r="K33" i="2" s="1"/>
  <c r="L33" i="1"/>
  <c r="L33" i="2" s="1"/>
  <c r="M33" i="1"/>
  <c r="M33" i="2" s="1"/>
  <c r="N33" i="1"/>
  <c r="N33" i="2" s="1"/>
  <c r="O33" i="1"/>
  <c r="O33" i="2" s="1"/>
  <c r="P33" i="1"/>
  <c r="P33" i="2" s="1"/>
  <c r="Q33" i="1"/>
  <c r="Q33" i="2" s="1"/>
  <c r="R33" i="1"/>
  <c r="R33" i="2" s="1"/>
  <c r="S33" i="1"/>
  <c r="S33" i="2" s="1"/>
  <c r="T33" i="1"/>
  <c r="T33" i="2" s="1"/>
  <c r="U33" i="1"/>
  <c r="U33" i="2" s="1"/>
  <c r="V33" i="1"/>
  <c r="V33" i="2" s="1"/>
  <c r="W33" i="1"/>
  <c r="W33" i="2" s="1"/>
  <c r="X33" i="1"/>
  <c r="X33" i="2" s="1"/>
  <c r="Y33" i="1"/>
  <c r="Y33" i="2" s="1"/>
  <c r="Z33" i="1"/>
  <c r="Z33" i="2" s="1"/>
  <c r="AA33" i="1"/>
  <c r="AA33" i="2" s="1"/>
  <c r="AB33" i="1"/>
  <c r="AB33" i="2" s="1"/>
  <c r="AC33" i="1"/>
  <c r="AC33" i="2" s="1"/>
  <c r="AD33" i="1"/>
  <c r="AD33" i="2" s="1"/>
  <c r="AE33" i="1"/>
  <c r="AE33" i="2" s="1"/>
  <c r="AF33" i="1"/>
  <c r="AF33" i="2" s="1"/>
  <c r="AG33" i="1"/>
  <c r="AG33" i="2" s="1"/>
  <c r="AH33" i="1"/>
  <c r="AH33" i="2" s="1"/>
  <c r="AI33" i="1"/>
  <c r="AI33" i="2" s="1"/>
  <c r="AJ33" i="1"/>
  <c r="AJ33" i="2" s="1"/>
  <c r="AK33" i="1"/>
  <c r="AK33" i="2" s="1"/>
  <c r="AL33" i="1"/>
  <c r="AL33" i="2" s="1"/>
  <c r="AM33" i="1"/>
  <c r="AM33" i="2" s="1"/>
  <c r="J34" i="1"/>
  <c r="J34" i="2" s="1"/>
  <c r="K34" i="1"/>
  <c r="K34" i="2" s="1"/>
  <c r="L34" i="1"/>
  <c r="L34" i="2" s="1"/>
  <c r="M34" i="1"/>
  <c r="M34" i="2" s="1"/>
  <c r="N34" i="1"/>
  <c r="N34" i="2" s="1"/>
  <c r="O34" i="1"/>
  <c r="O34" i="2" s="1"/>
  <c r="P34" i="1"/>
  <c r="P34" i="2" s="1"/>
  <c r="Q34" i="1"/>
  <c r="Q34" i="2" s="1"/>
  <c r="R34" i="1"/>
  <c r="R34" i="2" s="1"/>
  <c r="S34" i="1"/>
  <c r="S34" i="2" s="1"/>
  <c r="T34" i="1"/>
  <c r="T34" i="2" s="1"/>
  <c r="U34" i="1"/>
  <c r="U34" i="2" s="1"/>
  <c r="V34" i="1"/>
  <c r="V34" i="2" s="1"/>
  <c r="W34" i="1"/>
  <c r="W34" i="2" s="1"/>
  <c r="X34" i="1"/>
  <c r="X34" i="2" s="1"/>
  <c r="Y34" i="1"/>
  <c r="Y34" i="2" s="1"/>
  <c r="Z34" i="1"/>
  <c r="Z34" i="2" s="1"/>
  <c r="AA34" i="1"/>
  <c r="AA34" i="2" s="1"/>
  <c r="AB34" i="1"/>
  <c r="AB34" i="2" s="1"/>
  <c r="AC34" i="1"/>
  <c r="AC34" i="2" s="1"/>
  <c r="AD34" i="1"/>
  <c r="AD34" i="2" s="1"/>
  <c r="AE34" i="1"/>
  <c r="AE34" i="2" s="1"/>
  <c r="AF34" i="1"/>
  <c r="AF34" i="2" s="1"/>
  <c r="AG34" i="1"/>
  <c r="AG34" i="2" s="1"/>
  <c r="AH34" i="1"/>
  <c r="AH34" i="2" s="1"/>
  <c r="AI34" i="1"/>
  <c r="AI34" i="2" s="1"/>
  <c r="AJ34" i="1"/>
  <c r="AJ34" i="2" s="1"/>
  <c r="AK34" i="1"/>
  <c r="AK34" i="2" s="1"/>
  <c r="AL34" i="1"/>
  <c r="AL34" i="2" s="1"/>
  <c r="AM34" i="1"/>
  <c r="AM34" i="2" s="1"/>
  <c r="J35" i="1"/>
  <c r="J35" i="2" s="1"/>
  <c r="K35" i="1"/>
  <c r="K35" i="2" s="1"/>
  <c r="L35" i="1"/>
  <c r="L35" i="2" s="1"/>
  <c r="M35" i="1"/>
  <c r="M35" i="2" s="1"/>
  <c r="N35" i="1"/>
  <c r="N35" i="2" s="1"/>
  <c r="O35" i="1"/>
  <c r="O35" i="2" s="1"/>
  <c r="P35" i="1"/>
  <c r="P35" i="2" s="1"/>
  <c r="Q35" i="1"/>
  <c r="Q35" i="2" s="1"/>
  <c r="R35" i="1"/>
  <c r="R35" i="2" s="1"/>
  <c r="S35" i="1"/>
  <c r="S35" i="2" s="1"/>
  <c r="T35" i="1"/>
  <c r="T35" i="2" s="1"/>
  <c r="U35" i="1"/>
  <c r="U35" i="2" s="1"/>
  <c r="V35" i="1"/>
  <c r="V35" i="2" s="1"/>
  <c r="W35" i="1"/>
  <c r="W35" i="2" s="1"/>
  <c r="X35" i="1"/>
  <c r="X35" i="2" s="1"/>
  <c r="Y35" i="1"/>
  <c r="Y35" i="2" s="1"/>
  <c r="Z35" i="1"/>
  <c r="Z35" i="2" s="1"/>
  <c r="AA35" i="1"/>
  <c r="AA35" i="2" s="1"/>
  <c r="AB35" i="1"/>
  <c r="AB35" i="2" s="1"/>
  <c r="AC35" i="1"/>
  <c r="AC35" i="2" s="1"/>
  <c r="AD35" i="1"/>
  <c r="AD35" i="2" s="1"/>
  <c r="AE35" i="1"/>
  <c r="AE35" i="2" s="1"/>
  <c r="AF35" i="1"/>
  <c r="AF35" i="2" s="1"/>
  <c r="AG35" i="1"/>
  <c r="AG35" i="2" s="1"/>
  <c r="AH35" i="1"/>
  <c r="AH35" i="2" s="1"/>
  <c r="AI35" i="1"/>
  <c r="AI35" i="2" s="1"/>
  <c r="AJ35" i="1"/>
  <c r="AJ35" i="2" s="1"/>
  <c r="AK35" i="1"/>
  <c r="AK35" i="2" s="1"/>
  <c r="AL35" i="1"/>
  <c r="AL35" i="2" s="1"/>
  <c r="AM35" i="1"/>
  <c r="AM35" i="2" s="1"/>
  <c r="J36" i="1"/>
  <c r="J36" i="2" s="1"/>
  <c r="K36" i="1"/>
  <c r="K36" i="2" s="1"/>
  <c r="L36" i="1"/>
  <c r="L36" i="2" s="1"/>
  <c r="M36" i="1"/>
  <c r="M36" i="2" s="1"/>
  <c r="N36" i="1"/>
  <c r="N36" i="2" s="1"/>
  <c r="O36" i="1"/>
  <c r="O36" i="2" s="1"/>
  <c r="P36" i="1"/>
  <c r="P36" i="2" s="1"/>
  <c r="Q36" i="1"/>
  <c r="Q36" i="2" s="1"/>
  <c r="R36" i="1"/>
  <c r="R36" i="2" s="1"/>
  <c r="S36" i="1"/>
  <c r="S36" i="2" s="1"/>
  <c r="T36" i="1"/>
  <c r="T36" i="2" s="1"/>
  <c r="U36" i="1"/>
  <c r="U36" i="2" s="1"/>
  <c r="V36" i="1"/>
  <c r="V36" i="2" s="1"/>
  <c r="W36" i="1"/>
  <c r="W36" i="2" s="1"/>
  <c r="X36" i="1"/>
  <c r="X36" i="2" s="1"/>
  <c r="Y36" i="1"/>
  <c r="Y36" i="2" s="1"/>
  <c r="Z36" i="1"/>
  <c r="Z36" i="2" s="1"/>
  <c r="AA36" i="1"/>
  <c r="AA36" i="2" s="1"/>
  <c r="AB36" i="1"/>
  <c r="AB36" i="2" s="1"/>
  <c r="AC36" i="1"/>
  <c r="AC36" i="2" s="1"/>
  <c r="AD36" i="1"/>
  <c r="AD36" i="2" s="1"/>
  <c r="AE36" i="1"/>
  <c r="AE36" i="2" s="1"/>
  <c r="AF36" i="1"/>
  <c r="AF36" i="2" s="1"/>
  <c r="AG36" i="1"/>
  <c r="AG36" i="2" s="1"/>
  <c r="AH36" i="1"/>
  <c r="AH36" i="2" s="1"/>
  <c r="AI36" i="1"/>
  <c r="AI36" i="2" s="1"/>
  <c r="AJ36" i="1"/>
  <c r="AJ36" i="2" s="1"/>
  <c r="AK36" i="1"/>
  <c r="AK36" i="2" s="1"/>
  <c r="AL36" i="1"/>
  <c r="AL36" i="2" s="1"/>
  <c r="AM36" i="1"/>
  <c r="AM36" i="2" s="1"/>
  <c r="J37" i="1"/>
  <c r="J37" i="2" s="1"/>
  <c r="K37" i="1"/>
  <c r="K37" i="2" s="1"/>
  <c r="L37" i="1"/>
  <c r="L37" i="2" s="1"/>
  <c r="M37" i="1"/>
  <c r="M37" i="2" s="1"/>
  <c r="N37" i="1"/>
  <c r="N37" i="2" s="1"/>
  <c r="O37" i="1"/>
  <c r="O37" i="2" s="1"/>
  <c r="P37" i="1"/>
  <c r="P37" i="2" s="1"/>
  <c r="Q37" i="1"/>
  <c r="Q37" i="2" s="1"/>
  <c r="R37" i="1"/>
  <c r="R37" i="2" s="1"/>
  <c r="S37" i="1"/>
  <c r="S37" i="2" s="1"/>
  <c r="T37" i="1"/>
  <c r="T37" i="2" s="1"/>
  <c r="U37" i="1"/>
  <c r="U37" i="2" s="1"/>
  <c r="V37" i="1"/>
  <c r="V37" i="2" s="1"/>
  <c r="W37" i="1"/>
  <c r="W37" i="2" s="1"/>
  <c r="X37" i="1"/>
  <c r="X37" i="2" s="1"/>
  <c r="Y37" i="1"/>
  <c r="Y37" i="2" s="1"/>
  <c r="Z37" i="1"/>
  <c r="Z37" i="2" s="1"/>
  <c r="AA37" i="1"/>
  <c r="AA37" i="2" s="1"/>
  <c r="AB37" i="1"/>
  <c r="AB37" i="2" s="1"/>
  <c r="AC37" i="1"/>
  <c r="AC37" i="2" s="1"/>
  <c r="AD37" i="1"/>
  <c r="AD37" i="2" s="1"/>
  <c r="AE37" i="1"/>
  <c r="AE37" i="2" s="1"/>
  <c r="AF37" i="1"/>
  <c r="AF37" i="2" s="1"/>
  <c r="AG37" i="1"/>
  <c r="AG37" i="2" s="1"/>
  <c r="AH37" i="1"/>
  <c r="AH37" i="2" s="1"/>
  <c r="AI37" i="1"/>
  <c r="AI37" i="2" s="1"/>
  <c r="AJ37" i="1"/>
  <c r="AJ37" i="2" s="1"/>
  <c r="AK37" i="1"/>
  <c r="AK37" i="2" s="1"/>
  <c r="AL37" i="1"/>
  <c r="AL37" i="2" s="1"/>
  <c r="AM37" i="1"/>
  <c r="AM37" i="2" s="1"/>
  <c r="J38" i="1"/>
  <c r="J38" i="2" s="1"/>
  <c r="K38" i="1"/>
  <c r="K38" i="2" s="1"/>
  <c r="L38" i="1"/>
  <c r="L38" i="2" s="1"/>
  <c r="M38" i="1"/>
  <c r="M38" i="2" s="1"/>
  <c r="N38" i="1"/>
  <c r="N38" i="2" s="1"/>
  <c r="O38" i="1"/>
  <c r="O38" i="2" s="1"/>
  <c r="P38" i="1"/>
  <c r="P38" i="2" s="1"/>
  <c r="Q38" i="1"/>
  <c r="Q38" i="2" s="1"/>
  <c r="R38" i="1"/>
  <c r="R38" i="2" s="1"/>
  <c r="S38" i="1"/>
  <c r="S38" i="2" s="1"/>
  <c r="T38" i="1"/>
  <c r="T38" i="2" s="1"/>
  <c r="U38" i="1"/>
  <c r="U38" i="2" s="1"/>
  <c r="V38" i="1"/>
  <c r="V38" i="2" s="1"/>
  <c r="W38" i="1"/>
  <c r="W38" i="2" s="1"/>
  <c r="X38" i="1"/>
  <c r="X38" i="2" s="1"/>
  <c r="Y38" i="1"/>
  <c r="Y38" i="2" s="1"/>
  <c r="Z38" i="1"/>
  <c r="Z38" i="2" s="1"/>
  <c r="AA38" i="1"/>
  <c r="AA38" i="2" s="1"/>
  <c r="AB38" i="1"/>
  <c r="AB38" i="2" s="1"/>
  <c r="AC38" i="1"/>
  <c r="AC38" i="2" s="1"/>
  <c r="AD38" i="1"/>
  <c r="AD38" i="2" s="1"/>
  <c r="AE38" i="1"/>
  <c r="AE38" i="2" s="1"/>
  <c r="AF38" i="1"/>
  <c r="AF38" i="2" s="1"/>
  <c r="AG38" i="1"/>
  <c r="AG38" i="2" s="1"/>
  <c r="AH38" i="1"/>
  <c r="AH38" i="2" s="1"/>
  <c r="AI38" i="1"/>
  <c r="AI38" i="2" s="1"/>
  <c r="AJ38" i="1"/>
  <c r="AJ38" i="2" s="1"/>
  <c r="AK38" i="1"/>
  <c r="AK38" i="2" s="1"/>
  <c r="AL38" i="1"/>
  <c r="AL38" i="2" s="1"/>
  <c r="AM38" i="1"/>
  <c r="AM38" i="2" s="1"/>
  <c r="J39" i="1"/>
  <c r="J39" i="2" s="1"/>
  <c r="K39" i="1"/>
  <c r="K39" i="2" s="1"/>
  <c r="L39" i="1"/>
  <c r="L39" i="2" s="1"/>
  <c r="M39" i="1"/>
  <c r="M39" i="2" s="1"/>
  <c r="N39" i="1"/>
  <c r="N39" i="2" s="1"/>
  <c r="O39" i="1"/>
  <c r="O39" i="2" s="1"/>
  <c r="P39" i="1"/>
  <c r="P39" i="2" s="1"/>
  <c r="Q39" i="1"/>
  <c r="Q39" i="2" s="1"/>
  <c r="R39" i="1"/>
  <c r="R39" i="2" s="1"/>
  <c r="S39" i="1"/>
  <c r="S39" i="2" s="1"/>
  <c r="T39" i="1"/>
  <c r="T39" i="2" s="1"/>
  <c r="U39" i="1"/>
  <c r="U39" i="2" s="1"/>
  <c r="V39" i="1"/>
  <c r="V39" i="2" s="1"/>
  <c r="W39" i="1"/>
  <c r="W39" i="2" s="1"/>
  <c r="X39" i="1"/>
  <c r="X39" i="2" s="1"/>
  <c r="Y39" i="1"/>
  <c r="Y39" i="2" s="1"/>
  <c r="Z39" i="1"/>
  <c r="Z39" i="2" s="1"/>
  <c r="AA39" i="1"/>
  <c r="AA39" i="2" s="1"/>
  <c r="AB39" i="1"/>
  <c r="AB39" i="2" s="1"/>
  <c r="AC39" i="1"/>
  <c r="AC39" i="2" s="1"/>
  <c r="AD39" i="1"/>
  <c r="AD39" i="2" s="1"/>
  <c r="AE39" i="1"/>
  <c r="AE39" i="2" s="1"/>
  <c r="AF39" i="1"/>
  <c r="AF39" i="2" s="1"/>
  <c r="AG39" i="1"/>
  <c r="AG39" i="2" s="1"/>
  <c r="AH39" i="1"/>
  <c r="AH39" i="2" s="1"/>
  <c r="AI39" i="1"/>
  <c r="AI39" i="2" s="1"/>
  <c r="AJ39" i="1"/>
  <c r="AJ39" i="2" s="1"/>
  <c r="AK39" i="1"/>
  <c r="AK39" i="2" s="1"/>
  <c r="AL39" i="1"/>
  <c r="AL39" i="2" s="1"/>
  <c r="AM39" i="1"/>
  <c r="AM39" i="2" s="1"/>
  <c r="J40" i="1"/>
  <c r="J40" i="2" s="1"/>
  <c r="K40" i="1"/>
  <c r="K40" i="2" s="1"/>
  <c r="L40" i="1"/>
  <c r="L40" i="2" s="1"/>
  <c r="M40" i="1"/>
  <c r="M40" i="2" s="1"/>
  <c r="N40" i="1"/>
  <c r="N40" i="2" s="1"/>
  <c r="O40" i="1"/>
  <c r="O40" i="2" s="1"/>
  <c r="P40" i="1"/>
  <c r="P40" i="2" s="1"/>
  <c r="Q40" i="1"/>
  <c r="Q40" i="2" s="1"/>
  <c r="R40" i="1"/>
  <c r="R40" i="2" s="1"/>
  <c r="S40" i="1"/>
  <c r="S40" i="2" s="1"/>
  <c r="T40" i="1"/>
  <c r="T40" i="2" s="1"/>
  <c r="U40" i="1"/>
  <c r="U40" i="2" s="1"/>
  <c r="V40" i="1"/>
  <c r="V40" i="2" s="1"/>
  <c r="W40" i="1"/>
  <c r="W40" i="2" s="1"/>
  <c r="X40" i="1"/>
  <c r="X40" i="2" s="1"/>
  <c r="Y40" i="1"/>
  <c r="Y40" i="2" s="1"/>
  <c r="Z40" i="1"/>
  <c r="Z40" i="2" s="1"/>
  <c r="AA40" i="1"/>
  <c r="AA40" i="2" s="1"/>
  <c r="AB40" i="1"/>
  <c r="AB40" i="2" s="1"/>
  <c r="AC40" i="1"/>
  <c r="AC40" i="2" s="1"/>
  <c r="AD40" i="1"/>
  <c r="AD40" i="2" s="1"/>
  <c r="AE40" i="1"/>
  <c r="AE40" i="2" s="1"/>
  <c r="AF40" i="1"/>
  <c r="AF40" i="2" s="1"/>
  <c r="AG40" i="1"/>
  <c r="AG40" i="2" s="1"/>
  <c r="AH40" i="1"/>
  <c r="AH40" i="2" s="1"/>
  <c r="AI40" i="1"/>
  <c r="AI40" i="2" s="1"/>
  <c r="AJ40" i="1"/>
  <c r="AJ40" i="2" s="1"/>
  <c r="AK40" i="1"/>
  <c r="AK40" i="2" s="1"/>
  <c r="AL40" i="1"/>
  <c r="AL40" i="2" s="1"/>
  <c r="AM40" i="1"/>
  <c r="AM40" i="2" s="1"/>
  <c r="J41" i="1"/>
  <c r="J41" i="2" s="1"/>
  <c r="K41" i="1"/>
  <c r="K41" i="2" s="1"/>
  <c r="L41" i="1"/>
  <c r="L41" i="2" s="1"/>
  <c r="M41" i="1"/>
  <c r="M41" i="2" s="1"/>
  <c r="N41" i="1"/>
  <c r="N41" i="2" s="1"/>
  <c r="O41" i="1"/>
  <c r="O41" i="2" s="1"/>
  <c r="P41" i="1"/>
  <c r="P41" i="2" s="1"/>
  <c r="Q41" i="1"/>
  <c r="Q41" i="2" s="1"/>
  <c r="R41" i="1"/>
  <c r="R41" i="2" s="1"/>
  <c r="S41" i="1"/>
  <c r="S41" i="2" s="1"/>
  <c r="T41" i="1"/>
  <c r="T41" i="2" s="1"/>
  <c r="U41" i="1"/>
  <c r="U41" i="2" s="1"/>
  <c r="V41" i="1"/>
  <c r="V41" i="2" s="1"/>
  <c r="W41" i="1"/>
  <c r="W41" i="2" s="1"/>
  <c r="X41" i="1"/>
  <c r="X41" i="2" s="1"/>
  <c r="Y41" i="1"/>
  <c r="Y41" i="2" s="1"/>
  <c r="Z41" i="1"/>
  <c r="Z41" i="2" s="1"/>
  <c r="AA41" i="1"/>
  <c r="AA41" i="2" s="1"/>
  <c r="AB41" i="1"/>
  <c r="AB41" i="2" s="1"/>
  <c r="AC41" i="1"/>
  <c r="AC41" i="2" s="1"/>
  <c r="AD41" i="1"/>
  <c r="AD41" i="2" s="1"/>
  <c r="AE41" i="1"/>
  <c r="AE41" i="2" s="1"/>
  <c r="AF41" i="1"/>
  <c r="AF41" i="2" s="1"/>
  <c r="AG41" i="1"/>
  <c r="AG41" i="2" s="1"/>
  <c r="AH41" i="1"/>
  <c r="AH41" i="2" s="1"/>
  <c r="AI41" i="1"/>
  <c r="AI41" i="2" s="1"/>
  <c r="AJ41" i="1"/>
  <c r="AJ41" i="2" s="1"/>
  <c r="AK41" i="1"/>
  <c r="AK41" i="2" s="1"/>
  <c r="AL41" i="1"/>
  <c r="AL41" i="2" s="1"/>
  <c r="AM41" i="1"/>
  <c r="AM41" i="2" s="1"/>
  <c r="J42" i="1"/>
  <c r="J42" i="2" s="1"/>
  <c r="K42" i="1"/>
  <c r="K42" i="2" s="1"/>
  <c r="L42" i="1"/>
  <c r="L42" i="2" s="1"/>
  <c r="M42" i="1"/>
  <c r="M42" i="2" s="1"/>
  <c r="N42" i="1"/>
  <c r="N42" i="2" s="1"/>
  <c r="O42" i="1"/>
  <c r="O42" i="2" s="1"/>
  <c r="P42" i="1"/>
  <c r="P42" i="2" s="1"/>
  <c r="Q42" i="1"/>
  <c r="Q42" i="2" s="1"/>
  <c r="R42" i="1"/>
  <c r="R42" i="2" s="1"/>
  <c r="S42" i="1"/>
  <c r="S42" i="2" s="1"/>
  <c r="T42" i="1"/>
  <c r="T42" i="2" s="1"/>
  <c r="U42" i="1"/>
  <c r="U42" i="2" s="1"/>
  <c r="V42" i="1"/>
  <c r="V42" i="2" s="1"/>
  <c r="W42" i="1"/>
  <c r="W42" i="2" s="1"/>
  <c r="X42" i="1"/>
  <c r="X42" i="2" s="1"/>
  <c r="Y42" i="1"/>
  <c r="Y42" i="2" s="1"/>
  <c r="Z42" i="1"/>
  <c r="Z42" i="2" s="1"/>
  <c r="AA42" i="1"/>
  <c r="AA42" i="2" s="1"/>
  <c r="AB42" i="1"/>
  <c r="AB42" i="2" s="1"/>
  <c r="AC42" i="1"/>
  <c r="AC42" i="2" s="1"/>
  <c r="AD42" i="1"/>
  <c r="AD42" i="2" s="1"/>
  <c r="AE42" i="1"/>
  <c r="AE42" i="2" s="1"/>
  <c r="AF42" i="1"/>
  <c r="AF42" i="2" s="1"/>
  <c r="AG42" i="1"/>
  <c r="AG42" i="2" s="1"/>
  <c r="AH42" i="1"/>
  <c r="AH42" i="2" s="1"/>
  <c r="AI42" i="1"/>
  <c r="AI42" i="2" s="1"/>
  <c r="AJ42" i="1"/>
  <c r="AJ42" i="2" s="1"/>
  <c r="AK42" i="1"/>
  <c r="AK42" i="2" s="1"/>
  <c r="AL42" i="1"/>
  <c r="AL42" i="2" s="1"/>
  <c r="AM42" i="1"/>
  <c r="AM42" i="2" s="1"/>
  <c r="J43" i="1"/>
  <c r="J43" i="2" s="1"/>
  <c r="K43" i="1"/>
  <c r="K43" i="2" s="1"/>
  <c r="L43" i="1"/>
  <c r="L43" i="2" s="1"/>
  <c r="M43" i="1"/>
  <c r="M43" i="2" s="1"/>
  <c r="N43" i="1"/>
  <c r="N43" i="2" s="1"/>
  <c r="O43" i="1"/>
  <c r="O43" i="2" s="1"/>
  <c r="P43" i="1"/>
  <c r="P43" i="2" s="1"/>
  <c r="Q43" i="1"/>
  <c r="Q43" i="2" s="1"/>
  <c r="R43" i="1"/>
  <c r="R43" i="2" s="1"/>
  <c r="S43" i="1"/>
  <c r="S43" i="2" s="1"/>
  <c r="T43" i="1"/>
  <c r="T43" i="2" s="1"/>
  <c r="U43" i="1"/>
  <c r="U43" i="2" s="1"/>
  <c r="V43" i="1"/>
  <c r="V43" i="2" s="1"/>
  <c r="W43" i="1"/>
  <c r="W43" i="2" s="1"/>
  <c r="X43" i="1"/>
  <c r="X43" i="2" s="1"/>
  <c r="Y43" i="1"/>
  <c r="Y43" i="2" s="1"/>
  <c r="Z43" i="1"/>
  <c r="Z43" i="2" s="1"/>
  <c r="AA43" i="1"/>
  <c r="AA43" i="2" s="1"/>
  <c r="AB43" i="1"/>
  <c r="AB43" i="2" s="1"/>
  <c r="AC43" i="1"/>
  <c r="AC43" i="2" s="1"/>
  <c r="AD43" i="1"/>
  <c r="AD43" i="2" s="1"/>
  <c r="AE43" i="1"/>
  <c r="AE43" i="2" s="1"/>
  <c r="AF43" i="1"/>
  <c r="AF43" i="2" s="1"/>
  <c r="AG43" i="1"/>
  <c r="AG43" i="2" s="1"/>
  <c r="AH43" i="1"/>
  <c r="AH43" i="2" s="1"/>
  <c r="AI43" i="1"/>
  <c r="AI43" i="2" s="1"/>
  <c r="AJ43" i="1"/>
  <c r="AJ43" i="2" s="1"/>
  <c r="AK43" i="1"/>
  <c r="AK43" i="2" s="1"/>
  <c r="AL43" i="1"/>
  <c r="AL43" i="2" s="1"/>
  <c r="AM43" i="1"/>
  <c r="AM43" i="2" s="1"/>
  <c r="J44" i="1"/>
  <c r="J44" i="2" s="1"/>
  <c r="K44" i="1"/>
  <c r="K44" i="2" s="1"/>
  <c r="L44" i="1"/>
  <c r="L44" i="2" s="1"/>
  <c r="M44" i="1"/>
  <c r="M44" i="2" s="1"/>
  <c r="N44" i="1"/>
  <c r="N44" i="2" s="1"/>
  <c r="O44" i="1"/>
  <c r="O44" i="2" s="1"/>
  <c r="P44" i="1"/>
  <c r="P44" i="2" s="1"/>
  <c r="Q44" i="1"/>
  <c r="Q44" i="2" s="1"/>
  <c r="R44" i="1"/>
  <c r="R44" i="2" s="1"/>
  <c r="S44" i="1"/>
  <c r="S44" i="2" s="1"/>
  <c r="T44" i="1"/>
  <c r="T44" i="2" s="1"/>
  <c r="U44" i="1"/>
  <c r="U44" i="2" s="1"/>
  <c r="V44" i="1"/>
  <c r="V44" i="2" s="1"/>
  <c r="W44" i="1"/>
  <c r="W44" i="2" s="1"/>
  <c r="X44" i="1"/>
  <c r="X44" i="2" s="1"/>
  <c r="Y44" i="1"/>
  <c r="Y44" i="2" s="1"/>
  <c r="Z44" i="1"/>
  <c r="Z44" i="2" s="1"/>
  <c r="AA44" i="1"/>
  <c r="AA44" i="2" s="1"/>
  <c r="AB44" i="1"/>
  <c r="AB44" i="2" s="1"/>
  <c r="AC44" i="1"/>
  <c r="AC44" i="2" s="1"/>
  <c r="AD44" i="1"/>
  <c r="AD44" i="2" s="1"/>
  <c r="AE44" i="1"/>
  <c r="AE44" i="2" s="1"/>
  <c r="AF44" i="1"/>
  <c r="AF44" i="2" s="1"/>
  <c r="AG44" i="1"/>
  <c r="AG44" i="2" s="1"/>
  <c r="AH44" i="1"/>
  <c r="AH44" i="2" s="1"/>
  <c r="AI44" i="1"/>
  <c r="AI44" i="2" s="1"/>
  <c r="AJ44" i="1"/>
  <c r="AJ44" i="2" s="1"/>
  <c r="AK44" i="1"/>
  <c r="AK44" i="2" s="1"/>
  <c r="AL44" i="1"/>
  <c r="AL44" i="2" s="1"/>
  <c r="AM44" i="1"/>
  <c r="AM44" i="2" s="1"/>
  <c r="J45" i="1"/>
  <c r="J45" i="2" s="1"/>
  <c r="K45" i="1"/>
  <c r="K45" i="2" s="1"/>
  <c r="L45" i="1"/>
  <c r="L45" i="2" s="1"/>
  <c r="M45" i="1"/>
  <c r="M45" i="2" s="1"/>
  <c r="N45" i="1"/>
  <c r="N45" i="2" s="1"/>
  <c r="O45" i="1"/>
  <c r="O45" i="2" s="1"/>
  <c r="P45" i="1"/>
  <c r="P45" i="2" s="1"/>
  <c r="Q45" i="1"/>
  <c r="Q45" i="2" s="1"/>
  <c r="R45" i="1"/>
  <c r="R45" i="2" s="1"/>
  <c r="S45" i="1"/>
  <c r="S45" i="2" s="1"/>
  <c r="T45" i="1"/>
  <c r="T45" i="2" s="1"/>
  <c r="U45" i="1"/>
  <c r="U45" i="2" s="1"/>
  <c r="V45" i="1"/>
  <c r="V45" i="2" s="1"/>
  <c r="W45" i="1"/>
  <c r="W45" i="2" s="1"/>
  <c r="X45" i="1"/>
  <c r="X45" i="2" s="1"/>
  <c r="Y45" i="1"/>
  <c r="Y45" i="2" s="1"/>
  <c r="Z45" i="1"/>
  <c r="Z45" i="2" s="1"/>
  <c r="AA45" i="1"/>
  <c r="AA45" i="2" s="1"/>
  <c r="AB45" i="1"/>
  <c r="AB45" i="2" s="1"/>
  <c r="AC45" i="1"/>
  <c r="AC45" i="2" s="1"/>
  <c r="AD45" i="1"/>
  <c r="AD45" i="2" s="1"/>
  <c r="AE45" i="1"/>
  <c r="AE45" i="2" s="1"/>
  <c r="AF45" i="1"/>
  <c r="AF45" i="2" s="1"/>
  <c r="AG45" i="1"/>
  <c r="AG45" i="2" s="1"/>
  <c r="AH45" i="1"/>
  <c r="AH45" i="2" s="1"/>
  <c r="AI45" i="1"/>
  <c r="AI45" i="2" s="1"/>
  <c r="AJ45" i="1"/>
  <c r="AJ45" i="2" s="1"/>
  <c r="AK45" i="1"/>
  <c r="AK45" i="2" s="1"/>
  <c r="AL45" i="1"/>
  <c r="AL45" i="2" s="1"/>
  <c r="AM45" i="1"/>
  <c r="AM45" i="2" s="1"/>
  <c r="J46" i="1"/>
  <c r="J46" i="2" s="1"/>
  <c r="K46" i="1"/>
  <c r="K46" i="2" s="1"/>
  <c r="L46" i="1"/>
  <c r="L46" i="2" s="1"/>
  <c r="M46" i="1"/>
  <c r="M46" i="2" s="1"/>
  <c r="N46" i="1"/>
  <c r="N46" i="2" s="1"/>
  <c r="O46" i="1"/>
  <c r="O46" i="2" s="1"/>
  <c r="P46" i="1"/>
  <c r="P46" i="2" s="1"/>
  <c r="Q46" i="1"/>
  <c r="Q46" i="2" s="1"/>
  <c r="R46" i="1"/>
  <c r="R46" i="2" s="1"/>
  <c r="S46" i="1"/>
  <c r="S46" i="2" s="1"/>
  <c r="T46" i="1"/>
  <c r="T46" i="2" s="1"/>
  <c r="U46" i="1"/>
  <c r="U46" i="2" s="1"/>
  <c r="V46" i="1"/>
  <c r="V46" i="2" s="1"/>
  <c r="W46" i="1"/>
  <c r="W46" i="2" s="1"/>
  <c r="X46" i="1"/>
  <c r="X46" i="2" s="1"/>
  <c r="Y46" i="1"/>
  <c r="Y46" i="2" s="1"/>
  <c r="Z46" i="1"/>
  <c r="Z46" i="2" s="1"/>
  <c r="AA46" i="1"/>
  <c r="AA46" i="2" s="1"/>
  <c r="AB46" i="1"/>
  <c r="AB46" i="2" s="1"/>
  <c r="AC46" i="1"/>
  <c r="AC46" i="2" s="1"/>
  <c r="AD46" i="1"/>
  <c r="AD46" i="2" s="1"/>
  <c r="AE46" i="1"/>
  <c r="AE46" i="2" s="1"/>
  <c r="AF46" i="1"/>
  <c r="AF46" i="2" s="1"/>
  <c r="AG46" i="1"/>
  <c r="AG46" i="2" s="1"/>
  <c r="AH46" i="1"/>
  <c r="AH46" i="2" s="1"/>
  <c r="AI46" i="1"/>
  <c r="AI46" i="2" s="1"/>
  <c r="AJ46" i="1"/>
  <c r="AJ46" i="2" s="1"/>
  <c r="AK46" i="1"/>
  <c r="AK46" i="2" s="1"/>
  <c r="AL46" i="1"/>
  <c r="AL46" i="2" s="1"/>
  <c r="AM46" i="1"/>
  <c r="AM46" i="2" s="1"/>
  <c r="J47" i="1"/>
  <c r="J47" i="2" s="1"/>
  <c r="K47" i="1"/>
  <c r="K47" i="2" s="1"/>
  <c r="L47" i="1"/>
  <c r="L47" i="2" s="1"/>
  <c r="M47" i="1"/>
  <c r="M47" i="2" s="1"/>
  <c r="N47" i="1"/>
  <c r="N47" i="2" s="1"/>
  <c r="O47" i="1"/>
  <c r="O47" i="2" s="1"/>
  <c r="P47" i="1"/>
  <c r="P47" i="2" s="1"/>
  <c r="Q47" i="1"/>
  <c r="Q47" i="2" s="1"/>
  <c r="R47" i="1"/>
  <c r="R47" i="2" s="1"/>
  <c r="S47" i="1"/>
  <c r="S47" i="2" s="1"/>
  <c r="T47" i="1"/>
  <c r="T47" i="2" s="1"/>
  <c r="U47" i="1"/>
  <c r="U47" i="2" s="1"/>
  <c r="V47" i="1"/>
  <c r="V47" i="2" s="1"/>
  <c r="W47" i="1"/>
  <c r="W47" i="2" s="1"/>
  <c r="X47" i="1"/>
  <c r="X47" i="2" s="1"/>
  <c r="Y47" i="1"/>
  <c r="Y47" i="2" s="1"/>
  <c r="Z47" i="1"/>
  <c r="Z47" i="2" s="1"/>
  <c r="AA47" i="1"/>
  <c r="AA47" i="2" s="1"/>
  <c r="AB47" i="1"/>
  <c r="AB47" i="2" s="1"/>
  <c r="AC47" i="1"/>
  <c r="AC47" i="2" s="1"/>
  <c r="AD47" i="1"/>
  <c r="AD47" i="2" s="1"/>
  <c r="AE47" i="1"/>
  <c r="AE47" i="2" s="1"/>
  <c r="AF47" i="1"/>
  <c r="AF47" i="2" s="1"/>
  <c r="AG47" i="1"/>
  <c r="AG47" i="2" s="1"/>
  <c r="AH47" i="1"/>
  <c r="AH47" i="2" s="1"/>
  <c r="AI47" i="1"/>
  <c r="AI47" i="2" s="1"/>
  <c r="AJ47" i="1"/>
  <c r="AJ47" i="2" s="1"/>
  <c r="AK47" i="1"/>
  <c r="AK47" i="2" s="1"/>
  <c r="AL47" i="1"/>
  <c r="AL47" i="2" s="1"/>
  <c r="AM47" i="1"/>
  <c r="AM47" i="2" s="1"/>
  <c r="J48" i="1"/>
  <c r="J48" i="2" s="1"/>
  <c r="K48" i="1"/>
  <c r="K48" i="2" s="1"/>
  <c r="L48" i="1"/>
  <c r="L48" i="2" s="1"/>
  <c r="M48" i="1"/>
  <c r="M48" i="2" s="1"/>
  <c r="N48" i="1"/>
  <c r="N48" i="2" s="1"/>
  <c r="O48" i="1"/>
  <c r="O48" i="2" s="1"/>
  <c r="P48" i="1"/>
  <c r="P48" i="2" s="1"/>
  <c r="Q48" i="1"/>
  <c r="Q48" i="2" s="1"/>
  <c r="R48" i="1"/>
  <c r="R48" i="2" s="1"/>
  <c r="S48" i="1"/>
  <c r="S48" i="2" s="1"/>
  <c r="T48" i="1"/>
  <c r="T48" i="2" s="1"/>
  <c r="U48" i="1"/>
  <c r="U48" i="2" s="1"/>
  <c r="V48" i="1"/>
  <c r="V48" i="2" s="1"/>
  <c r="W48" i="1"/>
  <c r="W48" i="2" s="1"/>
  <c r="X48" i="1"/>
  <c r="X48" i="2" s="1"/>
  <c r="Y48" i="1"/>
  <c r="Y48" i="2" s="1"/>
  <c r="Z48" i="1"/>
  <c r="Z48" i="2" s="1"/>
  <c r="AA48" i="1"/>
  <c r="AA48" i="2" s="1"/>
  <c r="AB48" i="1"/>
  <c r="AB48" i="2" s="1"/>
  <c r="AC48" i="1"/>
  <c r="AC48" i="2" s="1"/>
  <c r="AD48" i="1"/>
  <c r="AD48" i="2" s="1"/>
  <c r="AE48" i="1"/>
  <c r="AE48" i="2" s="1"/>
  <c r="AF48" i="1"/>
  <c r="AF48" i="2" s="1"/>
  <c r="AG48" i="1"/>
  <c r="AG48" i="2" s="1"/>
  <c r="AH48" i="1"/>
  <c r="AH48" i="2" s="1"/>
  <c r="AI48" i="1"/>
  <c r="AI48" i="2" s="1"/>
  <c r="AJ48" i="1"/>
  <c r="AJ48" i="2" s="1"/>
  <c r="AK48" i="1"/>
  <c r="AK48" i="2" s="1"/>
  <c r="AL48" i="1"/>
  <c r="AL48" i="2" s="1"/>
  <c r="AM48" i="1"/>
  <c r="AM48" i="2" s="1"/>
  <c r="J49" i="1"/>
  <c r="J49" i="2" s="1"/>
  <c r="K49" i="1"/>
  <c r="K49" i="2" s="1"/>
  <c r="L49" i="1"/>
  <c r="L49" i="2" s="1"/>
  <c r="M49" i="1"/>
  <c r="M49" i="2" s="1"/>
  <c r="N49" i="1"/>
  <c r="N49" i="2" s="1"/>
  <c r="O49" i="1"/>
  <c r="O49" i="2" s="1"/>
  <c r="P49" i="1"/>
  <c r="P49" i="2" s="1"/>
  <c r="Q49" i="1"/>
  <c r="Q49" i="2" s="1"/>
  <c r="R49" i="1"/>
  <c r="R49" i="2" s="1"/>
  <c r="S49" i="1"/>
  <c r="S49" i="2" s="1"/>
  <c r="T49" i="1"/>
  <c r="T49" i="2" s="1"/>
  <c r="U49" i="1"/>
  <c r="U49" i="2" s="1"/>
  <c r="V49" i="1"/>
  <c r="V49" i="2" s="1"/>
  <c r="W49" i="1"/>
  <c r="W49" i="2" s="1"/>
  <c r="X49" i="1"/>
  <c r="X49" i="2" s="1"/>
  <c r="Y49" i="1"/>
  <c r="Y49" i="2" s="1"/>
  <c r="Z49" i="1"/>
  <c r="Z49" i="2" s="1"/>
  <c r="AA49" i="1"/>
  <c r="AA49" i="2" s="1"/>
  <c r="AB49" i="1"/>
  <c r="AB49" i="2" s="1"/>
  <c r="AC49" i="1"/>
  <c r="AC49" i="2" s="1"/>
  <c r="AD49" i="1"/>
  <c r="AD49" i="2" s="1"/>
  <c r="AE49" i="1"/>
  <c r="AE49" i="2" s="1"/>
  <c r="AF49" i="1"/>
  <c r="AF49" i="2" s="1"/>
  <c r="AG49" i="1"/>
  <c r="AG49" i="2" s="1"/>
  <c r="AH49" i="1"/>
  <c r="AH49" i="2" s="1"/>
  <c r="AI49" i="1"/>
  <c r="AI49" i="2" s="1"/>
  <c r="AJ49" i="1"/>
  <c r="AJ49" i="2" s="1"/>
  <c r="AK49" i="1"/>
  <c r="AK49" i="2" s="1"/>
  <c r="AL49" i="1"/>
  <c r="AL49" i="2" s="1"/>
  <c r="AM49" i="1"/>
  <c r="AM49" i="2" s="1"/>
  <c r="J50" i="1"/>
  <c r="J50" i="2" s="1"/>
  <c r="K50" i="1"/>
  <c r="K50" i="2" s="1"/>
  <c r="L50" i="1"/>
  <c r="L50" i="2" s="1"/>
  <c r="M50" i="1"/>
  <c r="M50" i="2" s="1"/>
  <c r="N50" i="1"/>
  <c r="N50" i="2" s="1"/>
  <c r="O50" i="1"/>
  <c r="O50" i="2" s="1"/>
  <c r="P50" i="1"/>
  <c r="P50" i="2" s="1"/>
  <c r="Q50" i="1"/>
  <c r="Q50" i="2" s="1"/>
  <c r="R50" i="1"/>
  <c r="R50" i="2" s="1"/>
  <c r="S50" i="1"/>
  <c r="S50" i="2" s="1"/>
  <c r="T50" i="1"/>
  <c r="T50" i="2" s="1"/>
  <c r="U50" i="1"/>
  <c r="U50" i="2" s="1"/>
  <c r="V50" i="1"/>
  <c r="V50" i="2" s="1"/>
  <c r="W50" i="1"/>
  <c r="W50" i="2" s="1"/>
  <c r="X50" i="1"/>
  <c r="X50" i="2" s="1"/>
  <c r="Y50" i="1"/>
  <c r="Y50" i="2" s="1"/>
  <c r="Z50" i="1"/>
  <c r="Z50" i="2" s="1"/>
  <c r="AA50" i="1"/>
  <c r="AA50" i="2" s="1"/>
  <c r="AB50" i="1"/>
  <c r="AB50" i="2" s="1"/>
  <c r="AC50" i="1"/>
  <c r="AC50" i="2" s="1"/>
  <c r="AD50" i="1"/>
  <c r="AD50" i="2" s="1"/>
  <c r="AE50" i="1"/>
  <c r="AE50" i="2" s="1"/>
  <c r="AF50" i="1"/>
  <c r="AF50" i="2" s="1"/>
  <c r="AG50" i="1"/>
  <c r="AG50" i="2" s="1"/>
  <c r="AH50" i="1"/>
  <c r="AH50" i="2" s="1"/>
  <c r="AI50" i="1"/>
  <c r="AI50" i="2" s="1"/>
  <c r="AJ50" i="1"/>
  <c r="AJ50" i="2" s="1"/>
  <c r="AK50" i="1"/>
  <c r="AK50" i="2" s="1"/>
  <c r="AL50" i="1"/>
  <c r="AL50" i="2" s="1"/>
  <c r="AM50" i="1"/>
  <c r="AM50" i="2" s="1"/>
  <c r="J51" i="1"/>
  <c r="J51" i="2" s="1"/>
  <c r="K51" i="1"/>
  <c r="K51" i="2" s="1"/>
  <c r="L51" i="1"/>
  <c r="L51" i="2" s="1"/>
  <c r="M51" i="1"/>
  <c r="M51" i="2" s="1"/>
  <c r="N51" i="1"/>
  <c r="N51" i="2" s="1"/>
  <c r="O51" i="1"/>
  <c r="O51" i="2" s="1"/>
  <c r="P51" i="1"/>
  <c r="P51" i="2" s="1"/>
  <c r="Q51" i="1"/>
  <c r="Q51" i="2" s="1"/>
  <c r="R51" i="1"/>
  <c r="R51" i="2" s="1"/>
  <c r="S51" i="1"/>
  <c r="S51" i="2" s="1"/>
  <c r="T51" i="1"/>
  <c r="T51" i="2" s="1"/>
  <c r="U51" i="1"/>
  <c r="U51" i="2" s="1"/>
  <c r="V51" i="1"/>
  <c r="V51" i="2" s="1"/>
  <c r="W51" i="1"/>
  <c r="W51" i="2" s="1"/>
  <c r="X51" i="1"/>
  <c r="X51" i="2" s="1"/>
  <c r="Y51" i="1"/>
  <c r="Y51" i="2" s="1"/>
  <c r="Z51" i="1"/>
  <c r="Z51" i="2" s="1"/>
  <c r="AA51" i="1"/>
  <c r="AA51" i="2" s="1"/>
  <c r="AB51" i="1"/>
  <c r="AB51" i="2" s="1"/>
  <c r="AC51" i="1"/>
  <c r="AC51" i="2" s="1"/>
  <c r="AD51" i="1"/>
  <c r="AD51" i="2" s="1"/>
  <c r="AE51" i="1"/>
  <c r="AE51" i="2" s="1"/>
  <c r="AF51" i="1"/>
  <c r="AF51" i="2" s="1"/>
  <c r="AG51" i="1"/>
  <c r="AG51" i="2" s="1"/>
  <c r="AH51" i="1"/>
  <c r="AH51" i="2" s="1"/>
  <c r="AI51" i="1"/>
  <c r="AI51" i="2" s="1"/>
  <c r="AJ51" i="1"/>
  <c r="AJ51" i="2" s="1"/>
  <c r="AK51" i="1"/>
  <c r="AK51" i="2" s="1"/>
  <c r="AL51" i="1"/>
  <c r="AL51" i="2" s="1"/>
  <c r="AM51" i="1"/>
  <c r="AM51" i="2" s="1"/>
  <c r="J52" i="1"/>
  <c r="J52" i="2" s="1"/>
  <c r="K52" i="1"/>
  <c r="K52" i="2" s="1"/>
  <c r="L52" i="1"/>
  <c r="L52" i="2" s="1"/>
  <c r="M52" i="1"/>
  <c r="M52" i="2" s="1"/>
  <c r="N52" i="1"/>
  <c r="N52" i="2" s="1"/>
  <c r="O52" i="1"/>
  <c r="O52" i="2" s="1"/>
  <c r="P52" i="1"/>
  <c r="P52" i="2" s="1"/>
  <c r="Q52" i="1"/>
  <c r="Q52" i="2" s="1"/>
  <c r="R52" i="1"/>
  <c r="R52" i="2" s="1"/>
  <c r="S52" i="1"/>
  <c r="S52" i="2" s="1"/>
  <c r="T52" i="1"/>
  <c r="T52" i="2" s="1"/>
  <c r="U52" i="1"/>
  <c r="U52" i="2" s="1"/>
  <c r="V52" i="1"/>
  <c r="V52" i="2" s="1"/>
  <c r="W52" i="1"/>
  <c r="W52" i="2" s="1"/>
  <c r="X52" i="1"/>
  <c r="X52" i="2" s="1"/>
  <c r="Y52" i="1"/>
  <c r="Y52" i="2" s="1"/>
  <c r="Z52" i="1"/>
  <c r="Z52" i="2" s="1"/>
  <c r="AA52" i="1"/>
  <c r="AA52" i="2" s="1"/>
  <c r="AB52" i="1"/>
  <c r="AB52" i="2" s="1"/>
  <c r="AC52" i="1"/>
  <c r="AC52" i="2" s="1"/>
  <c r="AD52" i="1"/>
  <c r="AD52" i="2" s="1"/>
  <c r="AE52" i="1"/>
  <c r="AE52" i="2" s="1"/>
  <c r="AF52" i="1"/>
  <c r="AF52" i="2" s="1"/>
  <c r="AG52" i="1"/>
  <c r="AG52" i="2" s="1"/>
  <c r="AH52" i="1"/>
  <c r="AH52" i="2" s="1"/>
  <c r="AI52" i="1"/>
  <c r="AI52" i="2" s="1"/>
  <c r="AJ52" i="1"/>
  <c r="AJ52" i="2" s="1"/>
  <c r="AK52" i="1"/>
  <c r="AK52" i="2" s="1"/>
  <c r="AL52" i="1"/>
  <c r="AL52" i="2" s="1"/>
  <c r="AM52" i="1"/>
  <c r="AM52" i="2" s="1"/>
  <c r="J53" i="1"/>
  <c r="J53" i="2" s="1"/>
  <c r="K53" i="1"/>
  <c r="K53" i="2" s="1"/>
  <c r="L53" i="1"/>
  <c r="L53" i="2" s="1"/>
  <c r="M53" i="1"/>
  <c r="M53" i="2" s="1"/>
  <c r="N53" i="1"/>
  <c r="N53" i="2" s="1"/>
  <c r="O53" i="1"/>
  <c r="O53" i="2" s="1"/>
  <c r="P53" i="1"/>
  <c r="P53" i="2" s="1"/>
  <c r="Q53" i="1"/>
  <c r="Q53" i="2" s="1"/>
  <c r="R53" i="1"/>
  <c r="R53" i="2" s="1"/>
  <c r="S53" i="1"/>
  <c r="S53" i="2" s="1"/>
  <c r="T53" i="1"/>
  <c r="T53" i="2" s="1"/>
  <c r="U53" i="1"/>
  <c r="U53" i="2" s="1"/>
  <c r="V53" i="1"/>
  <c r="V53" i="2" s="1"/>
  <c r="W53" i="1"/>
  <c r="W53" i="2" s="1"/>
  <c r="X53" i="1"/>
  <c r="X53" i="2" s="1"/>
  <c r="Y53" i="1"/>
  <c r="Y53" i="2" s="1"/>
  <c r="Z53" i="1"/>
  <c r="Z53" i="2" s="1"/>
  <c r="AA53" i="1"/>
  <c r="AA53" i="2" s="1"/>
  <c r="AB53" i="1"/>
  <c r="AB53" i="2" s="1"/>
  <c r="AC53" i="1"/>
  <c r="AC53" i="2" s="1"/>
  <c r="AD53" i="1"/>
  <c r="AD53" i="2" s="1"/>
  <c r="AE53" i="1"/>
  <c r="AE53" i="2" s="1"/>
  <c r="AF53" i="1"/>
  <c r="AF53" i="2" s="1"/>
  <c r="AG53" i="1"/>
  <c r="AG53" i="2" s="1"/>
  <c r="AH53" i="1"/>
  <c r="AH53" i="2" s="1"/>
  <c r="AI53" i="1"/>
  <c r="AI53" i="2" s="1"/>
  <c r="AJ53" i="1"/>
  <c r="AJ53" i="2" s="1"/>
  <c r="AK53" i="1"/>
  <c r="AK53" i="2" s="1"/>
  <c r="AL53" i="1"/>
  <c r="AL53" i="2" s="1"/>
  <c r="AM53" i="1"/>
  <c r="AM53" i="2" s="1"/>
  <c r="J54" i="1"/>
  <c r="J54" i="2" s="1"/>
  <c r="K54" i="1"/>
  <c r="K54" i="2" s="1"/>
  <c r="L54" i="1"/>
  <c r="L54" i="2" s="1"/>
  <c r="M54" i="1"/>
  <c r="M54" i="2" s="1"/>
  <c r="N54" i="1"/>
  <c r="N54" i="2" s="1"/>
  <c r="O54" i="1"/>
  <c r="O54" i="2" s="1"/>
  <c r="P54" i="1"/>
  <c r="P54" i="2" s="1"/>
  <c r="Q54" i="1"/>
  <c r="Q54" i="2" s="1"/>
  <c r="R54" i="1"/>
  <c r="R54" i="2" s="1"/>
  <c r="S54" i="1"/>
  <c r="S54" i="2" s="1"/>
  <c r="T54" i="1"/>
  <c r="T54" i="2" s="1"/>
  <c r="U54" i="1"/>
  <c r="U54" i="2" s="1"/>
  <c r="V54" i="1"/>
  <c r="V54" i="2" s="1"/>
  <c r="W54" i="1"/>
  <c r="W54" i="2" s="1"/>
  <c r="X54" i="1"/>
  <c r="X54" i="2" s="1"/>
  <c r="Y54" i="1"/>
  <c r="Y54" i="2" s="1"/>
  <c r="Z54" i="1"/>
  <c r="Z54" i="2" s="1"/>
  <c r="AA54" i="1"/>
  <c r="AA54" i="2" s="1"/>
  <c r="AB54" i="1"/>
  <c r="AB54" i="2" s="1"/>
  <c r="AC54" i="1"/>
  <c r="AC54" i="2" s="1"/>
  <c r="AD54" i="1"/>
  <c r="AD54" i="2" s="1"/>
  <c r="AE54" i="1"/>
  <c r="AE54" i="2" s="1"/>
  <c r="AF54" i="1"/>
  <c r="AF54" i="2" s="1"/>
  <c r="AG54" i="1"/>
  <c r="AG54" i="2" s="1"/>
  <c r="AH54" i="1"/>
  <c r="AH54" i="2" s="1"/>
  <c r="AI54" i="1"/>
  <c r="AI54" i="2" s="1"/>
  <c r="AJ54" i="1"/>
  <c r="AJ54" i="2" s="1"/>
  <c r="AK54" i="1"/>
  <c r="AK54" i="2" s="1"/>
  <c r="AL54" i="1"/>
  <c r="AL54" i="2" s="1"/>
  <c r="AM54" i="1"/>
  <c r="AM54" i="2" s="1"/>
  <c r="J55" i="1"/>
  <c r="J55" i="2" s="1"/>
  <c r="K55" i="1"/>
  <c r="K55" i="2" s="1"/>
  <c r="L55" i="1"/>
  <c r="L55" i="2" s="1"/>
  <c r="M55" i="1"/>
  <c r="M55" i="2" s="1"/>
  <c r="N55" i="1"/>
  <c r="N55" i="2" s="1"/>
  <c r="O55" i="1"/>
  <c r="O55" i="2" s="1"/>
  <c r="P55" i="1"/>
  <c r="P55" i="2" s="1"/>
  <c r="Q55" i="1"/>
  <c r="Q55" i="2" s="1"/>
  <c r="R55" i="1"/>
  <c r="R55" i="2" s="1"/>
  <c r="S55" i="1"/>
  <c r="S55" i="2" s="1"/>
  <c r="T55" i="1"/>
  <c r="T55" i="2" s="1"/>
  <c r="U55" i="1"/>
  <c r="U55" i="2" s="1"/>
  <c r="V55" i="1"/>
  <c r="V55" i="2" s="1"/>
  <c r="W55" i="1"/>
  <c r="W55" i="2" s="1"/>
  <c r="X55" i="1"/>
  <c r="X55" i="2" s="1"/>
  <c r="Y55" i="1"/>
  <c r="Y55" i="2" s="1"/>
  <c r="Z55" i="1"/>
  <c r="Z55" i="2" s="1"/>
  <c r="AA55" i="1"/>
  <c r="AA55" i="2" s="1"/>
  <c r="AB55" i="1"/>
  <c r="AB55" i="2" s="1"/>
  <c r="AC55" i="1"/>
  <c r="AC55" i="2" s="1"/>
  <c r="AD55" i="1"/>
  <c r="AD55" i="2" s="1"/>
  <c r="AE55" i="1"/>
  <c r="AE55" i="2" s="1"/>
  <c r="AF55" i="1"/>
  <c r="AF55" i="2" s="1"/>
  <c r="AG55" i="1"/>
  <c r="AG55" i="2" s="1"/>
  <c r="AH55" i="1"/>
  <c r="AH55" i="2" s="1"/>
  <c r="AI55" i="1"/>
  <c r="AI55" i="2" s="1"/>
  <c r="AJ55" i="1"/>
  <c r="AJ55" i="2" s="1"/>
  <c r="AK55" i="1"/>
  <c r="AK55" i="2" s="1"/>
  <c r="AL55" i="1"/>
  <c r="AL55" i="2" s="1"/>
  <c r="AM55" i="1"/>
  <c r="AM55" i="2" s="1"/>
  <c r="J56" i="1"/>
  <c r="J56" i="2" s="1"/>
  <c r="K56" i="1"/>
  <c r="K56" i="2" s="1"/>
  <c r="L56" i="1"/>
  <c r="L56" i="2" s="1"/>
  <c r="M56" i="1"/>
  <c r="M56" i="2" s="1"/>
  <c r="N56" i="1"/>
  <c r="N56" i="2" s="1"/>
  <c r="O56" i="1"/>
  <c r="O56" i="2" s="1"/>
  <c r="P56" i="1"/>
  <c r="P56" i="2" s="1"/>
  <c r="Q56" i="1"/>
  <c r="Q56" i="2" s="1"/>
  <c r="R56" i="1"/>
  <c r="R56" i="2" s="1"/>
  <c r="S56" i="1"/>
  <c r="S56" i="2" s="1"/>
  <c r="T56" i="1"/>
  <c r="T56" i="2" s="1"/>
  <c r="U56" i="1"/>
  <c r="U56" i="2" s="1"/>
  <c r="V56" i="1"/>
  <c r="V56" i="2" s="1"/>
  <c r="W56" i="1"/>
  <c r="W56" i="2" s="1"/>
  <c r="X56" i="1"/>
  <c r="X56" i="2" s="1"/>
  <c r="Y56" i="1"/>
  <c r="Y56" i="2" s="1"/>
  <c r="Z56" i="1"/>
  <c r="Z56" i="2" s="1"/>
  <c r="AA56" i="1"/>
  <c r="AA56" i="2" s="1"/>
  <c r="AB56" i="1"/>
  <c r="AB56" i="2" s="1"/>
  <c r="AC56" i="1"/>
  <c r="AC56" i="2" s="1"/>
  <c r="AD56" i="1"/>
  <c r="AD56" i="2" s="1"/>
  <c r="AE56" i="1"/>
  <c r="AE56" i="2" s="1"/>
  <c r="AF56" i="1"/>
  <c r="AF56" i="2" s="1"/>
  <c r="AG56" i="1"/>
  <c r="AG56" i="2" s="1"/>
  <c r="AH56" i="1"/>
  <c r="AH56" i="2" s="1"/>
  <c r="AI56" i="1"/>
  <c r="AI56" i="2" s="1"/>
  <c r="AJ56" i="1"/>
  <c r="AJ56" i="2" s="1"/>
  <c r="AK56" i="1"/>
  <c r="AK56" i="2" s="1"/>
  <c r="AL56" i="1"/>
  <c r="AL56" i="2" s="1"/>
  <c r="AM56" i="1"/>
  <c r="AM56" i="2" s="1"/>
  <c r="J57" i="1"/>
  <c r="J57" i="2" s="1"/>
  <c r="K57" i="1"/>
  <c r="K57" i="2" s="1"/>
  <c r="L57" i="1"/>
  <c r="L57" i="2" s="1"/>
  <c r="M57" i="1"/>
  <c r="M57" i="2" s="1"/>
  <c r="N57" i="1"/>
  <c r="N57" i="2" s="1"/>
  <c r="O57" i="1"/>
  <c r="O57" i="2" s="1"/>
  <c r="P57" i="1"/>
  <c r="P57" i="2" s="1"/>
  <c r="Q57" i="1"/>
  <c r="Q57" i="2" s="1"/>
  <c r="R57" i="1"/>
  <c r="R57" i="2" s="1"/>
  <c r="S57" i="1"/>
  <c r="S57" i="2" s="1"/>
  <c r="T57" i="1"/>
  <c r="T57" i="2" s="1"/>
  <c r="U57" i="1"/>
  <c r="U57" i="2" s="1"/>
  <c r="V57" i="1"/>
  <c r="V57" i="2" s="1"/>
  <c r="W57" i="1"/>
  <c r="W57" i="2" s="1"/>
  <c r="X57" i="1"/>
  <c r="X57" i="2" s="1"/>
  <c r="Y57" i="1"/>
  <c r="Y57" i="2" s="1"/>
  <c r="Z57" i="1"/>
  <c r="Z57" i="2" s="1"/>
  <c r="AA57" i="1"/>
  <c r="AA57" i="2" s="1"/>
  <c r="AB57" i="1"/>
  <c r="AB57" i="2" s="1"/>
  <c r="AC57" i="1"/>
  <c r="AC57" i="2" s="1"/>
  <c r="AD57" i="1"/>
  <c r="AD57" i="2" s="1"/>
  <c r="AE57" i="1"/>
  <c r="AE57" i="2" s="1"/>
  <c r="AF57" i="1"/>
  <c r="AF57" i="2" s="1"/>
  <c r="AG57" i="1"/>
  <c r="AG57" i="2" s="1"/>
  <c r="AH57" i="1"/>
  <c r="AH57" i="2" s="1"/>
  <c r="AI57" i="1"/>
  <c r="AI57" i="2" s="1"/>
  <c r="AJ57" i="1"/>
  <c r="AJ57" i="2" s="1"/>
  <c r="AK57" i="1"/>
  <c r="AK57" i="2" s="1"/>
  <c r="AL57" i="1"/>
  <c r="AL57" i="2" s="1"/>
  <c r="AM57" i="1"/>
  <c r="AM57" i="2" s="1"/>
  <c r="J58" i="1"/>
  <c r="J58" i="2" s="1"/>
  <c r="K58" i="1"/>
  <c r="K58" i="2" s="1"/>
  <c r="L58" i="1"/>
  <c r="L58" i="2" s="1"/>
  <c r="M58" i="1"/>
  <c r="M58" i="2" s="1"/>
  <c r="N58" i="1"/>
  <c r="N58" i="2" s="1"/>
  <c r="O58" i="1"/>
  <c r="O58" i="2" s="1"/>
  <c r="P58" i="1"/>
  <c r="P58" i="2" s="1"/>
  <c r="Q58" i="1"/>
  <c r="Q58" i="2" s="1"/>
  <c r="R58" i="1"/>
  <c r="R58" i="2" s="1"/>
  <c r="S58" i="1"/>
  <c r="S58" i="2" s="1"/>
  <c r="T58" i="1"/>
  <c r="T58" i="2" s="1"/>
  <c r="U58" i="1"/>
  <c r="U58" i="2" s="1"/>
  <c r="V58" i="1"/>
  <c r="V58" i="2" s="1"/>
  <c r="W58" i="1"/>
  <c r="W58" i="2" s="1"/>
  <c r="X58" i="1"/>
  <c r="X58" i="2" s="1"/>
  <c r="Y58" i="1"/>
  <c r="Y58" i="2" s="1"/>
  <c r="Z58" i="1"/>
  <c r="Z58" i="2" s="1"/>
  <c r="AA58" i="1"/>
  <c r="AA58" i="2" s="1"/>
  <c r="AB58" i="1"/>
  <c r="AB58" i="2" s="1"/>
  <c r="AC58" i="1"/>
  <c r="AC58" i="2" s="1"/>
  <c r="AD58" i="1"/>
  <c r="AD58" i="2" s="1"/>
  <c r="AE58" i="1"/>
  <c r="AE58" i="2" s="1"/>
  <c r="AF58" i="1"/>
  <c r="AF58" i="2" s="1"/>
  <c r="AG58" i="1"/>
  <c r="AG58" i="2" s="1"/>
  <c r="AH58" i="1"/>
  <c r="AH58" i="2" s="1"/>
  <c r="AI58" i="1"/>
  <c r="AI58" i="2" s="1"/>
  <c r="AJ58" i="1"/>
  <c r="AJ58" i="2" s="1"/>
  <c r="AK58" i="1"/>
  <c r="AK58" i="2" s="1"/>
  <c r="AL58" i="1"/>
  <c r="AL58" i="2" s="1"/>
  <c r="AM58" i="1"/>
  <c r="AM58" i="2" s="1"/>
  <c r="J59" i="1"/>
  <c r="J59" i="2" s="1"/>
  <c r="K59" i="1"/>
  <c r="K59" i="2" s="1"/>
  <c r="L59" i="1"/>
  <c r="L59" i="2" s="1"/>
  <c r="M59" i="1"/>
  <c r="M59" i="2" s="1"/>
  <c r="N59" i="1"/>
  <c r="N59" i="2" s="1"/>
  <c r="O59" i="1"/>
  <c r="O59" i="2" s="1"/>
  <c r="P59" i="1"/>
  <c r="P59" i="2" s="1"/>
  <c r="Q59" i="1"/>
  <c r="Q59" i="2" s="1"/>
  <c r="R59" i="1"/>
  <c r="R59" i="2" s="1"/>
  <c r="S59" i="1"/>
  <c r="S59" i="2" s="1"/>
  <c r="T59" i="1"/>
  <c r="T59" i="2" s="1"/>
  <c r="U59" i="1"/>
  <c r="U59" i="2" s="1"/>
  <c r="V59" i="1"/>
  <c r="V59" i="2" s="1"/>
  <c r="W59" i="1"/>
  <c r="W59" i="2" s="1"/>
  <c r="X59" i="1"/>
  <c r="X59" i="2" s="1"/>
  <c r="Y59" i="1"/>
  <c r="Y59" i="2" s="1"/>
  <c r="Z59" i="1"/>
  <c r="Z59" i="2" s="1"/>
  <c r="AA59" i="1"/>
  <c r="AA59" i="2" s="1"/>
  <c r="AB59" i="1"/>
  <c r="AB59" i="2" s="1"/>
  <c r="AC59" i="1"/>
  <c r="AC59" i="2" s="1"/>
  <c r="AD59" i="1"/>
  <c r="AD59" i="2" s="1"/>
  <c r="AE59" i="1"/>
  <c r="AE59" i="2" s="1"/>
  <c r="AF59" i="1"/>
  <c r="AF59" i="2" s="1"/>
  <c r="AG59" i="1"/>
  <c r="AG59" i="2" s="1"/>
  <c r="AH59" i="1"/>
  <c r="AH59" i="2" s="1"/>
  <c r="AI59" i="1"/>
  <c r="AI59" i="2" s="1"/>
  <c r="AJ59" i="1"/>
  <c r="AJ59" i="2" s="1"/>
  <c r="AK59" i="1"/>
  <c r="AK59" i="2" s="1"/>
  <c r="AL59" i="1"/>
  <c r="AL59" i="2" s="1"/>
  <c r="AM59" i="1"/>
  <c r="AM59" i="2" s="1"/>
  <c r="J60" i="1"/>
  <c r="J60" i="2" s="1"/>
  <c r="K60" i="1"/>
  <c r="K60" i="2" s="1"/>
  <c r="L60" i="1"/>
  <c r="L60" i="2" s="1"/>
  <c r="M60" i="1"/>
  <c r="M60" i="2" s="1"/>
  <c r="N60" i="1"/>
  <c r="N60" i="2" s="1"/>
  <c r="O60" i="1"/>
  <c r="O60" i="2" s="1"/>
  <c r="P60" i="1"/>
  <c r="P60" i="2" s="1"/>
  <c r="Q60" i="1"/>
  <c r="Q60" i="2" s="1"/>
  <c r="R60" i="1"/>
  <c r="R60" i="2" s="1"/>
  <c r="S60" i="1"/>
  <c r="S60" i="2" s="1"/>
  <c r="T60" i="1"/>
  <c r="T60" i="2" s="1"/>
  <c r="U60" i="1"/>
  <c r="U60" i="2" s="1"/>
  <c r="V60" i="1"/>
  <c r="V60" i="2" s="1"/>
  <c r="W60" i="1"/>
  <c r="W60" i="2" s="1"/>
  <c r="X60" i="1"/>
  <c r="X60" i="2" s="1"/>
  <c r="Y60" i="1"/>
  <c r="Y60" i="2" s="1"/>
  <c r="Z60" i="1"/>
  <c r="Z60" i="2" s="1"/>
  <c r="AA60" i="1"/>
  <c r="AA60" i="2" s="1"/>
  <c r="AB60" i="1"/>
  <c r="AB60" i="2" s="1"/>
  <c r="AC60" i="1"/>
  <c r="AC60" i="2" s="1"/>
  <c r="AD60" i="1"/>
  <c r="AD60" i="2" s="1"/>
  <c r="AE60" i="1"/>
  <c r="AE60" i="2" s="1"/>
  <c r="AF60" i="1"/>
  <c r="AF60" i="2" s="1"/>
  <c r="AG60" i="1"/>
  <c r="AG60" i="2" s="1"/>
  <c r="AH60" i="1"/>
  <c r="AH60" i="2" s="1"/>
  <c r="AI60" i="1"/>
  <c r="AI60" i="2" s="1"/>
  <c r="AJ60" i="1"/>
  <c r="AJ60" i="2" s="1"/>
  <c r="AK60" i="1"/>
  <c r="AK60" i="2" s="1"/>
  <c r="AL60" i="1"/>
  <c r="AL60" i="2" s="1"/>
  <c r="AM60" i="1"/>
  <c r="AM60" i="2" s="1"/>
  <c r="J61" i="1"/>
  <c r="J61" i="2" s="1"/>
  <c r="K61" i="1"/>
  <c r="K61" i="2" s="1"/>
  <c r="L61" i="1"/>
  <c r="L61" i="2" s="1"/>
  <c r="M61" i="1"/>
  <c r="M61" i="2" s="1"/>
  <c r="N61" i="1"/>
  <c r="N61" i="2" s="1"/>
  <c r="O61" i="1"/>
  <c r="O61" i="2" s="1"/>
  <c r="P61" i="1"/>
  <c r="P61" i="2" s="1"/>
  <c r="Q61" i="1"/>
  <c r="Q61" i="2" s="1"/>
  <c r="R61" i="1"/>
  <c r="R61" i="2" s="1"/>
  <c r="S61" i="1"/>
  <c r="S61" i="2" s="1"/>
  <c r="T61" i="1"/>
  <c r="T61" i="2" s="1"/>
  <c r="U61" i="1"/>
  <c r="U61" i="2" s="1"/>
  <c r="V61" i="1"/>
  <c r="V61" i="2" s="1"/>
  <c r="W61" i="1"/>
  <c r="W61" i="2" s="1"/>
  <c r="X61" i="1"/>
  <c r="X61" i="2" s="1"/>
  <c r="Y61" i="1"/>
  <c r="Y61" i="2" s="1"/>
  <c r="Z61" i="1"/>
  <c r="Z61" i="2" s="1"/>
  <c r="AA61" i="1"/>
  <c r="AA61" i="2" s="1"/>
  <c r="AB61" i="1"/>
  <c r="AB61" i="2" s="1"/>
  <c r="AC61" i="1"/>
  <c r="AC61" i="2" s="1"/>
  <c r="AD61" i="1"/>
  <c r="AD61" i="2" s="1"/>
  <c r="AE61" i="1"/>
  <c r="AE61" i="2" s="1"/>
  <c r="AF61" i="1"/>
  <c r="AF61" i="2" s="1"/>
  <c r="AG61" i="1"/>
  <c r="AG61" i="2" s="1"/>
  <c r="AH61" i="1"/>
  <c r="AH61" i="2" s="1"/>
  <c r="AI61" i="1"/>
  <c r="AI61" i="2" s="1"/>
  <c r="AJ61" i="1"/>
  <c r="AJ61" i="2" s="1"/>
  <c r="AK61" i="1"/>
  <c r="AK61" i="2" s="1"/>
  <c r="AL61" i="1"/>
  <c r="AL61" i="2" s="1"/>
  <c r="AM61" i="1"/>
  <c r="AM61" i="2" s="1"/>
  <c r="J62" i="1"/>
  <c r="J62" i="2" s="1"/>
  <c r="K62" i="1"/>
  <c r="K62" i="2" s="1"/>
  <c r="L62" i="1"/>
  <c r="L62" i="2" s="1"/>
  <c r="M62" i="1"/>
  <c r="M62" i="2" s="1"/>
  <c r="N62" i="1"/>
  <c r="N62" i="2" s="1"/>
  <c r="O62" i="1"/>
  <c r="O62" i="2" s="1"/>
  <c r="P62" i="1"/>
  <c r="P62" i="2" s="1"/>
  <c r="Q62" i="1"/>
  <c r="Q62" i="2" s="1"/>
  <c r="R62" i="1"/>
  <c r="R62" i="2" s="1"/>
  <c r="S62" i="1"/>
  <c r="S62" i="2" s="1"/>
  <c r="T62" i="1"/>
  <c r="T62" i="2" s="1"/>
  <c r="U62" i="1"/>
  <c r="U62" i="2" s="1"/>
  <c r="V62" i="1"/>
  <c r="V62" i="2" s="1"/>
  <c r="W62" i="1"/>
  <c r="W62" i="2" s="1"/>
  <c r="X62" i="1"/>
  <c r="X62" i="2" s="1"/>
  <c r="Y62" i="1"/>
  <c r="Y62" i="2" s="1"/>
  <c r="Z62" i="1"/>
  <c r="Z62" i="2" s="1"/>
  <c r="AA62" i="1"/>
  <c r="AA62" i="2" s="1"/>
  <c r="AB62" i="1"/>
  <c r="AB62" i="2" s="1"/>
  <c r="AC62" i="1"/>
  <c r="AC62" i="2" s="1"/>
  <c r="AD62" i="1"/>
  <c r="AD62" i="2" s="1"/>
  <c r="AE62" i="1"/>
  <c r="AE62" i="2" s="1"/>
  <c r="AF62" i="1"/>
  <c r="AF62" i="2" s="1"/>
  <c r="AG62" i="1"/>
  <c r="AG62" i="2" s="1"/>
  <c r="AH62" i="1"/>
  <c r="AH62" i="2" s="1"/>
  <c r="AI62" i="1"/>
  <c r="AI62" i="2" s="1"/>
  <c r="AJ62" i="1"/>
  <c r="AJ62" i="2" s="1"/>
  <c r="AK62" i="1"/>
  <c r="AK62" i="2" s="1"/>
  <c r="AL62" i="1"/>
  <c r="AL62" i="2" s="1"/>
  <c r="AM62" i="1"/>
  <c r="AM62" i="2" s="1"/>
  <c r="J63" i="1"/>
  <c r="J63" i="2" s="1"/>
  <c r="K63" i="1"/>
  <c r="K63" i="2" s="1"/>
  <c r="L63" i="1"/>
  <c r="L63" i="2" s="1"/>
  <c r="M63" i="1"/>
  <c r="M63" i="2" s="1"/>
  <c r="N63" i="1"/>
  <c r="N63" i="2" s="1"/>
  <c r="O63" i="1"/>
  <c r="O63" i="2" s="1"/>
  <c r="P63" i="1"/>
  <c r="P63" i="2" s="1"/>
  <c r="Q63" i="1"/>
  <c r="Q63" i="2" s="1"/>
  <c r="R63" i="1"/>
  <c r="R63" i="2" s="1"/>
  <c r="S63" i="1"/>
  <c r="S63" i="2" s="1"/>
  <c r="T63" i="1"/>
  <c r="T63" i="2" s="1"/>
  <c r="U63" i="1"/>
  <c r="U63" i="2" s="1"/>
  <c r="V63" i="1"/>
  <c r="V63" i="2" s="1"/>
  <c r="W63" i="1"/>
  <c r="W63" i="2" s="1"/>
  <c r="X63" i="1"/>
  <c r="X63" i="2" s="1"/>
  <c r="Y63" i="1"/>
  <c r="Y63" i="2" s="1"/>
  <c r="Z63" i="1"/>
  <c r="Z63" i="2" s="1"/>
  <c r="AA63" i="1"/>
  <c r="AA63" i="2" s="1"/>
  <c r="AB63" i="1"/>
  <c r="AB63" i="2" s="1"/>
  <c r="AC63" i="1"/>
  <c r="AC63" i="2" s="1"/>
  <c r="AD63" i="1"/>
  <c r="AD63" i="2" s="1"/>
  <c r="AE63" i="1"/>
  <c r="AE63" i="2" s="1"/>
  <c r="AF63" i="1"/>
  <c r="AF63" i="2" s="1"/>
  <c r="AG63" i="1"/>
  <c r="AG63" i="2" s="1"/>
  <c r="AH63" i="1"/>
  <c r="AH63" i="2" s="1"/>
  <c r="AI63" i="1"/>
  <c r="AI63" i="2" s="1"/>
  <c r="AJ63" i="1"/>
  <c r="AJ63" i="2" s="1"/>
  <c r="AK63" i="1"/>
  <c r="AK63" i="2" s="1"/>
  <c r="AL63" i="1"/>
  <c r="AL63" i="2" s="1"/>
  <c r="AM63" i="1"/>
  <c r="AM63" i="2" s="1"/>
  <c r="J64" i="1"/>
  <c r="J64" i="2" s="1"/>
  <c r="K64" i="1"/>
  <c r="K64" i="2" s="1"/>
  <c r="L64" i="1"/>
  <c r="L64" i="2" s="1"/>
  <c r="M64" i="1"/>
  <c r="M64" i="2" s="1"/>
  <c r="N64" i="1"/>
  <c r="N64" i="2" s="1"/>
  <c r="O64" i="1"/>
  <c r="O64" i="2" s="1"/>
  <c r="P64" i="1"/>
  <c r="P64" i="2" s="1"/>
  <c r="Q64" i="1"/>
  <c r="Q64" i="2" s="1"/>
  <c r="R64" i="1"/>
  <c r="R64" i="2" s="1"/>
  <c r="S64" i="1"/>
  <c r="S64" i="2" s="1"/>
  <c r="T64" i="1"/>
  <c r="T64" i="2" s="1"/>
  <c r="U64" i="1"/>
  <c r="U64" i="2" s="1"/>
  <c r="V64" i="1"/>
  <c r="V64" i="2" s="1"/>
  <c r="W64" i="1"/>
  <c r="W64" i="2" s="1"/>
  <c r="X64" i="1"/>
  <c r="X64" i="2" s="1"/>
  <c r="Y64" i="1"/>
  <c r="Y64" i="2" s="1"/>
  <c r="Z64" i="1"/>
  <c r="Z64" i="2" s="1"/>
  <c r="AA64" i="1"/>
  <c r="AA64" i="2" s="1"/>
  <c r="AB64" i="1"/>
  <c r="AB64" i="2" s="1"/>
  <c r="AC64" i="1"/>
  <c r="AC64" i="2" s="1"/>
  <c r="AD64" i="1"/>
  <c r="AD64" i="2" s="1"/>
  <c r="AE64" i="1"/>
  <c r="AE64" i="2" s="1"/>
  <c r="AF64" i="1"/>
  <c r="AF64" i="2" s="1"/>
  <c r="AG64" i="1"/>
  <c r="AG64" i="2" s="1"/>
  <c r="AH64" i="1"/>
  <c r="AH64" i="2" s="1"/>
  <c r="AI64" i="1"/>
  <c r="AI64" i="2" s="1"/>
  <c r="AJ64" i="1"/>
  <c r="AJ64" i="2" s="1"/>
  <c r="AK64" i="1"/>
  <c r="AK64" i="2" s="1"/>
  <c r="AL64" i="1"/>
  <c r="AL64" i="2" s="1"/>
  <c r="AM64" i="1"/>
  <c r="AM64" i="2" s="1"/>
  <c r="J65" i="1"/>
  <c r="J65" i="2" s="1"/>
  <c r="K65" i="1"/>
  <c r="K65" i="2" s="1"/>
  <c r="L65" i="1"/>
  <c r="L65" i="2" s="1"/>
  <c r="M65" i="1"/>
  <c r="M65" i="2" s="1"/>
  <c r="N65" i="1"/>
  <c r="N65" i="2" s="1"/>
  <c r="O65" i="1"/>
  <c r="O65" i="2" s="1"/>
  <c r="P65" i="1"/>
  <c r="P65" i="2" s="1"/>
  <c r="Q65" i="1"/>
  <c r="Q65" i="2" s="1"/>
  <c r="R65" i="1"/>
  <c r="R65" i="2" s="1"/>
  <c r="S65" i="1"/>
  <c r="S65" i="2" s="1"/>
  <c r="T65" i="1"/>
  <c r="T65" i="2" s="1"/>
  <c r="U65" i="1"/>
  <c r="U65" i="2" s="1"/>
  <c r="V65" i="1"/>
  <c r="V65" i="2" s="1"/>
  <c r="W65" i="1"/>
  <c r="W65" i="2" s="1"/>
  <c r="X65" i="1"/>
  <c r="X65" i="2" s="1"/>
  <c r="Y65" i="1"/>
  <c r="Y65" i="2" s="1"/>
  <c r="Z65" i="1"/>
  <c r="Z65" i="2" s="1"/>
  <c r="AA65" i="1"/>
  <c r="AA65" i="2" s="1"/>
  <c r="AB65" i="1"/>
  <c r="AB65" i="2" s="1"/>
  <c r="AC65" i="1"/>
  <c r="AC65" i="2" s="1"/>
  <c r="AD65" i="1"/>
  <c r="AD65" i="2" s="1"/>
  <c r="AE65" i="1"/>
  <c r="AE65" i="2" s="1"/>
  <c r="AF65" i="1"/>
  <c r="AF65" i="2" s="1"/>
  <c r="AG65" i="1"/>
  <c r="AG65" i="2" s="1"/>
  <c r="AH65" i="1"/>
  <c r="AH65" i="2" s="1"/>
  <c r="AI65" i="1"/>
  <c r="AI65" i="2" s="1"/>
  <c r="AJ65" i="1"/>
  <c r="AJ65" i="2" s="1"/>
  <c r="AK65" i="1"/>
  <c r="AK65" i="2" s="1"/>
  <c r="AL65" i="1"/>
  <c r="AL65" i="2" s="1"/>
  <c r="AM65" i="1"/>
  <c r="AM65" i="2" s="1"/>
  <c r="J66" i="1"/>
  <c r="J66" i="2" s="1"/>
  <c r="K66" i="1"/>
  <c r="K66" i="2" s="1"/>
  <c r="L66" i="1"/>
  <c r="L66" i="2" s="1"/>
  <c r="M66" i="1"/>
  <c r="M66" i="2" s="1"/>
  <c r="N66" i="1"/>
  <c r="N66" i="2" s="1"/>
  <c r="O66" i="1"/>
  <c r="O66" i="2" s="1"/>
  <c r="P66" i="1"/>
  <c r="P66" i="2" s="1"/>
  <c r="Q66" i="1"/>
  <c r="Q66" i="2" s="1"/>
  <c r="R66" i="1"/>
  <c r="R66" i="2" s="1"/>
  <c r="S66" i="1"/>
  <c r="S66" i="2" s="1"/>
  <c r="T66" i="1"/>
  <c r="T66" i="2" s="1"/>
  <c r="U66" i="1"/>
  <c r="U66" i="2" s="1"/>
  <c r="V66" i="1"/>
  <c r="V66" i="2" s="1"/>
  <c r="W66" i="1"/>
  <c r="W66" i="2" s="1"/>
  <c r="X66" i="1"/>
  <c r="X66" i="2" s="1"/>
  <c r="Y66" i="1"/>
  <c r="Y66" i="2" s="1"/>
  <c r="Z66" i="1"/>
  <c r="Z66" i="2" s="1"/>
  <c r="AA66" i="1"/>
  <c r="AA66" i="2" s="1"/>
  <c r="AB66" i="1"/>
  <c r="AB66" i="2" s="1"/>
  <c r="AC66" i="1"/>
  <c r="AC66" i="2" s="1"/>
  <c r="AD66" i="1"/>
  <c r="AD66" i="2" s="1"/>
  <c r="AE66" i="1"/>
  <c r="AE66" i="2" s="1"/>
  <c r="AF66" i="1"/>
  <c r="AF66" i="2" s="1"/>
  <c r="AG66" i="1"/>
  <c r="AG66" i="2" s="1"/>
  <c r="AH66" i="1"/>
  <c r="AH66" i="2" s="1"/>
  <c r="AI66" i="1"/>
  <c r="AI66" i="2" s="1"/>
  <c r="AJ66" i="1"/>
  <c r="AJ66" i="2" s="1"/>
  <c r="AK66" i="1"/>
  <c r="AK66" i="2" s="1"/>
  <c r="AL66" i="1"/>
  <c r="AL66" i="2" s="1"/>
  <c r="AM66" i="1"/>
  <c r="AM66" i="2" s="1"/>
  <c r="J67" i="1"/>
  <c r="J67" i="2" s="1"/>
  <c r="K67" i="1"/>
  <c r="K67" i="2" s="1"/>
  <c r="L67" i="1"/>
  <c r="L67" i="2" s="1"/>
  <c r="M67" i="1"/>
  <c r="M67" i="2" s="1"/>
  <c r="N67" i="1"/>
  <c r="N67" i="2" s="1"/>
  <c r="O67" i="1"/>
  <c r="O67" i="2" s="1"/>
  <c r="P67" i="1"/>
  <c r="P67" i="2" s="1"/>
  <c r="Q67" i="1"/>
  <c r="Q67" i="2" s="1"/>
  <c r="R67" i="1"/>
  <c r="R67" i="2" s="1"/>
  <c r="S67" i="1"/>
  <c r="S67" i="2" s="1"/>
  <c r="T67" i="1"/>
  <c r="T67" i="2" s="1"/>
  <c r="U67" i="1"/>
  <c r="U67" i="2" s="1"/>
  <c r="V67" i="1"/>
  <c r="V67" i="2" s="1"/>
  <c r="W67" i="1"/>
  <c r="W67" i="2" s="1"/>
  <c r="X67" i="1"/>
  <c r="X67" i="2" s="1"/>
  <c r="Y67" i="1"/>
  <c r="Y67" i="2" s="1"/>
  <c r="Z67" i="1"/>
  <c r="Z67" i="2" s="1"/>
  <c r="AA67" i="1"/>
  <c r="AA67" i="2" s="1"/>
  <c r="AB67" i="1"/>
  <c r="AB67" i="2" s="1"/>
  <c r="AC67" i="1"/>
  <c r="AC67" i="2" s="1"/>
  <c r="AD67" i="1"/>
  <c r="AD67" i="2" s="1"/>
  <c r="AE67" i="1"/>
  <c r="AE67" i="2" s="1"/>
  <c r="AF67" i="1"/>
  <c r="AF67" i="2" s="1"/>
  <c r="AG67" i="1"/>
  <c r="AG67" i="2" s="1"/>
  <c r="AH67" i="1"/>
  <c r="AH67" i="2" s="1"/>
  <c r="AI67" i="1"/>
  <c r="AI67" i="2" s="1"/>
  <c r="AJ67" i="1"/>
  <c r="AJ67" i="2" s="1"/>
  <c r="AK67" i="1"/>
  <c r="AK67" i="2" s="1"/>
  <c r="AL67" i="1"/>
  <c r="AL67" i="2" s="1"/>
  <c r="AM67" i="1"/>
  <c r="AM67" i="2" s="1"/>
  <c r="J68" i="1"/>
  <c r="J68" i="2" s="1"/>
  <c r="K68" i="1"/>
  <c r="K68" i="2" s="1"/>
  <c r="L68" i="1"/>
  <c r="L68" i="2" s="1"/>
  <c r="M68" i="1"/>
  <c r="M68" i="2" s="1"/>
  <c r="N68" i="1"/>
  <c r="N68" i="2" s="1"/>
  <c r="O68" i="1"/>
  <c r="O68" i="2" s="1"/>
  <c r="P68" i="1"/>
  <c r="P68" i="2" s="1"/>
  <c r="Q68" i="1"/>
  <c r="Q68" i="2" s="1"/>
  <c r="R68" i="1"/>
  <c r="R68" i="2" s="1"/>
  <c r="S68" i="1"/>
  <c r="S68" i="2" s="1"/>
  <c r="T68" i="1"/>
  <c r="T68" i="2" s="1"/>
  <c r="U68" i="1"/>
  <c r="U68" i="2" s="1"/>
  <c r="V68" i="1"/>
  <c r="V68" i="2" s="1"/>
  <c r="W68" i="1"/>
  <c r="W68" i="2" s="1"/>
  <c r="X68" i="1"/>
  <c r="X68" i="2" s="1"/>
  <c r="Y68" i="1"/>
  <c r="Y68" i="2" s="1"/>
  <c r="Z68" i="1"/>
  <c r="Z68" i="2" s="1"/>
  <c r="AA68" i="1"/>
  <c r="AA68" i="2" s="1"/>
  <c r="AB68" i="1"/>
  <c r="AB68" i="2" s="1"/>
  <c r="AC68" i="1"/>
  <c r="AC68" i="2" s="1"/>
  <c r="AD68" i="1"/>
  <c r="AD68" i="2" s="1"/>
  <c r="AE68" i="1"/>
  <c r="AE68" i="2" s="1"/>
  <c r="AF68" i="1"/>
  <c r="AF68" i="2" s="1"/>
  <c r="AG68" i="1"/>
  <c r="AG68" i="2" s="1"/>
  <c r="AH68" i="1"/>
  <c r="AH68" i="2" s="1"/>
  <c r="AI68" i="1"/>
  <c r="AI68" i="2" s="1"/>
  <c r="AJ68" i="1"/>
  <c r="AJ68" i="2" s="1"/>
  <c r="AK68" i="1"/>
  <c r="AK68" i="2" s="1"/>
  <c r="AL68" i="1"/>
  <c r="AL68" i="2" s="1"/>
  <c r="AM68" i="1"/>
  <c r="AM68" i="2" s="1"/>
  <c r="J69" i="1"/>
  <c r="J69" i="2" s="1"/>
  <c r="K69" i="1"/>
  <c r="K69" i="2" s="1"/>
  <c r="L69" i="1"/>
  <c r="L69" i="2" s="1"/>
  <c r="M69" i="1"/>
  <c r="M69" i="2" s="1"/>
  <c r="N69" i="1"/>
  <c r="N69" i="2" s="1"/>
  <c r="O69" i="1"/>
  <c r="O69" i="2" s="1"/>
  <c r="P69" i="1"/>
  <c r="P69" i="2" s="1"/>
  <c r="Q69" i="1"/>
  <c r="Q69" i="2" s="1"/>
  <c r="R69" i="1"/>
  <c r="R69" i="2" s="1"/>
  <c r="S69" i="1"/>
  <c r="S69" i="2" s="1"/>
  <c r="T69" i="1"/>
  <c r="T69" i="2" s="1"/>
  <c r="U69" i="1"/>
  <c r="U69" i="2" s="1"/>
  <c r="V69" i="1"/>
  <c r="V69" i="2" s="1"/>
  <c r="W69" i="1"/>
  <c r="W69" i="2" s="1"/>
  <c r="X69" i="1"/>
  <c r="X69" i="2" s="1"/>
  <c r="Y69" i="1"/>
  <c r="Y69" i="2" s="1"/>
  <c r="Z69" i="1"/>
  <c r="Z69" i="2" s="1"/>
  <c r="AA69" i="1"/>
  <c r="AA69" i="2" s="1"/>
  <c r="AB69" i="1"/>
  <c r="AB69" i="2" s="1"/>
  <c r="AC69" i="1"/>
  <c r="AC69" i="2" s="1"/>
  <c r="AD69" i="1"/>
  <c r="AD69" i="2" s="1"/>
  <c r="AE69" i="1"/>
  <c r="AE69" i="2" s="1"/>
  <c r="AF69" i="1"/>
  <c r="AF69" i="2" s="1"/>
  <c r="AG69" i="1"/>
  <c r="AG69" i="2" s="1"/>
  <c r="AH69" i="1"/>
  <c r="AH69" i="2" s="1"/>
  <c r="AI69" i="1"/>
  <c r="AI69" i="2" s="1"/>
  <c r="AJ69" i="1"/>
  <c r="AJ69" i="2" s="1"/>
  <c r="AK69" i="1"/>
  <c r="AK69" i="2" s="1"/>
  <c r="AL69" i="1"/>
  <c r="AL69" i="2" s="1"/>
  <c r="AM69" i="1"/>
  <c r="AM69" i="2" s="1"/>
  <c r="J70" i="1"/>
  <c r="J70" i="2" s="1"/>
  <c r="K70" i="1"/>
  <c r="K70" i="2" s="1"/>
  <c r="L70" i="1"/>
  <c r="L70" i="2" s="1"/>
  <c r="M70" i="1"/>
  <c r="M70" i="2" s="1"/>
  <c r="N70" i="1"/>
  <c r="N70" i="2" s="1"/>
  <c r="O70" i="1"/>
  <c r="O70" i="2" s="1"/>
  <c r="P70" i="1"/>
  <c r="P70" i="2" s="1"/>
  <c r="Q70" i="1"/>
  <c r="Q70" i="2" s="1"/>
  <c r="R70" i="1"/>
  <c r="R70" i="2" s="1"/>
  <c r="S70" i="1"/>
  <c r="S70" i="2" s="1"/>
  <c r="T70" i="1"/>
  <c r="T70" i="2" s="1"/>
  <c r="U70" i="1"/>
  <c r="U70" i="2" s="1"/>
  <c r="V70" i="1"/>
  <c r="V70" i="2" s="1"/>
  <c r="W70" i="1"/>
  <c r="W70" i="2" s="1"/>
  <c r="X70" i="1"/>
  <c r="X70" i="2" s="1"/>
  <c r="Y70" i="1"/>
  <c r="Y70" i="2" s="1"/>
  <c r="Z70" i="1"/>
  <c r="Z70" i="2" s="1"/>
  <c r="AA70" i="1"/>
  <c r="AA70" i="2" s="1"/>
  <c r="AB70" i="1"/>
  <c r="AB70" i="2" s="1"/>
  <c r="AC70" i="1"/>
  <c r="AC70" i="2" s="1"/>
  <c r="AD70" i="1"/>
  <c r="AD70" i="2" s="1"/>
  <c r="AE70" i="1"/>
  <c r="AE70" i="2" s="1"/>
  <c r="AF70" i="1"/>
  <c r="AF70" i="2" s="1"/>
  <c r="AG70" i="1"/>
  <c r="AG70" i="2" s="1"/>
  <c r="AH70" i="1"/>
  <c r="AH70" i="2" s="1"/>
  <c r="AI70" i="1"/>
  <c r="AI70" i="2" s="1"/>
  <c r="AJ70" i="1"/>
  <c r="AJ70" i="2" s="1"/>
  <c r="AK70" i="1"/>
  <c r="AK70" i="2" s="1"/>
  <c r="AL70" i="1"/>
  <c r="AL70" i="2" s="1"/>
  <c r="AM70" i="1"/>
  <c r="AM70" i="2" s="1"/>
  <c r="J71" i="1"/>
  <c r="J71" i="2" s="1"/>
  <c r="K71" i="1"/>
  <c r="K71" i="2" s="1"/>
  <c r="L71" i="1"/>
  <c r="L71" i="2" s="1"/>
  <c r="M71" i="1"/>
  <c r="M71" i="2" s="1"/>
  <c r="N71" i="1"/>
  <c r="N71" i="2" s="1"/>
  <c r="O71" i="1"/>
  <c r="O71" i="2" s="1"/>
  <c r="P71" i="1"/>
  <c r="P71" i="2" s="1"/>
  <c r="Q71" i="1"/>
  <c r="Q71" i="2" s="1"/>
  <c r="R71" i="1"/>
  <c r="R71" i="2" s="1"/>
  <c r="S71" i="1"/>
  <c r="S71" i="2" s="1"/>
  <c r="T71" i="1"/>
  <c r="T71" i="2" s="1"/>
  <c r="U71" i="1"/>
  <c r="U71" i="2" s="1"/>
  <c r="V71" i="1"/>
  <c r="V71" i="2" s="1"/>
  <c r="W71" i="1"/>
  <c r="W71" i="2" s="1"/>
  <c r="X71" i="1"/>
  <c r="X71" i="2" s="1"/>
  <c r="Y71" i="1"/>
  <c r="Y71" i="2" s="1"/>
  <c r="Z71" i="1"/>
  <c r="Z71" i="2" s="1"/>
  <c r="AA71" i="1"/>
  <c r="AA71" i="2" s="1"/>
  <c r="AB71" i="1"/>
  <c r="AB71" i="2" s="1"/>
  <c r="AC71" i="1"/>
  <c r="AC71" i="2" s="1"/>
  <c r="AD71" i="1"/>
  <c r="AD71" i="2" s="1"/>
  <c r="AE71" i="1"/>
  <c r="AE71" i="2" s="1"/>
  <c r="AF71" i="1"/>
  <c r="AF71" i="2" s="1"/>
  <c r="AG71" i="1"/>
  <c r="AG71" i="2" s="1"/>
  <c r="AH71" i="1"/>
  <c r="AH71" i="2" s="1"/>
  <c r="AI71" i="1"/>
  <c r="AI71" i="2" s="1"/>
  <c r="AJ71" i="1"/>
  <c r="AJ71" i="2" s="1"/>
  <c r="AK71" i="1"/>
  <c r="AK71" i="2" s="1"/>
  <c r="AL71" i="1"/>
  <c r="AL71" i="2" s="1"/>
  <c r="AM71" i="1"/>
  <c r="AM71" i="2" s="1"/>
  <c r="J72" i="1"/>
  <c r="J72" i="2" s="1"/>
  <c r="K72" i="1"/>
  <c r="K72" i="2" s="1"/>
  <c r="L72" i="1"/>
  <c r="L72" i="2" s="1"/>
  <c r="M72" i="1"/>
  <c r="M72" i="2" s="1"/>
  <c r="N72" i="1"/>
  <c r="N72" i="2" s="1"/>
  <c r="O72" i="1"/>
  <c r="O72" i="2" s="1"/>
  <c r="P72" i="1"/>
  <c r="P72" i="2" s="1"/>
  <c r="Q72" i="1"/>
  <c r="Q72" i="2" s="1"/>
  <c r="R72" i="1"/>
  <c r="R72" i="2" s="1"/>
  <c r="S72" i="1"/>
  <c r="S72" i="2" s="1"/>
  <c r="T72" i="1"/>
  <c r="T72" i="2" s="1"/>
  <c r="U72" i="1"/>
  <c r="U72" i="2" s="1"/>
  <c r="V72" i="1"/>
  <c r="V72" i="2" s="1"/>
  <c r="W72" i="1"/>
  <c r="W72" i="2" s="1"/>
  <c r="X72" i="1"/>
  <c r="X72" i="2" s="1"/>
  <c r="Y72" i="1"/>
  <c r="Y72" i="2" s="1"/>
  <c r="Z72" i="1"/>
  <c r="Z72" i="2" s="1"/>
  <c r="AA72" i="1"/>
  <c r="AA72" i="2" s="1"/>
  <c r="AB72" i="1"/>
  <c r="AB72" i="2" s="1"/>
  <c r="AC72" i="1"/>
  <c r="AC72" i="2" s="1"/>
  <c r="AD72" i="1"/>
  <c r="AD72" i="2" s="1"/>
  <c r="AE72" i="1"/>
  <c r="AE72" i="2" s="1"/>
  <c r="AF72" i="1"/>
  <c r="AF72" i="2" s="1"/>
  <c r="AG72" i="1"/>
  <c r="AG72" i="2" s="1"/>
  <c r="AH72" i="1"/>
  <c r="AH72" i="2" s="1"/>
  <c r="AI72" i="1"/>
  <c r="AI72" i="2" s="1"/>
  <c r="AJ72" i="1"/>
  <c r="AJ72" i="2" s="1"/>
  <c r="AK72" i="1"/>
  <c r="AK72" i="2" s="1"/>
  <c r="AL72" i="1"/>
  <c r="AL72" i="2" s="1"/>
  <c r="AM72" i="1"/>
  <c r="AM72" i="2" s="1"/>
  <c r="J73" i="1"/>
  <c r="J73" i="2" s="1"/>
  <c r="K73" i="1"/>
  <c r="K73" i="2" s="1"/>
  <c r="L73" i="1"/>
  <c r="L73" i="2" s="1"/>
  <c r="M73" i="1"/>
  <c r="M73" i="2" s="1"/>
  <c r="N73" i="1"/>
  <c r="N73" i="2" s="1"/>
  <c r="O73" i="1"/>
  <c r="O73" i="2" s="1"/>
  <c r="P73" i="1"/>
  <c r="P73" i="2" s="1"/>
  <c r="Q73" i="1"/>
  <c r="Q73" i="2" s="1"/>
  <c r="R73" i="1"/>
  <c r="R73" i="2" s="1"/>
  <c r="S73" i="1"/>
  <c r="S73" i="2" s="1"/>
  <c r="T73" i="1"/>
  <c r="T73" i="2" s="1"/>
  <c r="U73" i="1"/>
  <c r="U73" i="2" s="1"/>
  <c r="V73" i="1"/>
  <c r="V73" i="2" s="1"/>
  <c r="W73" i="1"/>
  <c r="W73" i="2" s="1"/>
  <c r="X73" i="1"/>
  <c r="X73" i="2" s="1"/>
  <c r="Y73" i="1"/>
  <c r="Y73" i="2" s="1"/>
  <c r="Z73" i="1"/>
  <c r="Z73" i="2" s="1"/>
  <c r="AA73" i="1"/>
  <c r="AA73" i="2" s="1"/>
  <c r="AB73" i="1"/>
  <c r="AB73" i="2" s="1"/>
  <c r="AC73" i="1"/>
  <c r="AC73" i="2" s="1"/>
  <c r="AD73" i="1"/>
  <c r="AD73" i="2" s="1"/>
  <c r="AE73" i="1"/>
  <c r="AE73" i="2" s="1"/>
  <c r="AF73" i="1"/>
  <c r="AF73" i="2" s="1"/>
  <c r="AG73" i="1"/>
  <c r="AG73" i="2" s="1"/>
  <c r="AH73" i="1"/>
  <c r="AH73" i="2" s="1"/>
  <c r="AI73" i="1"/>
  <c r="AI73" i="2" s="1"/>
  <c r="AJ73" i="1"/>
  <c r="AJ73" i="2" s="1"/>
  <c r="AK73" i="1"/>
  <c r="AK73" i="2" s="1"/>
  <c r="AL73" i="1"/>
  <c r="AL73" i="2" s="1"/>
  <c r="AM73" i="1"/>
  <c r="AM73" i="2" s="1"/>
  <c r="J74" i="1"/>
  <c r="J74" i="2" s="1"/>
  <c r="K74" i="1"/>
  <c r="K74" i="2" s="1"/>
  <c r="L74" i="1"/>
  <c r="L74" i="2" s="1"/>
  <c r="M74" i="1"/>
  <c r="M74" i="2" s="1"/>
  <c r="N74" i="1"/>
  <c r="N74" i="2" s="1"/>
  <c r="O74" i="1"/>
  <c r="O74" i="2" s="1"/>
  <c r="P74" i="1"/>
  <c r="P74" i="2" s="1"/>
  <c r="Q74" i="1"/>
  <c r="Q74" i="2" s="1"/>
  <c r="R74" i="1"/>
  <c r="R74" i="2" s="1"/>
  <c r="S74" i="1"/>
  <c r="S74" i="2" s="1"/>
  <c r="T74" i="1"/>
  <c r="T74" i="2" s="1"/>
  <c r="U74" i="1"/>
  <c r="U74" i="2" s="1"/>
  <c r="V74" i="1"/>
  <c r="V74" i="2" s="1"/>
  <c r="W74" i="1"/>
  <c r="W74" i="2" s="1"/>
  <c r="X74" i="1"/>
  <c r="X74" i="2" s="1"/>
  <c r="Y74" i="1"/>
  <c r="Y74" i="2" s="1"/>
  <c r="Z74" i="1"/>
  <c r="Z74" i="2" s="1"/>
  <c r="AA74" i="1"/>
  <c r="AA74" i="2" s="1"/>
  <c r="AB74" i="1"/>
  <c r="AB74" i="2" s="1"/>
  <c r="AC74" i="1"/>
  <c r="AC74" i="2" s="1"/>
  <c r="AD74" i="1"/>
  <c r="AD74" i="2" s="1"/>
  <c r="AE74" i="1"/>
  <c r="AE74" i="2" s="1"/>
  <c r="AF74" i="1"/>
  <c r="AF74" i="2" s="1"/>
  <c r="AG74" i="1"/>
  <c r="AG74" i="2" s="1"/>
  <c r="AH74" i="1"/>
  <c r="AH74" i="2" s="1"/>
  <c r="AI74" i="1"/>
  <c r="AI74" i="2" s="1"/>
  <c r="AJ74" i="1"/>
  <c r="AJ74" i="2" s="1"/>
  <c r="AK74" i="1"/>
  <c r="AK74" i="2" s="1"/>
  <c r="AL74" i="1"/>
  <c r="AL74" i="2" s="1"/>
  <c r="AM74" i="1"/>
  <c r="AM74" i="2" s="1"/>
  <c r="J75" i="1"/>
  <c r="J75" i="2" s="1"/>
  <c r="K75" i="1"/>
  <c r="K75" i="2" s="1"/>
  <c r="L75" i="1"/>
  <c r="L75" i="2" s="1"/>
  <c r="M75" i="1"/>
  <c r="M75" i="2" s="1"/>
  <c r="N75" i="1"/>
  <c r="N75" i="2" s="1"/>
  <c r="O75" i="1"/>
  <c r="O75" i="2" s="1"/>
  <c r="P75" i="1"/>
  <c r="P75" i="2" s="1"/>
  <c r="Q75" i="1"/>
  <c r="Q75" i="2" s="1"/>
  <c r="R75" i="1"/>
  <c r="R75" i="2" s="1"/>
  <c r="S75" i="1"/>
  <c r="S75" i="2" s="1"/>
  <c r="T75" i="1"/>
  <c r="T75" i="2" s="1"/>
  <c r="U75" i="1"/>
  <c r="U75" i="2" s="1"/>
  <c r="V75" i="1"/>
  <c r="V75" i="2" s="1"/>
  <c r="W75" i="1"/>
  <c r="W75" i="2" s="1"/>
  <c r="X75" i="1"/>
  <c r="X75" i="2" s="1"/>
  <c r="Y75" i="1"/>
  <c r="Y75" i="2" s="1"/>
  <c r="Z75" i="1"/>
  <c r="Z75" i="2" s="1"/>
  <c r="AA75" i="1"/>
  <c r="AA75" i="2" s="1"/>
  <c r="AB75" i="1"/>
  <c r="AB75" i="2" s="1"/>
  <c r="AC75" i="1"/>
  <c r="AC75" i="2" s="1"/>
  <c r="AD75" i="1"/>
  <c r="AD75" i="2" s="1"/>
  <c r="AE75" i="1"/>
  <c r="AE75" i="2" s="1"/>
  <c r="AF75" i="1"/>
  <c r="AF75" i="2" s="1"/>
  <c r="AG75" i="1"/>
  <c r="AG75" i="2" s="1"/>
  <c r="AH75" i="1"/>
  <c r="AH75" i="2" s="1"/>
  <c r="AI75" i="1"/>
  <c r="AI75" i="2" s="1"/>
  <c r="AJ75" i="1"/>
  <c r="AJ75" i="2" s="1"/>
  <c r="AK75" i="1"/>
  <c r="AK75" i="2" s="1"/>
  <c r="AL75" i="1"/>
  <c r="AL75" i="2" s="1"/>
  <c r="AM75" i="1"/>
  <c r="AM75" i="2" s="1"/>
  <c r="J76" i="1"/>
  <c r="J76" i="2" s="1"/>
  <c r="K76" i="1"/>
  <c r="K76" i="2" s="1"/>
  <c r="L76" i="1"/>
  <c r="L76" i="2" s="1"/>
  <c r="M76" i="1"/>
  <c r="M76" i="2" s="1"/>
  <c r="N76" i="1"/>
  <c r="N76" i="2" s="1"/>
  <c r="O76" i="1"/>
  <c r="O76" i="2" s="1"/>
  <c r="P76" i="1"/>
  <c r="P76" i="2" s="1"/>
  <c r="Q76" i="1"/>
  <c r="Q76" i="2" s="1"/>
  <c r="R76" i="1"/>
  <c r="R76" i="2" s="1"/>
  <c r="S76" i="1"/>
  <c r="S76" i="2" s="1"/>
  <c r="T76" i="1"/>
  <c r="T76" i="2" s="1"/>
  <c r="U76" i="1"/>
  <c r="U76" i="2" s="1"/>
  <c r="V76" i="1"/>
  <c r="V76" i="2" s="1"/>
  <c r="W76" i="1"/>
  <c r="W76" i="2" s="1"/>
  <c r="X76" i="1"/>
  <c r="X76" i="2" s="1"/>
  <c r="Y76" i="1"/>
  <c r="Y76" i="2" s="1"/>
  <c r="Z76" i="1"/>
  <c r="Z76" i="2" s="1"/>
  <c r="AA76" i="1"/>
  <c r="AA76" i="2" s="1"/>
  <c r="AB76" i="1"/>
  <c r="AB76" i="2" s="1"/>
  <c r="AC76" i="1"/>
  <c r="AC76" i="2" s="1"/>
  <c r="AD76" i="1"/>
  <c r="AD76" i="2" s="1"/>
  <c r="AE76" i="1"/>
  <c r="AE76" i="2" s="1"/>
  <c r="AF76" i="1"/>
  <c r="AF76" i="2" s="1"/>
  <c r="AG76" i="1"/>
  <c r="AG76" i="2" s="1"/>
  <c r="AH76" i="1"/>
  <c r="AH76" i="2" s="1"/>
  <c r="AI76" i="1"/>
  <c r="AI76" i="2" s="1"/>
  <c r="AJ76" i="1"/>
  <c r="AJ76" i="2" s="1"/>
  <c r="AK76" i="1"/>
  <c r="AK76" i="2" s="1"/>
  <c r="AL76" i="1"/>
  <c r="AL76" i="2" s="1"/>
  <c r="AM76" i="1"/>
  <c r="AM76" i="2" s="1"/>
  <c r="J77" i="1"/>
  <c r="J77" i="2" s="1"/>
  <c r="K77" i="1"/>
  <c r="K77" i="2" s="1"/>
  <c r="L77" i="1"/>
  <c r="L77" i="2" s="1"/>
  <c r="M77" i="1"/>
  <c r="M77" i="2" s="1"/>
  <c r="N77" i="1"/>
  <c r="N77" i="2" s="1"/>
  <c r="O77" i="1"/>
  <c r="O77" i="2" s="1"/>
  <c r="P77" i="1"/>
  <c r="P77" i="2" s="1"/>
  <c r="Q77" i="1"/>
  <c r="Q77" i="2" s="1"/>
  <c r="R77" i="1"/>
  <c r="R77" i="2" s="1"/>
  <c r="S77" i="1"/>
  <c r="S77" i="2" s="1"/>
  <c r="T77" i="1"/>
  <c r="T77" i="2" s="1"/>
  <c r="U77" i="1"/>
  <c r="U77" i="2" s="1"/>
  <c r="V77" i="1"/>
  <c r="V77" i="2" s="1"/>
  <c r="W77" i="1"/>
  <c r="W77" i="2" s="1"/>
  <c r="X77" i="1"/>
  <c r="X77" i="2" s="1"/>
  <c r="Y77" i="1"/>
  <c r="Y77" i="2" s="1"/>
  <c r="Z77" i="1"/>
  <c r="Z77" i="2" s="1"/>
  <c r="AA77" i="1"/>
  <c r="AA77" i="2" s="1"/>
  <c r="AB77" i="1"/>
  <c r="AB77" i="2" s="1"/>
  <c r="AC77" i="1"/>
  <c r="AC77" i="2" s="1"/>
  <c r="AD77" i="1"/>
  <c r="AD77" i="2" s="1"/>
  <c r="AE77" i="1"/>
  <c r="AE77" i="2" s="1"/>
  <c r="AF77" i="1"/>
  <c r="AF77" i="2" s="1"/>
  <c r="AG77" i="1"/>
  <c r="AG77" i="2" s="1"/>
  <c r="AH77" i="1"/>
  <c r="AH77" i="2" s="1"/>
  <c r="AI77" i="1"/>
  <c r="AI77" i="2" s="1"/>
  <c r="AJ77" i="1"/>
  <c r="AJ77" i="2" s="1"/>
  <c r="AK77" i="1"/>
  <c r="AK77" i="2" s="1"/>
  <c r="AL77" i="1"/>
  <c r="AL77" i="2" s="1"/>
  <c r="AM77" i="1"/>
  <c r="AM77" i="2" s="1"/>
  <c r="J78" i="1"/>
  <c r="J78" i="2" s="1"/>
  <c r="K78" i="1"/>
  <c r="K78" i="2" s="1"/>
  <c r="L78" i="1"/>
  <c r="L78" i="2" s="1"/>
  <c r="M78" i="1"/>
  <c r="M78" i="2" s="1"/>
  <c r="N78" i="1"/>
  <c r="N78" i="2" s="1"/>
  <c r="O78" i="1"/>
  <c r="O78" i="2" s="1"/>
  <c r="P78" i="1"/>
  <c r="P78" i="2" s="1"/>
  <c r="Q78" i="1"/>
  <c r="Q78" i="2" s="1"/>
  <c r="R78" i="1"/>
  <c r="R78" i="2" s="1"/>
  <c r="S78" i="1"/>
  <c r="S78" i="2" s="1"/>
  <c r="T78" i="1"/>
  <c r="T78" i="2" s="1"/>
  <c r="U78" i="1"/>
  <c r="U78" i="2" s="1"/>
  <c r="V78" i="1"/>
  <c r="V78" i="2" s="1"/>
  <c r="W78" i="1"/>
  <c r="W78" i="2" s="1"/>
  <c r="X78" i="1"/>
  <c r="X78" i="2" s="1"/>
  <c r="Y78" i="1"/>
  <c r="Y78" i="2" s="1"/>
  <c r="Z78" i="1"/>
  <c r="Z78" i="2" s="1"/>
  <c r="AA78" i="1"/>
  <c r="AA78" i="2" s="1"/>
  <c r="AB78" i="1"/>
  <c r="AB78" i="2" s="1"/>
  <c r="AC78" i="1"/>
  <c r="AC78" i="2" s="1"/>
  <c r="AD78" i="1"/>
  <c r="AD78" i="2" s="1"/>
  <c r="AE78" i="1"/>
  <c r="AE78" i="2" s="1"/>
  <c r="AF78" i="1"/>
  <c r="AF78" i="2" s="1"/>
  <c r="AG78" i="1"/>
  <c r="AG78" i="2" s="1"/>
  <c r="AH78" i="1"/>
  <c r="AH78" i="2" s="1"/>
  <c r="AI78" i="1"/>
  <c r="AI78" i="2" s="1"/>
  <c r="AJ78" i="1"/>
  <c r="AJ78" i="2" s="1"/>
  <c r="AK78" i="1"/>
  <c r="AK78" i="2" s="1"/>
  <c r="AL78" i="1"/>
  <c r="AL78" i="2" s="1"/>
  <c r="AM78" i="1"/>
  <c r="AM78" i="2" s="1"/>
  <c r="J79" i="1"/>
  <c r="J79" i="2" s="1"/>
  <c r="K79" i="1"/>
  <c r="K79" i="2" s="1"/>
  <c r="L79" i="1"/>
  <c r="L79" i="2" s="1"/>
  <c r="M79" i="1"/>
  <c r="M79" i="2" s="1"/>
  <c r="N79" i="1"/>
  <c r="N79" i="2" s="1"/>
  <c r="O79" i="1"/>
  <c r="O79" i="2" s="1"/>
  <c r="P79" i="1"/>
  <c r="P79" i="2" s="1"/>
  <c r="Q79" i="1"/>
  <c r="Q79" i="2" s="1"/>
  <c r="R79" i="1"/>
  <c r="R79" i="2" s="1"/>
  <c r="S79" i="1"/>
  <c r="S79" i="2" s="1"/>
  <c r="T79" i="1"/>
  <c r="T79" i="2" s="1"/>
  <c r="U79" i="1"/>
  <c r="U79" i="2" s="1"/>
  <c r="V79" i="1"/>
  <c r="V79" i="2" s="1"/>
  <c r="W79" i="1"/>
  <c r="W79" i="2" s="1"/>
  <c r="X79" i="1"/>
  <c r="X79" i="2" s="1"/>
  <c r="Y79" i="1"/>
  <c r="Y79" i="2" s="1"/>
  <c r="Z79" i="1"/>
  <c r="Z79" i="2" s="1"/>
  <c r="AA79" i="1"/>
  <c r="AA79" i="2" s="1"/>
  <c r="AB79" i="1"/>
  <c r="AB79" i="2" s="1"/>
  <c r="AC79" i="1"/>
  <c r="AC79" i="2" s="1"/>
  <c r="AD79" i="1"/>
  <c r="AD79" i="2" s="1"/>
  <c r="AE79" i="1"/>
  <c r="AE79" i="2" s="1"/>
  <c r="AF79" i="1"/>
  <c r="AF79" i="2" s="1"/>
  <c r="AG79" i="1"/>
  <c r="AG79" i="2" s="1"/>
  <c r="AH79" i="1"/>
  <c r="AH79" i="2" s="1"/>
  <c r="AI79" i="1"/>
  <c r="AI79" i="2" s="1"/>
  <c r="AJ79" i="1"/>
  <c r="AJ79" i="2" s="1"/>
  <c r="AK79" i="1"/>
  <c r="AK79" i="2" s="1"/>
  <c r="AL79" i="1"/>
  <c r="AL79" i="2" s="1"/>
  <c r="AM79" i="1"/>
  <c r="AM79" i="2" s="1"/>
  <c r="J80" i="1"/>
  <c r="J80" i="2" s="1"/>
  <c r="K80" i="1"/>
  <c r="K80" i="2" s="1"/>
  <c r="L80" i="1"/>
  <c r="L80" i="2" s="1"/>
  <c r="M80" i="1"/>
  <c r="M80" i="2" s="1"/>
  <c r="N80" i="1"/>
  <c r="N80" i="2" s="1"/>
  <c r="O80" i="1"/>
  <c r="O80" i="2" s="1"/>
  <c r="P80" i="1"/>
  <c r="P80" i="2" s="1"/>
  <c r="Q80" i="1"/>
  <c r="Q80" i="2" s="1"/>
  <c r="R80" i="1"/>
  <c r="R80" i="2" s="1"/>
  <c r="S80" i="1"/>
  <c r="S80" i="2" s="1"/>
  <c r="T80" i="1"/>
  <c r="T80" i="2" s="1"/>
  <c r="U80" i="1"/>
  <c r="U80" i="2" s="1"/>
  <c r="V80" i="1"/>
  <c r="V80" i="2" s="1"/>
  <c r="W80" i="1"/>
  <c r="W80" i="2" s="1"/>
  <c r="X80" i="1"/>
  <c r="X80" i="2" s="1"/>
  <c r="Y80" i="1"/>
  <c r="Y80" i="2" s="1"/>
  <c r="Z80" i="1"/>
  <c r="Z80" i="2" s="1"/>
  <c r="AA80" i="1"/>
  <c r="AA80" i="2" s="1"/>
  <c r="AB80" i="1"/>
  <c r="AB80" i="2" s="1"/>
  <c r="AC80" i="1"/>
  <c r="AC80" i="2" s="1"/>
  <c r="AD80" i="1"/>
  <c r="AD80" i="2" s="1"/>
  <c r="AE80" i="1"/>
  <c r="AE80" i="2" s="1"/>
  <c r="AF80" i="1"/>
  <c r="AF80" i="2" s="1"/>
  <c r="AG80" i="1"/>
  <c r="AG80" i="2" s="1"/>
  <c r="AH80" i="1"/>
  <c r="AH80" i="2" s="1"/>
  <c r="AI80" i="1"/>
  <c r="AI80" i="2" s="1"/>
  <c r="AJ80" i="1"/>
  <c r="AJ80" i="2" s="1"/>
  <c r="AK80" i="1"/>
  <c r="AK80" i="2" s="1"/>
  <c r="AL80" i="1"/>
  <c r="AL80" i="2" s="1"/>
  <c r="AM80" i="1"/>
  <c r="AM80" i="2" s="1"/>
  <c r="J81" i="1"/>
  <c r="J81" i="2" s="1"/>
  <c r="K81" i="1"/>
  <c r="K81" i="2" s="1"/>
  <c r="L81" i="1"/>
  <c r="L81" i="2" s="1"/>
  <c r="M81" i="1"/>
  <c r="M81" i="2" s="1"/>
  <c r="N81" i="1"/>
  <c r="N81" i="2" s="1"/>
  <c r="O81" i="1"/>
  <c r="O81" i="2" s="1"/>
  <c r="P81" i="1"/>
  <c r="P81" i="2" s="1"/>
  <c r="Q81" i="1"/>
  <c r="Q81" i="2" s="1"/>
  <c r="R81" i="1"/>
  <c r="R81" i="2" s="1"/>
  <c r="S81" i="1"/>
  <c r="S81" i="2" s="1"/>
  <c r="T81" i="1"/>
  <c r="T81" i="2" s="1"/>
  <c r="U81" i="1"/>
  <c r="U81" i="2" s="1"/>
  <c r="V81" i="1"/>
  <c r="V81" i="2" s="1"/>
  <c r="W81" i="1"/>
  <c r="W81" i="2" s="1"/>
  <c r="X81" i="1"/>
  <c r="X81" i="2" s="1"/>
  <c r="Y81" i="1"/>
  <c r="Y81" i="2" s="1"/>
  <c r="Z81" i="1"/>
  <c r="Z81" i="2" s="1"/>
  <c r="AA81" i="1"/>
  <c r="AA81" i="2" s="1"/>
  <c r="AB81" i="1"/>
  <c r="AB81" i="2" s="1"/>
  <c r="AC81" i="1"/>
  <c r="AC81" i="2" s="1"/>
  <c r="AD81" i="1"/>
  <c r="AD81" i="2" s="1"/>
  <c r="AE81" i="1"/>
  <c r="AE81" i="2" s="1"/>
  <c r="AF81" i="1"/>
  <c r="AF81" i="2" s="1"/>
  <c r="AG81" i="1"/>
  <c r="AG81" i="2" s="1"/>
  <c r="AH81" i="1"/>
  <c r="AH81" i="2" s="1"/>
  <c r="AI81" i="1"/>
  <c r="AI81" i="2" s="1"/>
  <c r="AJ81" i="1"/>
  <c r="AJ81" i="2" s="1"/>
  <c r="AK81" i="1"/>
  <c r="AK81" i="2" s="1"/>
  <c r="AL81" i="1"/>
  <c r="AL81" i="2" s="1"/>
  <c r="AM81" i="1"/>
  <c r="AM81" i="2" s="1"/>
  <c r="J82" i="1"/>
  <c r="J82" i="2" s="1"/>
  <c r="K82" i="1"/>
  <c r="K82" i="2" s="1"/>
  <c r="L82" i="1"/>
  <c r="L82" i="2" s="1"/>
  <c r="M82" i="1"/>
  <c r="M82" i="2" s="1"/>
  <c r="N82" i="1"/>
  <c r="N82" i="2" s="1"/>
  <c r="O82" i="1"/>
  <c r="O82" i="2" s="1"/>
  <c r="P82" i="1"/>
  <c r="P82" i="2" s="1"/>
  <c r="Q82" i="1"/>
  <c r="Q82" i="2" s="1"/>
  <c r="R82" i="1"/>
  <c r="R82" i="2" s="1"/>
  <c r="S82" i="1"/>
  <c r="S82" i="2" s="1"/>
  <c r="T82" i="1"/>
  <c r="T82" i="2" s="1"/>
  <c r="U82" i="1"/>
  <c r="U82" i="2" s="1"/>
  <c r="V82" i="1"/>
  <c r="V82" i="2" s="1"/>
  <c r="W82" i="1"/>
  <c r="W82" i="2" s="1"/>
  <c r="X82" i="1"/>
  <c r="X82" i="2" s="1"/>
  <c r="Y82" i="1"/>
  <c r="Y82" i="2" s="1"/>
  <c r="Z82" i="1"/>
  <c r="Z82" i="2" s="1"/>
  <c r="AA82" i="1"/>
  <c r="AA82" i="2" s="1"/>
  <c r="AB82" i="1"/>
  <c r="AB82" i="2" s="1"/>
  <c r="AC82" i="1"/>
  <c r="AC82" i="2" s="1"/>
  <c r="AD82" i="1"/>
  <c r="AD82" i="2" s="1"/>
  <c r="AE82" i="1"/>
  <c r="AE82" i="2" s="1"/>
  <c r="AF82" i="1"/>
  <c r="AF82" i="2" s="1"/>
  <c r="AG82" i="1"/>
  <c r="AG82" i="2" s="1"/>
  <c r="AH82" i="1"/>
  <c r="AH82" i="2" s="1"/>
  <c r="AI82" i="1"/>
  <c r="AI82" i="2" s="1"/>
  <c r="AJ82" i="1"/>
  <c r="AJ82" i="2" s="1"/>
  <c r="AK82" i="1"/>
  <c r="AK82" i="2" s="1"/>
  <c r="AL82" i="1"/>
  <c r="AL82" i="2" s="1"/>
  <c r="AM82" i="1"/>
  <c r="AM82" i="2" s="1"/>
  <c r="J83" i="1"/>
  <c r="J83" i="2" s="1"/>
  <c r="K83" i="1"/>
  <c r="K83" i="2" s="1"/>
  <c r="L83" i="1"/>
  <c r="L83" i="2" s="1"/>
  <c r="M83" i="1"/>
  <c r="M83" i="2" s="1"/>
  <c r="N83" i="1"/>
  <c r="N83" i="2" s="1"/>
  <c r="O83" i="1"/>
  <c r="O83" i="2" s="1"/>
  <c r="P83" i="1"/>
  <c r="P83" i="2" s="1"/>
  <c r="Q83" i="1"/>
  <c r="Q83" i="2" s="1"/>
  <c r="R83" i="1"/>
  <c r="R83" i="2" s="1"/>
  <c r="S83" i="1"/>
  <c r="S83" i="2" s="1"/>
  <c r="T83" i="1"/>
  <c r="T83" i="2" s="1"/>
  <c r="U83" i="1"/>
  <c r="U83" i="2" s="1"/>
  <c r="V83" i="1"/>
  <c r="V83" i="2" s="1"/>
  <c r="W83" i="1"/>
  <c r="W83" i="2" s="1"/>
  <c r="X83" i="1"/>
  <c r="X83" i="2" s="1"/>
  <c r="Y83" i="1"/>
  <c r="Y83" i="2" s="1"/>
  <c r="Z83" i="1"/>
  <c r="Z83" i="2" s="1"/>
  <c r="AA83" i="1"/>
  <c r="AA83" i="2" s="1"/>
  <c r="AB83" i="1"/>
  <c r="AB83" i="2" s="1"/>
  <c r="AC83" i="1"/>
  <c r="AC83" i="2" s="1"/>
  <c r="AD83" i="1"/>
  <c r="AD83" i="2" s="1"/>
  <c r="AE83" i="1"/>
  <c r="AE83" i="2" s="1"/>
  <c r="AF83" i="1"/>
  <c r="AF83" i="2" s="1"/>
  <c r="AG83" i="1"/>
  <c r="AG83" i="2" s="1"/>
  <c r="AH83" i="1"/>
  <c r="AH83" i="2" s="1"/>
  <c r="AI83" i="1"/>
  <c r="AI83" i="2" s="1"/>
  <c r="AJ83" i="1"/>
  <c r="AJ83" i="2" s="1"/>
  <c r="AK83" i="1"/>
  <c r="AK83" i="2" s="1"/>
  <c r="AL83" i="1"/>
  <c r="AL83" i="2" s="1"/>
  <c r="AM83" i="1"/>
  <c r="AM83" i="2" s="1"/>
  <c r="J84" i="1"/>
  <c r="J84" i="2" s="1"/>
  <c r="K84" i="1"/>
  <c r="K84" i="2" s="1"/>
  <c r="L84" i="1"/>
  <c r="L84" i="2" s="1"/>
  <c r="M84" i="1"/>
  <c r="M84" i="2" s="1"/>
  <c r="N84" i="1"/>
  <c r="N84" i="2" s="1"/>
  <c r="O84" i="1"/>
  <c r="O84" i="2" s="1"/>
  <c r="P84" i="1"/>
  <c r="P84" i="2" s="1"/>
  <c r="Q84" i="1"/>
  <c r="Q84" i="2" s="1"/>
  <c r="R84" i="1"/>
  <c r="R84" i="2" s="1"/>
  <c r="S84" i="1"/>
  <c r="S84" i="2" s="1"/>
  <c r="T84" i="1"/>
  <c r="T84" i="2" s="1"/>
  <c r="U84" i="1"/>
  <c r="U84" i="2" s="1"/>
  <c r="V84" i="1"/>
  <c r="V84" i="2" s="1"/>
  <c r="W84" i="1"/>
  <c r="W84" i="2" s="1"/>
  <c r="X84" i="1"/>
  <c r="X84" i="2" s="1"/>
  <c r="Y84" i="1"/>
  <c r="Y84" i="2" s="1"/>
  <c r="Z84" i="1"/>
  <c r="Z84" i="2" s="1"/>
  <c r="AA84" i="1"/>
  <c r="AA84" i="2" s="1"/>
  <c r="AB84" i="1"/>
  <c r="AB84" i="2" s="1"/>
  <c r="AC84" i="1"/>
  <c r="AC84" i="2" s="1"/>
  <c r="AD84" i="1"/>
  <c r="AD84" i="2" s="1"/>
  <c r="AE84" i="1"/>
  <c r="AE84" i="2" s="1"/>
  <c r="AF84" i="1"/>
  <c r="AF84" i="2" s="1"/>
  <c r="AG84" i="1"/>
  <c r="AG84" i="2" s="1"/>
  <c r="AH84" i="1"/>
  <c r="AH84" i="2" s="1"/>
  <c r="AI84" i="1"/>
  <c r="AI84" i="2" s="1"/>
  <c r="AJ84" i="1"/>
  <c r="AJ84" i="2" s="1"/>
  <c r="AK84" i="1"/>
  <c r="AK84" i="2" s="1"/>
  <c r="AL84" i="1"/>
  <c r="AL84" i="2" s="1"/>
  <c r="AM84" i="1"/>
  <c r="AM84" i="2" s="1"/>
  <c r="J85" i="1"/>
  <c r="J85" i="2" s="1"/>
  <c r="K85" i="1"/>
  <c r="K85" i="2" s="1"/>
  <c r="L85" i="1"/>
  <c r="L85" i="2" s="1"/>
  <c r="M85" i="1"/>
  <c r="M85" i="2" s="1"/>
  <c r="N85" i="1"/>
  <c r="N85" i="2" s="1"/>
  <c r="O85" i="1"/>
  <c r="O85" i="2" s="1"/>
  <c r="P85" i="1"/>
  <c r="P85" i="2" s="1"/>
  <c r="Q85" i="1"/>
  <c r="Q85" i="2" s="1"/>
  <c r="R85" i="1"/>
  <c r="R85" i="2" s="1"/>
  <c r="S85" i="1"/>
  <c r="S85" i="2" s="1"/>
  <c r="T85" i="1"/>
  <c r="T85" i="2" s="1"/>
  <c r="U85" i="1"/>
  <c r="U85" i="2" s="1"/>
  <c r="V85" i="1"/>
  <c r="V85" i="2" s="1"/>
  <c r="W85" i="1"/>
  <c r="W85" i="2" s="1"/>
  <c r="X85" i="1"/>
  <c r="X85" i="2" s="1"/>
  <c r="Y85" i="1"/>
  <c r="Y85" i="2" s="1"/>
  <c r="Z85" i="1"/>
  <c r="Z85" i="2" s="1"/>
  <c r="AA85" i="1"/>
  <c r="AA85" i="2" s="1"/>
  <c r="AB85" i="1"/>
  <c r="AB85" i="2" s="1"/>
  <c r="AC85" i="1"/>
  <c r="AC85" i="2" s="1"/>
  <c r="AD85" i="1"/>
  <c r="AD85" i="2" s="1"/>
  <c r="AE85" i="1"/>
  <c r="AE85" i="2" s="1"/>
  <c r="AF85" i="1"/>
  <c r="AF85" i="2" s="1"/>
  <c r="AG85" i="1"/>
  <c r="AG85" i="2" s="1"/>
  <c r="AH85" i="1"/>
  <c r="AH85" i="2" s="1"/>
  <c r="AI85" i="1"/>
  <c r="AI85" i="2" s="1"/>
  <c r="AJ85" i="1"/>
  <c r="AJ85" i="2" s="1"/>
  <c r="AK85" i="1"/>
  <c r="AK85" i="2" s="1"/>
  <c r="AL85" i="1"/>
  <c r="AL85" i="2" s="1"/>
  <c r="AM85" i="1"/>
  <c r="AM85" i="2" s="1"/>
  <c r="J86" i="1"/>
  <c r="J86" i="2" s="1"/>
  <c r="K86" i="1"/>
  <c r="K86" i="2" s="1"/>
  <c r="L86" i="1"/>
  <c r="L86" i="2" s="1"/>
  <c r="M86" i="1"/>
  <c r="M86" i="2" s="1"/>
  <c r="N86" i="1"/>
  <c r="N86" i="2" s="1"/>
  <c r="O86" i="1"/>
  <c r="O86" i="2" s="1"/>
  <c r="P86" i="1"/>
  <c r="P86" i="2" s="1"/>
  <c r="Q86" i="1"/>
  <c r="Q86" i="2" s="1"/>
  <c r="R86" i="1"/>
  <c r="R86" i="2" s="1"/>
  <c r="S86" i="1"/>
  <c r="S86" i="2" s="1"/>
  <c r="T86" i="1"/>
  <c r="T86" i="2" s="1"/>
  <c r="U86" i="1"/>
  <c r="U86" i="2" s="1"/>
  <c r="V86" i="1"/>
  <c r="V86" i="2" s="1"/>
  <c r="W86" i="1"/>
  <c r="W86" i="2" s="1"/>
  <c r="X86" i="1"/>
  <c r="X86" i="2" s="1"/>
  <c r="Y86" i="1"/>
  <c r="Y86" i="2" s="1"/>
  <c r="Z86" i="1"/>
  <c r="Z86" i="2" s="1"/>
  <c r="AA86" i="1"/>
  <c r="AA86" i="2" s="1"/>
  <c r="AB86" i="1"/>
  <c r="AB86" i="2" s="1"/>
  <c r="AC86" i="1"/>
  <c r="AC86" i="2" s="1"/>
  <c r="AD86" i="1"/>
  <c r="AD86" i="2" s="1"/>
  <c r="AE86" i="1"/>
  <c r="AE86" i="2" s="1"/>
  <c r="AF86" i="1"/>
  <c r="AF86" i="2" s="1"/>
  <c r="AG86" i="1"/>
  <c r="AG86" i="2" s="1"/>
  <c r="AH86" i="1"/>
  <c r="AH86" i="2" s="1"/>
  <c r="AI86" i="1"/>
  <c r="AI86" i="2" s="1"/>
  <c r="AJ86" i="1"/>
  <c r="AJ86" i="2" s="1"/>
  <c r="AK86" i="1"/>
  <c r="AK86" i="2" s="1"/>
  <c r="AL86" i="1"/>
  <c r="AL86" i="2" s="1"/>
  <c r="AM86" i="1"/>
  <c r="AM86" i="2" s="1"/>
  <c r="J87" i="1"/>
  <c r="J87" i="2" s="1"/>
  <c r="K87" i="1"/>
  <c r="K87" i="2" s="1"/>
  <c r="L87" i="1"/>
  <c r="L87" i="2" s="1"/>
  <c r="M87" i="1"/>
  <c r="M87" i="2" s="1"/>
  <c r="N87" i="1"/>
  <c r="N87" i="2" s="1"/>
  <c r="O87" i="1"/>
  <c r="O87" i="2" s="1"/>
  <c r="P87" i="1"/>
  <c r="P87" i="2" s="1"/>
  <c r="Q87" i="1"/>
  <c r="Q87" i="2" s="1"/>
  <c r="R87" i="1"/>
  <c r="R87" i="2" s="1"/>
  <c r="S87" i="1"/>
  <c r="S87" i="2" s="1"/>
  <c r="T87" i="1"/>
  <c r="T87" i="2" s="1"/>
  <c r="U87" i="1"/>
  <c r="U87" i="2" s="1"/>
  <c r="V87" i="1"/>
  <c r="V87" i="2" s="1"/>
  <c r="W87" i="1"/>
  <c r="W87" i="2" s="1"/>
  <c r="X87" i="1"/>
  <c r="X87" i="2" s="1"/>
  <c r="Y87" i="1"/>
  <c r="Y87" i="2" s="1"/>
  <c r="Z87" i="1"/>
  <c r="Z87" i="2" s="1"/>
  <c r="AA87" i="1"/>
  <c r="AA87" i="2" s="1"/>
  <c r="AB87" i="1"/>
  <c r="AB87" i="2" s="1"/>
  <c r="AC87" i="1"/>
  <c r="AC87" i="2" s="1"/>
  <c r="AD87" i="1"/>
  <c r="AD87" i="2" s="1"/>
  <c r="AE87" i="1"/>
  <c r="AE87" i="2" s="1"/>
  <c r="AF87" i="1"/>
  <c r="AF87" i="2" s="1"/>
  <c r="AG87" i="1"/>
  <c r="AG87" i="2" s="1"/>
  <c r="AH87" i="1"/>
  <c r="AH87" i="2" s="1"/>
  <c r="AI87" i="1"/>
  <c r="AI87" i="2" s="1"/>
  <c r="AJ87" i="1"/>
  <c r="AJ87" i="2" s="1"/>
  <c r="AK87" i="1"/>
  <c r="AK87" i="2" s="1"/>
  <c r="AL87" i="1"/>
  <c r="AL87" i="2" s="1"/>
  <c r="AM87" i="1"/>
  <c r="AM87" i="2" s="1"/>
  <c r="J88" i="1"/>
  <c r="J88" i="2" s="1"/>
  <c r="K88" i="1"/>
  <c r="K88" i="2" s="1"/>
  <c r="L88" i="1"/>
  <c r="L88" i="2" s="1"/>
  <c r="M88" i="1"/>
  <c r="M88" i="2" s="1"/>
  <c r="N88" i="1"/>
  <c r="N88" i="2" s="1"/>
  <c r="O88" i="1"/>
  <c r="O88" i="2" s="1"/>
  <c r="P88" i="1"/>
  <c r="P88" i="2" s="1"/>
  <c r="Q88" i="1"/>
  <c r="Q88" i="2" s="1"/>
  <c r="R88" i="1"/>
  <c r="R88" i="2" s="1"/>
  <c r="S88" i="1"/>
  <c r="S88" i="2" s="1"/>
  <c r="T88" i="1"/>
  <c r="T88" i="2" s="1"/>
  <c r="U88" i="1"/>
  <c r="U88" i="2" s="1"/>
  <c r="V88" i="1"/>
  <c r="V88" i="2" s="1"/>
  <c r="W88" i="1"/>
  <c r="W88" i="2" s="1"/>
  <c r="X88" i="1"/>
  <c r="X88" i="2" s="1"/>
  <c r="Y88" i="1"/>
  <c r="Y88" i="2" s="1"/>
  <c r="Z88" i="1"/>
  <c r="Z88" i="2" s="1"/>
  <c r="AA88" i="1"/>
  <c r="AA88" i="2" s="1"/>
  <c r="AB88" i="1"/>
  <c r="AB88" i="2" s="1"/>
  <c r="AC88" i="1"/>
  <c r="AC88" i="2" s="1"/>
  <c r="AD88" i="1"/>
  <c r="AD88" i="2" s="1"/>
  <c r="AE88" i="1"/>
  <c r="AE88" i="2" s="1"/>
  <c r="AF88" i="1"/>
  <c r="AF88" i="2" s="1"/>
  <c r="AG88" i="1"/>
  <c r="AG88" i="2" s="1"/>
  <c r="AH88" i="1"/>
  <c r="AH88" i="2" s="1"/>
  <c r="AI88" i="1"/>
  <c r="AI88" i="2" s="1"/>
  <c r="AJ88" i="1"/>
  <c r="AJ88" i="2" s="1"/>
  <c r="AK88" i="1"/>
  <c r="AK88" i="2" s="1"/>
  <c r="AL88" i="1"/>
  <c r="AL88" i="2" s="1"/>
  <c r="AM88" i="1"/>
  <c r="AM88" i="2" s="1"/>
  <c r="J89" i="1"/>
  <c r="J89" i="2" s="1"/>
  <c r="K89" i="1"/>
  <c r="K89" i="2" s="1"/>
  <c r="L89" i="1"/>
  <c r="L89" i="2" s="1"/>
  <c r="M89" i="1"/>
  <c r="M89" i="2" s="1"/>
  <c r="N89" i="1"/>
  <c r="N89" i="2" s="1"/>
  <c r="O89" i="1"/>
  <c r="O89" i="2" s="1"/>
  <c r="P89" i="1"/>
  <c r="P89" i="2" s="1"/>
  <c r="Q89" i="1"/>
  <c r="Q89" i="2" s="1"/>
  <c r="R89" i="1"/>
  <c r="R89" i="2" s="1"/>
  <c r="S89" i="1"/>
  <c r="S89" i="2" s="1"/>
  <c r="T89" i="1"/>
  <c r="T89" i="2" s="1"/>
  <c r="U89" i="1"/>
  <c r="U89" i="2" s="1"/>
  <c r="V89" i="1"/>
  <c r="V89" i="2" s="1"/>
  <c r="W89" i="1"/>
  <c r="W89" i="2" s="1"/>
  <c r="X89" i="1"/>
  <c r="X89" i="2" s="1"/>
  <c r="Y89" i="1"/>
  <c r="Y89" i="2" s="1"/>
  <c r="Z89" i="1"/>
  <c r="Z89" i="2" s="1"/>
  <c r="AA89" i="1"/>
  <c r="AA89" i="2" s="1"/>
  <c r="AB89" i="1"/>
  <c r="AB89" i="2" s="1"/>
  <c r="AC89" i="1"/>
  <c r="AC89" i="2" s="1"/>
  <c r="AD89" i="1"/>
  <c r="AD89" i="2" s="1"/>
  <c r="AE89" i="1"/>
  <c r="AE89" i="2" s="1"/>
  <c r="AF89" i="1"/>
  <c r="AF89" i="2" s="1"/>
  <c r="AG89" i="1"/>
  <c r="AG89" i="2" s="1"/>
  <c r="AH89" i="1"/>
  <c r="AH89" i="2" s="1"/>
  <c r="AI89" i="1"/>
  <c r="AI89" i="2" s="1"/>
  <c r="AJ89" i="1"/>
  <c r="AJ89" i="2" s="1"/>
  <c r="AK89" i="1"/>
  <c r="AK89" i="2" s="1"/>
  <c r="AL89" i="1"/>
  <c r="AL89" i="2" s="1"/>
  <c r="AM89" i="1"/>
  <c r="AM89" i="2" s="1"/>
  <c r="J90" i="1"/>
  <c r="J90" i="2" s="1"/>
  <c r="K90" i="1"/>
  <c r="K90" i="2" s="1"/>
  <c r="L90" i="1"/>
  <c r="L90" i="2" s="1"/>
  <c r="M90" i="1"/>
  <c r="M90" i="2" s="1"/>
  <c r="N90" i="1"/>
  <c r="N90" i="2" s="1"/>
  <c r="O90" i="1"/>
  <c r="O90" i="2" s="1"/>
  <c r="P90" i="1"/>
  <c r="P90" i="2" s="1"/>
  <c r="Q90" i="1"/>
  <c r="Q90" i="2" s="1"/>
  <c r="R90" i="1"/>
  <c r="R90" i="2" s="1"/>
  <c r="S90" i="1"/>
  <c r="S90" i="2" s="1"/>
  <c r="T90" i="1"/>
  <c r="T90" i="2" s="1"/>
  <c r="U90" i="1"/>
  <c r="U90" i="2" s="1"/>
  <c r="V90" i="1"/>
  <c r="V90" i="2" s="1"/>
  <c r="W90" i="1"/>
  <c r="W90" i="2" s="1"/>
  <c r="X90" i="1"/>
  <c r="X90" i="2" s="1"/>
  <c r="Y90" i="1"/>
  <c r="Y90" i="2" s="1"/>
  <c r="Z90" i="1"/>
  <c r="Z90" i="2" s="1"/>
  <c r="AA90" i="1"/>
  <c r="AA90" i="2" s="1"/>
  <c r="AB90" i="1"/>
  <c r="AB90" i="2" s="1"/>
  <c r="AC90" i="1"/>
  <c r="AC90" i="2" s="1"/>
  <c r="AD90" i="1"/>
  <c r="AD90" i="2" s="1"/>
  <c r="AE90" i="1"/>
  <c r="AE90" i="2" s="1"/>
  <c r="AF90" i="1"/>
  <c r="AF90" i="2" s="1"/>
  <c r="AG90" i="1"/>
  <c r="AG90" i="2" s="1"/>
  <c r="AH90" i="1"/>
  <c r="AH90" i="2" s="1"/>
  <c r="AI90" i="1"/>
  <c r="AI90" i="2" s="1"/>
  <c r="AJ90" i="1"/>
  <c r="AJ90" i="2" s="1"/>
  <c r="AK90" i="1"/>
  <c r="AK90" i="2" s="1"/>
  <c r="AL90" i="1"/>
  <c r="AL90" i="2" s="1"/>
  <c r="AM90" i="1"/>
  <c r="AM90" i="2" s="1"/>
  <c r="J91" i="1"/>
  <c r="J91" i="2" s="1"/>
  <c r="K91" i="1"/>
  <c r="K91" i="2" s="1"/>
  <c r="L91" i="1"/>
  <c r="L91" i="2" s="1"/>
  <c r="M91" i="1"/>
  <c r="M91" i="2" s="1"/>
  <c r="N91" i="1"/>
  <c r="N91" i="2" s="1"/>
  <c r="O91" i="1"/>
  <c r="O91" i="2" s="1"/>
  <c r="P91" i="1"/>
  <c r="P91" i="2" s="1"/>
  <c r="Q91" i="1"/>
  <c r="Q91" i="2" s="1"/>
  <c r="R91" i="1"/>
  <c r="R91" i="2" s="1"/>
  <c r="S91" i="1"/>
  <c r="S91" i="2" s="1"/>
  <c r="T91" i="1"/>
  <c r="T91" i="2" s="1"/>
  <c r="U91" i="1"/>
  <c r="U91" i="2" s="1"/>
  <c r="V91" i="1"/>
  <c r="V91" i="2" s="1"/>
  <c r="W91" i="1"/>
  <c r="W91" i="2" s="1"/>
  <c r="X91" i="1"/>
  <c r="X91" i="2" s="1"/>
  <c r="Y91" i="1"/>
  <c r="Y91" i="2" s="1"/>
  <c r="Z91" i="1"/>
  <c r="Z91" i="2" s="1"/>
  <c r="AA91" i="1"/>
  <c r="AA91" i="2" s="1"/>
  <c r="AB91" i="1"/>
  <c r="AB91" i="2" s="1"/>
  <c r="AC91" i="1"/>
  <c r="AC91" i="2" s="1"/>
  <c r="AD91" i="1"/>
  <c r="AD91" i="2" s="1"/>
  <c r="AE91" i="1"/>
  <c r="AE91" i="2" s="1"/>
  <c r="AF91" i="1"/>
  <c r="AF91" i="2" s="1"/>
  <c r="AG91" i="1"/>
  <c r="AG91" i="2" s="1"/>
  <c r="AH91" i="1"/>
  <c r="AH91" i="2" s="1"/>
  <c r="AI91" i="1"/>
  <c r="AI91" i="2" s="1"/>
  <c r="AJ91" i="1"/>
  <c r="AJ91" i="2" s="1"/>
  <c r="AK91" i="1"/>
  <c r="AK91" i="2" s="1"/>
  <c r="AL91" i="1"/>
  <c r="AL91" i="2" s="1"/>
  <c r="AM91" i="1"/>
  <c r="AM91" i="2" s="1"/>
  <c r="J92" i="1"/>
  <c r="J92" i="2" s="1"/>
  <c r="K92" i="1"/>
  <c r="K92" i="2" s="1"/>
  <c r="L92" i="1"/>
  <c r="L92" i="2" s="1"/>
  <c r="M92" i="1"/>
  <c r="M92" i="2" s="1"/>
  <c r="N92" i="1"/>
  <c r="N92" i="2" s="1"/>
  <c r="O92" i="1"/>
  <c r="O92" i="2" s="1"/>
  <c r="P92" i="1"/>
  <c r="P92" i="2" s="1"/>
  <c r="Q92" i="1"/>
  <c r="Q92" i="2" s="1"/>
  <c r="R92" i="1"/>
  <c r="R92" i="2" s="1"/>
  <c r="S92" i="1"/>
  <c r="S92" i="2" s="1"/>
  <c r="T92" i="1"/>
  <c r="T92" i="2" s="1"/>
  <c r="U92" i="1"/>
  <c r="U92" i="2" s="1"/>
  <c r="V92" i="1"/>
  <c r="V92" i="2" s="1"/>
  <c r="W92" i="1"/>
  <c r="W92" i="2" s="1"/>
  <c r="X92" i="1"/>
  <c r="X92" i="2" s="1"/>
  <c r="Y92" i="1"/>
  <c r="Y92" i="2" s="1"/>
  <c r="Z92" i="1"/>
  <c r="Z92" i="2" s="1"/>
  <c r="AA92" i="1"/>
  <c r="AA92" i="2" s="1"/>
  <c r="AB92" i="1"/>
  <c r="AB92" i="2" s="1"/>
  <c r="AC92" i="1"/>
  <c r="AC92" i="2" s="1"/>
  <c r="AD92" i="1"/>
  <c r="AD92" i="2" s="1"/>
  <c r="AE92" i="1"/>
  <c r="AE92" i="2" s="1"/>
  <c r="AF92" i="1"/>
  <c r="AF92" i="2" s="1"/>
  <c r="AG92" i="1"/>
  <c r="AG92" i="2" s="1"/>
  <c r="AH92" i="1"/>
  <c r="AH92" i="2" s="1"/>
  <c r="AI92" i="1"/>
  <c r="AI92" i="2" s="1"/>
  <c r="AJ92" i="1"/>
  <c r="AJ92" i="2" s="1"/>
  <c r="AK92" i="1"/>
  <c r="AK92" i="2" s="1"/>
  <c r="AL92" i="1"/>
  <c r="AL92" i="2" s="1"/>
  <c r="AM92" i="1"/>
  <c r="AM92" i="2" s="1"/>
  <c r="J93" i="1"/>
  <c r="J93" i="2" s="1"/>
  <c r="K93" i="1"/>
  <c r="K93" i="2" s="1"/>
  <c r="L93" i="1"/>
  <c r="L93" i="2" s="1"/>
  <c r="M93" i="1"/>
  <c r="M93" i="2" s="1"/>
  <c r="N93" i="1"/>
  <c r="N93" i="2" s="1"/>
  <c r="O93" i="1"/>
  <c r="O93" i="2" s="1"/>
  <c r="P93" i="1"/>
  <c r="P93" i="2" s="1"/>
  <c r="Q93" i="1"/>
  <c r="Q93" i="2" s="1"/>
  <c r="R93" i="1"/>
  <c r="R93" i="2" s="1"/>
  <c r="S93" i="1"/>
  <c r="S93" i="2" s="1"/>
  <c r="T93" i="1"/>
  <c r="T93" i="2" s="1"/>
  <c r="U93" i="1"/>
  <c r="U93" i="2" s="1"/>
  <c r="V93" i="1"/>
  <c r="V93" i="2" s="1"/>
  <c r="W93" i="1"/>
  <c r="W93" i="2" s="1"/>
  <c r="X93" i="1"/>
  <c r="X93" i="2" s="1"/>
  <c r="Y93" i="1"/>
  <c r="Y93" i="2" s="1"/>
  <c r="Z93" i="1"/>
  <c r="Z93" i="2" s="1"/>
  <c r="AA93" i="1"/>
  <c r="AA93" i="2" s="1"/>
  <c r="AB93" i="1"/>
  <c r="AB93" i="2" s="1"/>
  <c r="AC93" i="1"/>
  <c r="AC93" i="2" s="1"/>
  <c r="AD93" i="1"/>
  <c r="AD93" i="2" s="1"/>
  <c r="AE93" i="1"/>
  <c r="AE93" i="2" s="1"/>
  <c r="AF93" i="1"/>
  <c r="AF93" i="2" s="1"/>
  <c r="AG93" i="1"/>
  <c r="AG93" i="2" s="1"/>
  <c r="AH93" i="1"/>
  <c r="AH93" i="2" s="1"/>
  <c r="AI93" i="1"/>
  <c r="AI93" i="2" s="1"/>
  <c r="AJ93" i="1"/>
  <c r="AJ93" i="2" s="1"/>
  <c r="AK93" i="1"/>
  <c r="AK93" i="2" s="1"/>
  <c r="AL93" i="1"/>
  <c r="AL93" i="2" s="1"/>
  <c r="AM93" i="1"/>
  <c r="AM93" i="2" s="1"/>
  <c r="J94" i="1"/>
  <c r="J94" i="2" s="1"/>
  <c r="K94" i="1"/>
  <c r="K94" i="2" s="1"/>
  <c r="L94" i="1"/>
  <c r="L94" i="2" s="1"/>
  <c r="M94" i="1"/>
  <c r="M94" i="2" s="1"/>
  <c r="N94" i="1"/>
  <c r="N94" i="2" s="1"/>
  <c r="O94" i="1"/>
  <c r="O94" i="2" s="1"/>
  <c r="P94" i="1"/>
  <c r="P94" i="2" s="1"/>
  <c r="Q94" i="1"/>
  <c r="Q94" i="2" s="1"/>
  <c r="R94" i="1"/>
  <c r="R94" i="2" s="1"/>
  <c r="S94" i="1"/>
  <c r="S94" i="2" s="1"/>
  <c r="T94" i="1"/>
  <c r="T94" i="2" s="1"/>
  <c r="U94" i="1"/>
  <c r="U94" i="2" s="1"/>
  <c r="V94" i="1"/>
  <c r="V94" i="2" s="1"/>
  <c r="W94" i="1"/>
  <c r="W94" i="2" s="1"/>
  <c r="X94" i="1"/>
  <c r="X94" i="2" s="1"/>
  <c r="Y94" i="1"/>
  <c r="Y94" i="2" s="1"/>
  <c r="Z94" i="1"/>
  <c r="Z94" i="2" s="1"/>
  <c r="AA94" i="1"/>
  <c r="AA94" i="2" s="1"/>
  <c r="AB94" i="1"/>
  <c r="AB94" i="2" s="1"/>
  <c r="AC94" i="1"/>
  <c r="AC94" i="2" s="1"/>
  <c r="AD94" i="1"/>
  <c r="AD94" i="2" s="1"/>
  <c r="AE94" i="1"/>
  <c r="AE94" i="2" s="1"/>
  <c r="AF94" i="1"/>
  <c r="AF94" i="2" s="1"/>
  <c r="AG94" i="1"/>
  <c r="AG94" i="2" s="1"/>
  <c r="AH94" i="1"/>
  <c r="AH94" i="2" s="1"/>
  <c r="AI94" i="1"/>
  <c r="AI94" i="2" s="1"/>
  <c r="AJ94" i="1"/>
  <c r="AJ94" i="2" s="1"/>
  <c r="AK94" i="1"/>
  <c r="AK94" i="2" s="1"/>
  <c r="AL94" i="1"/>
  <c r="AL94" i="2" s="1"/>
  <c r="AM94" i="1"/>
  <c r="AM94" i="2" s="1"/>
  <c r="J95" i="1"/>
  <c r="J95" i="2" s="1"/>
  <c r="K95" i="1"/>
  <c r="K95" i="2" s="1"/>
  <c r="L95" i="1"/>
  <c r="L95" i="2" s="1"/>
  <c r="M95" i="1"/>
  <c r="M95" i="2" s="1"/>
  <c r="N95" i="1"/>
  <c r="N95" i="2" s="1"/>
  <c r="O95" i="1"/>
  <c r="O95" i="2" s="1"/>
  <c r="P95" i="1"/>
  <c r="P95" i="2" s="1"/>
  <c r="Q95" i="1"/>
  <c r="Q95" i="2" s="1"/>
  <c r="R95" i="1"/>
  <c r="R95" i="2" s="1"/>
  <c r="S95" i="1"/>
  <c r="S95" i="2" s="1"/>
  <c r="T95" i="1"/>
  <c r="T95" i="2" s="1"/>
  <c r="U95" i="1"/>
  <c r="U95" i="2" s="1"/>
  <c r="V95" i="1"/>
  <c r="V95" i="2" s="1"/>
  <c r="W95" i="1"/>
  <c r="W95" i="2" s="1"/>
  <c r="X95" i="1"/>
  <c r="X95" i="2" s="1"/>
  <c r="Y95" i="1"/>
  <c r="Y95" i="2" s="1"/>
  <c r="Z95" i="1"/>
  <c r="Z95" i="2" s="1"/>
  <c r="AA95" i="1"/>
  <c r="AA95" i="2" s="1"/>
  <c r="AB95" i="1"/>
  <c r="AB95" i="2" s="1"/>
  <c r="AC95" i="1"/>
  <c r="AC95" i="2" s="1"/>
  <c r="AD95" i="1"/>
  <c r="AD95" i="2" s="1"/>
  <c r="AE95" i="1"/>
  <c r="AE95" i="2" s="1"/>
  <c r="AF95" i="1"/>
  <c r="AF95" i="2" s="1"/>
  <c r="AG95" i="1"/>
  <c r="AG95" i="2" s="1"/>
  <c r="AH95" i="1"/>
  <c r="AH95" i="2" s="1"/>
  <c r="AI95" i="1"/>
  <c r="AI95" i="2" s="1"/>
  <c r="AJ95" i="1"/>
  <c r="AJ95" i="2" s="1"/>
  <c r="AK95" i="1"/>
  <c r="AK95" i="2" s="1"/>
  <c r="AL95" i="1"/>
  <c r="AL95" i="2" s="1"/>
  <c r="AM95" i="1"/>
  <c r="AM95" i="2" s="1"/>
  <c r="J96" i="1"/>
  <c r="J96" i="2" s="1"/>
  <c r="K96" i="1"/>
  <c r="K96" i="2" s="1"/>
  <c r="L96" i="1"/>
  <c r="L96" i="2" s="1"/>
  <c r="M96" i="1"/>
  <c r="M96" i="2" s="1"/>
  <c r="N96" i="1"/>
  <c r="N96" i="2" s="1"/>
  <c r="O96" i="1"/>
  <c r="O96" i="2" s="1"/>
  <c r="P96" i="1"/>
  <c r="P96" i="2" s="1"/>
  <c r="Q96" i="1"/>
  <c r="Q96" i="2" s="1"/>
  <c r="R96" i="1"/>
  <c r="R96" i="2" s="1"/>
  <c r="S96" i="1"/>
  <c r="S96" i="2" s="1"/>
  <c r="T96" i="1"/>
  <c r="T96" i="2" s="1"/>
  <c r="U96" i="1"/>
  <c r="U96" i="2" s="1"/>
  <c r="V96" i="1"/>
  <c r="V96" i="2" s="1"/>
  <c r="W96" i="1"/>
  <c r="W96" i="2" s="1"/>
  <c r="X96" i="1"/>
  <c r="X96" i="2" s="1"/>
  <c r="Y96" i="1"/>
  <c r="Y96" i="2" s="1"/>
  <c r="Z96" i="1"/>
  <c r="Z96" i="2" s="1"/>
  <c r="AA96" i="1"/>
  <c r="AA96" i="2" s="1"/>
  <c r="AB96" i="1"/>
  <c r="AB96" i="2" s="1"/>
  <c r="AC96" i="1"/>
  <c r="AC96" i="2" s="1"/>
  <c r="AD96" i="1"/>
  <c r="AD96" i="2" s="1"/>
  <c r="AE96" i="1"/>
  <c r="AE96" i="2" s="1"/>
  <c r="AF96" i="1"/>
  <c r="AF96" i="2" s="1"/>
  <c r="AG96" i="1"/>
  <c r="AG96" i="2" s="1"/>
  <c r="AH96" i="1"/>
  <c r="AH96" i="2" s="1"/>
  <c r="AI96" i="1"/>
  <c r="AI96" i="2" s="1"/>
  <c r="AJ96" i="1"/>
  <c r="AJ96" i="2" s="1"/>
  <c r="AK96" i="1"/>
  <c r="AK96" i="2" s="1"/>
  <c r="AL96" i="1"/>
  <c r="AL96" i="2" s="1"/>
  <c r="AM96" i="1"/>
  <c r="AM96" i="2" s="1"/>
  <c r="J97" i="1"/>
  <c r="J97" i="2" s="1"/>
  <c r="K97" i="1"/>
  <c r="K97" i="2" s="1"/>
  <c r="L97" i="1"/>
  <c r="L97" i="2" s="1"/>
  <c r="M97" i="1"/>
  <c r="M97" i="2" s="1"/>
  <c r="N97" i="1"/>
  <c r="N97" i="2" s="1"/>
  <c r="O97" i="1"/>
  <c r="O97" i="2" s="1"/>
  <c r="P97" i="1"/>
  <c r="P97" i="2" s="1"/>
  <c r="Q97" i="1"/>
  <c r="Q97" i="2" s="1"/>
  <c r="R97" i="1"/>
  <c r="R97" i="2" s="1"/>
  <c r="S97" i="1"/>
  <c r="S97" i="2" s="1"/>
  <c r="T97" i="1"/>
  <c r="T97" i="2" s="1"/>
  <c r="U97" i="1"/>
  <c r="U97" i="2" s="1"/>
  <c r="V97" i="1"/>
  <c r="V97" i="2" s="1"/>
  <c r="W97" i="1"/>
  <c r="W97" i="2" s="1"/>
  <c r="X97" i="1"/>
  <c r="X97" i="2" s="1"/>
  <c r="Y97" i="1"/>
  <c r="Y97" i="2" s="1"/>
  <c r="Z97" i="1"/>
  <c r="Z97" i="2" s="1"/>
  <c r="AA97" i="1"/>
  <c r="AA97" i="2" s="1"/>
  <c r="AB97" i="1"/>
  <c r="AB97" i="2" s="1"/>
  <c r="AC97" i="1"/>
  <c r="AC97" i="2" s="1"/>
  <c r="AD97" i="1"/>
  <c r="AD97" i="2" s="1"/>
  <c r="AE97" i="1"/>
  <c r="AE97" i="2" s="1"/>
  <c r="AF97" i="1"/>
  <c r="AF97" i="2" s="1"/>
  <c r="AG97" i="1"/>
  <c r="AG97" i="2" s="1"/>
  <c r="AH97" i="1"/>
  <c r="AH97" i="2" s="1"/>
  <c r="AI97" i="1"/>
  <c r="AI97" i="2" s="1"/>
  <c r="AJ97" i="1"/>
  <c r="AJ97" i="2" s="1"/>
  <c r="AK97" i="1"/>
  <c r="AK97" i="2" s="1"/>
  <c r="AL97" i="1"/>
  <c r="AL97" i="2" s="1"/>
  <c r="AM97" i="1"/>
  <c r="AM97" i="2" s="1"/>
  <c r="J98" i="1"/>
  <c r="J98" i="2" s="1"/>
  <c r="K98" i="1"/>
  <c r="K98" i="2" s="1"/>
  <c r="L98" i="1"/>
  <c r="L98" i="2" s="1"/>
  <c r="M98" i="1"/>
  <c r="M98" i="2" s="1"/>
  <c r="N98" i="1"/>
  <c r="N98" i="2" s="1"/>
  <c r="O98" i="1"/>
  <c r="O98" i="2" s="1"/>
  <c r="P98" i="1"/>
  <c r="P98" i="2" s="1"/>
  <c r="Q98" i="1"/>
  <c r="Q98" i="2" s="1"/>
  <c r="R98" i="1"/>
  <c r="R98" i="2" s="1"/>
  <c r="S98" i="1"/>
  <c r="S98" i="2" s="1"/>
  <c r="T98" i="1"/>
  <c r="T98" i="2" s="1"/>
  <c r="U98" i="1"/>
  <c r="U98" i="2" s="1"/>
  <c r="V98" i="1"/>
  <c r="V98" i="2" s="1"/>
  <c r="W98" i="1"/>
  <c r="W98" i="2" s="1"/>
  <c r="X98" i="1"/>
  <c r="X98" i="2" s="1"/>
  <c r="Y98" i="1"/>
  <c r="Y98" i="2" s="1"/>
  <c r="Z98" i="1"/>
  <c r="Z98" i="2" s="1"/>
  <c r="AA98" i="1"/>
  <c r="AA98" i="2" s="1"/>
  <c r="AB98" i="1"/>
  <c r="AB98" i="2" s="1"/>
  <c r="AC98" i="1"/>
  <c r="AC98" i="2" s="1"/>
  <c r="AD98" i="1"/>
  <c r="AD98" i="2" s="1"/>
  <c r="AE98" i="1"/>
  <c r="AE98" i="2" s="1"/>
  <c r="AF98" i="1"/>
  <c r="AF98" i="2" s="1"/>
  <c r="AG98" i="1"/>
  <c r="AG98" i="2" s="1"/>
  <c r="AH98" i="1"/>
  <c r="AH98" i="2" s="1"/>
  <c r="AI98" i="1"/>
  <c r="AI98" i="2" s="1"/>
  <c r="AJ98" i="1"/>
  <c r="AJ98" i="2" s="1"/>
  <c r="AK98" i="1"/>
  <c r="AK98" i="2" s="1"/>
  <c r="AL98" i="1"/>
  <c r="AL98" i="2" s="1"/>
  <c r="AM98" i="1"/>
  <c r="AM98" i="2" s="1"/>
  <c r="J99" i="1"/>
  <c r="J99" i="2" s="1"/>
  <c r="K99" i="1"/>
  <c r="K99" i="2" s="1"/>
  <c r="L99" i="1"/>
  <c r="L99" i="2" s="1"/>
  <c r="M99" i="1"/>
  <c r="M99" i="2" s="1"/>
  <c r="N99" i="1"/>
  <c r="N99" i="2" s="1"/>
  <c r="O99" i="1"/>
  <c r="O99" i="2" s="1"/>
  <c r="P99" i="1"/>
  <c r="P99" i="2" s="1"/>
  <c r="Q99" i="1"/>
  <c r="Q99" i="2" s="1"/>
  <c r="R99" i="1"/>
  <c r="R99" i="2" s="1"/>
  <c r="S99" i="1"/>
  <c r="S99" i="2" s="1"/>
  <c r="T99" i="1"/>
  <c r="T99" i="2" s="1"/>
  <c r="U99" i="1"/>
  <c r="U99" i="2" s="1"/>
  <c r="V99" i="1"/>
  <c r="V99" i="2" s="1"/>
  <c r="W99" i="1"/>
  <c r="W99" i="2" s="1"/>
  <c r="X99" i="1"/>
  <c r="X99" i="2" s="1"/>
  <c r="Y99" i="1"/>
  <c r="Y99" i="2" s="1"/>
  <c r="Z99" i="1"/>
  <c r="Z99" i="2" s="1"/>
  <c r="AA99" i="1"/>
  <c r="AA99" i="2" s="1"/>
  <c r="AB99" i="1"/>
  <c r="AB99" i="2" s="1"/>
  <c r="AC99" i="1"/>
  <c r="AC99" i="2" s="1"/>
  <c r="AD99" i="1"/>
  <c r="AD99" i="2" s="1"/>
  <c r="AE99" i="1"/>
  <c r="AE99" i="2" s="1"/>
  <c r="AF99" i="1"/>
  <c r="AF99" i="2" s="1"/>
  <c r="AG99" i="1"/>
  <c r="AG99" i="2" s="1"/>
  <c r="AH99" i="1"/>
  <c r="AH99" i="2" s="1"/>
  <c r="AI99" i="1"/>
  <c r="AI99" i="2" s="1"/>
  <c r="AJ99" i="1"/>
  <c r="AJ99" i="2" s="1"/>
  <c r="AK99" i="1"/>
  <c r="AK99" i="2" s="1"/>
  <c r="AL99" i="1"/>
  <c r="AL99" i="2" s="1"/>
  <c r="AM99" i="1"/>
  <c r="AM99" i="2" s="1"/>
  <c r="J100" i="1"/>
  <c r="J100" i="2" s="1"/>
  <c r="K100" i="1"/>
  <c r="K100" i="2" s="1"/>
  <c r="L100" i="1"/>
  <c r="L100" i="2" s="1"/>
  <c r="M100" i="1"/>
  <c r="M100" i="2" s="1"/>
  <c r="N100" i="1"/>
  <c r="N100" i="2" s="1"/>
  <c r="O100" i="1"/>
  <c r="O100" i="2" s="1"/>
  <c r="P100" i="1"/>
  <c r="P100" i="2" s="1"/>
  <c r="Q100" i="1"/>
  <c r="Q100" i="2" s="1"/>
  <c r="R100" i="1"/>
  <c r="R100" i="2" s="1"/>
  <c r="S100" i="1"/>
  <c r="S100" i="2" s="1"/>
  <c r="T100" i="1"/>
  <c r="T100" i="2" s="1"/>
  <c r="U100" i="1"/>
  <c r="U100" i="2" s="1"/>
  <c r="V100" i="1"/>
  <c r="V100" i="2" s="1"/>
  <c r="W100" i="1"/>
  <c r="W100" i="2" s="1"/>
  <c r="X100" i="1"/>
  <c r="X100" i="2" s="1"/>
  <c r="Y100" i="1"/>
  <c r="Y100" i="2" s="1"/>
  <c r="Z100" i="1"/>
  <c r="Z100" i="2" s="1"/>
  <c r="AA100" i="1"/>
  <c r="AA100" i="2" s="1"/>
  <c r="AB100" i="1"/>
  <c r="AB100" i="2" s="1"/>
  <c r="AC100" i="1"/>
  <c r="AC100" i="2" s="1"/>
  <c r="AD100" i="1"/>
  <c r="AD100" i="2" s="1"/>
  <c r="AE100" i="1"/>
  <c r="AE100" i="2" s="1"/>
  <c r="AF100" i="1"/>
  <c r="AF100" i="2" s="1"/>
  <c r="AG100" i="1"/>
  <c r="AG100" i="2" s="1"/>
  <c r="AH100" i="1"/>
  <c r="AH100" i="2" s="1"/>
  <c r="AI100" i="1"/>
  <c r="AI100" i="2" s="1"/>
  <c r="AJ100" i="1"/>
  <c r="AJ100" i="2" s="1"/>
  <c r="AK100" i="1"/>
  <c r="AK100" i="2" s="1"/>
  <c r="AL100" i="1"/>
  <c r="AL100" i="2" s="1"/>
  <c r="AM100" i="1"/>
  <c r="AM100" i="2" s="1"/>
  <c r="J101" i="1"/>
  <c r="J101" i="2" s="1"/>
  <c r="K101" i="1"/>
  <c r="K101" i="2" s="1"/>
  <c r="L101" i="1"/>
  <c r="L101" i="2" s="1"/>
  <c r="M101" i="1"/>
  <c r="M101" i="2" s="1"/>
  <c r="N101" i="1"/>
  <c r="N101" i="2" s="1"/>
  <c r="O101" i="1"/>
  <c r="O101" i="2" s="1"/>
  <c r="P101" i="1"/>
  <c r="P101" i="2" s="1"/>
  <c r="Q101" i="1"/>
  <c r="Q101" i="2" s="1"/>
  <c r="R101" i="1"/>
  <c r="R101" i="2" s="1"/>
  <c r="S101" i="1"/>
  <c r="S101" i="2" s="1"/>
  <c r="T101" i="1"/>
  <c r="T101" i="2" s="1"/>
  <c r="U101" i="1"/>
  <c r="U101" i="2" s="1"/>
  <c r="V101" i="1"/>
  <c r="V101" i="2" s="1"/>
  <c r="W101" i="1"/>
  <c r="W101" i="2" s="1"/>
  <c r="X101" i="1"/>
  <c r="X101" i="2" s="1"/>
  <c r="Y101" i="1"/>
  <c r="Y101" i="2" s="1"/>
  <c r="Z101" i="1"/>
  <c r="Z101" i="2" s="1"/>
  <c r="AA101" i="1"/>
  <c r="AA101" i="2" s="1"/>
  <c r="AB101" i="1"/>
  <c r="AB101" i="2" s="1"/>
  <c r="AC101" i="1"/>
  <c r="AC101" i="2" s="1"/>
  <c r="AD101" i="1"/>
  <c r="AD101" i="2" s="1"/>
  <c r="AE101" i="1"/>
  <c r="AE101" i="2" s="1"/>
  <c r="AF101" i="1"/>
  <c r="AF101" i="2" s="1"/>
  <c r="AG101" i="1"/>
  <c r="AG101" i="2" s="1"/>
  <c r="AH101" i="1"/>
  <c r="AH101" i="2" s="1"/>
  <c r="AI101" i="1"/>
  <c r="AI101" i="2" s="1"/>
  <c r="AJ101" i="1"/>
  <c r="AJ101" i="2" s="1"/>
  <c r="AK101" i="1"/>
  <c r="AK101" i="2" s="1"/>
  <c r="AL101" i="1"/>
  <c r="AL101" i="2" s="1"/>
  <c r="AM101" i="1"/>
  <c r="AM101" i="2" s="1"/>
  <c r="J102" i="1"/>
  <c r="J102" i="2" s="1"/>
  <c r="K102" i="1"/>
  <c r="K102" i="2" s="1"/>
  <c r="L102" i="1"/>
  <c r="L102" i="2" s="1"/>
  <c r="M102" i="1"/>
  <c r="M102" i="2" s="1"/>
  <c r="N102" i="1"/>
  <c r="N102" i="2" s="1"/>
  <c r="O102" i="1"/>
  <c r="O102" i="2" s="1"/>
  <c r="P102" i="1"/>
  <c r="P102" i="2" s="1"/>
  <c r="Q102" i="1"/>
  <c r="Q102" i="2" s="1"/>
  <c r="R102" i="1"/>
  <c r="R102" i="2" s="1"/>
  <c r="S102" i="1"/>
  <c r="S102" i="2" s="1"/>
  <c r="T102" i="1"/>
  <c r="T102" i="2" s="1"/>
  <c r="U102" i="1"/>
  <c r="U102" i="2" s="1"/>
  <c r="V102" i="1"/>
  <c r="V102" i="2" s="1"/>
  <c r="W102" i="1"/>
  <c r="W102" i="2" s="1"/>
  <c r="X102" i="1"/>
  <c r="X102" i="2" s="1"/>
  <c r="Y102" i="1"/>
  <c r="Y102" i="2" s="1"/>
  <c r="Z102" i="1"/>
  <c r="Z102" i="2" s="1"/>
  <c r="AA102" i="1"/>
  <c r="AA102" i="2" s="1"/>
  <c r="AB102" i="1"/>
  <c r="AB102" i="2" s="1"/>
  <c r="AC102" i="1"/>
  <c r="AC102" i="2" s="1"/>
  <c r="AD102" i="1"/>
  <c r="AD102" i="2" s="1"/>
  <c r="AE102" i="1"/>
  <c r="AE102" i="2" s="1"/>
  <c r="AF102" i="1"/>
  <c r="AF102" i="2" s="1"/>
  <c r="AG102" i="1"/>
  <c r="AG102" i="2" s="1"/>
  <c r="AH102" i="1"/>
  <c r="AH102" i="2" s="1"/>
  <c r="AI102" i="1"/>
  <c r="AI102" i="2" s="1"/>
  <c r="AJ102" i="1"/>
  <c r="AJ102" i="2" s="1"/>
  <c r="AK102" i="1"/>
  <c r="AK102" i="2" s="1"/>
  <c r="AL102" i="1"/>
  <c r="AL102" i="2" s="1"/>
  <c r="AM102" i="1"/>
  <c r="AM102" i="2" s="1"/>
  <c r="J103" i="1"/>
  <c r="J103" i="2" s="1"/>
  <c r="K103" i="1"/>
  <c r="K103" i="2" s="1"/>
  <c r="L103" i="1"/>
  <c r="L103" i="2" s="1"/>
  <c r="M103" i="1"/>
  <c r="M103" i="2" s="1"/>
  <c r="N103" i="1"/>
  <c r="N103" i="2" s="1"/>
  <c r="O103" i="1"/>
  <c r="O103" i="2" s="1"/>
  <c r="P103" i="1"/>
  <c r="P103" i="2" s="1"/>
  <c r="Q103" i="1"/>
  <c r="Q103" i="2" s="1"/>
  <c r="R103" i="1"/>
  <c r="R103" i="2" s="1"/>
  <c r="S103" i="1"/>
  <c r="S103" i="2" s="1"/>
  <c r="T103" i="1"/>
  <c r="T103" i="2" s="1"/>
  <c r="U103" i="1"/>
  <c r="U103" i="2" s="1"/>
  <c r="V103" i="1"/>
  <c r="V103" i="2" s="1"/>
  <c r="W103" i="1"/>
  <c r="W103" i="2" s="1"/>
  <c r="X103" i="1"/>
  <c r="X103" i="2" s="1"/>
  <c r="Y103" i="1"/>
  <c r="Y103" i="2" s="1"/>
  <c r="Z103" i="1"/>
  <c r="Z103" i="2" s="1"/>
  <c r="AA103" i="1"/>
  <c r="AA103" i="2" s="1"/>
  <c r="AB103" i="1"/>
  <c r="AB103" i="2" s="1"/>
  <c r="AC103" i="1"/>
  <c r="AC103" i="2" s="1"/>
  <c r="AD103" i="1"/>
  <c r="AD103" i="2" s="1"/>
  <c r="AE103" i="1"/>
  <c r="AE103" i="2" s="1"/>
  <c r="AF103" i="1"/>
  <c r="AF103" i="2" s="1"/>
  <c r="AG103" i="1"/>
  <c r="AG103" i="2" s="1"/>
  <c r="AH103" i="1"/>
  <c r="AH103" i="2" s="1"/>
  <c r="AI103" i="1"/>
  <c r="AI103" i="2" s="1"/>
  <c r="AJ103" i="1"/>
  <c r="AJ103" i="2" s="1"/>
  <c r="AK103" i="1"/>
  <c r="AK103" i="2" s="1"/>
  <c r="AL103" i="1"/>
  <c r="AL103" i="2" s="1"/>
  <c r="AM103" i="1"/>
  <c r="AM103" i="2" s="1"/>
  <c r="J104" i="1"/>
  <c r="J104" i="2" s="1"/>
  <c r="K104" i="1"/>
  <c r="K104" i="2" s="1"/>
  <c r="L104" i="1"/>
  <c r="L104" i="2" s="1"/>
  <c r="M104" i="1"/>
  <c r="M104" i="2" s="1"/>
  <c r="N104" i="1"/>
  <c r="N104" i="2" s="1"/>
  <c r="O104" i="1"/>
  <c r="O104" i="2" s="1"/>
  <c r="P104" i="1"/>
  <c r="P104" i="2" s="1"/>
  <c r="Q104" i="1"/>
  <c r="Q104" i="2" s="1"/>
  <c r="R104" i="1"/>
  <c r="R104" i="2" s="1"/>
  <c r="S104" i="1"/>
  <c r="S104" i="2" s="1"/>
  <c r="T104" i="1"/>
  <c r="T104" i="2" s="1"/>
  <c r="U104" i="1"/>
  <c r="U104" i="2" s="1"/>
  <c r="V104" i="1"/>
  <c r="V104" i="2" s="1"/>
  <c r="W104" i="1"/>
  <c r="W104" i="2" s="1"/>
  <c r="X104" i="1"/>
  <c r="X104" i="2" s="1"/>
  <c r="Y104" i="1"/>
  <c r="Y104" i="2" s="1"/>
  <c r="Z104" i="1"/>
  <c r="Z104" i="2" s="1"/>
  <c r="AA104" i="1"/>
  <c r="AA104" i="2" s="1"/>
  <c r="AB104" i="1"/>
  <c r="AB104" i="2" s="1"/>
  <c r="AC104" i="1"/>
  <c r="AC104" i="2" s="1"/>
  <c r="AD104" i="1"/>
  <c r="AD104" i="2" s="1"/>
  <c r="AE104" i="1"/>
  <c r="AE104" i="2" s="1"/>
  <c r="AF104" i="1"/>
  <c r="AF104" i="2" s="1"/>
  <c r="AG104" i="1"/>
  <c r="AG104" i="2" s="1"/>
  <c r="AH104" i="1"/>
  <c r="AH104" i="2" s="1"/>
  <c r="AI104" i="1"/>
  <c r="AI104" i="2" s="1"/>
  <c r="AJ104" i="1"/>
  <c r="AJ104" i="2" s="1"/>
  <c r="AK104" i="1"/>
  <c r="AK104" i="2" s="1"/>
  <c r="AL104" i="1"/>
  <c r="AL104" i="2" s="1"/>
  <c r="AM104" i="1"/>
  <c r="AM104" i="2" s="1"/>
  <c r="J105" i="1"/>
  <c r="J105" i="2" s="1"/>
  <c r="K105" i="1"/>
  <c r="K105" i="2" s="1"/>
  <c r="L105" i="1"/>
  <c r="L105" i="2" s="1"/>
  <c r="M105" i="1"/>
  <c r="M105" i="2" s="1"/>
  <c r="N105" i="1"/>
  <c r="N105" i="2" s="1"/>
  <c r="O105" i="1"/>
  <c r="O105" i="2" s="1"/>
  <c r="P105" i="1"/>
  <c r="P105" i="2" s="1"/>
  <c r="Q105" i="1"/>
  <c r="Q105" i="2" s="1"/>
  <c r="R105" i="1"/>
  <c r="R105" i="2" s="1"/>
  <c r="S105" i="1"/>
  <c r="S105" i="2" s="1"/>
  <c r="T105" i="1"/>
  <c r="T105" i="2" s="1"/>
  <c r="U105" i="1"/>
  <c r="U105" i="2" s="1"/>
  <c r="V105" i="1"/>
  <c r="V105" i="2" s="1"/>
  <c r="W105" i="1"/>
  <c r="W105" i="2" s="1"/>
  <c r="X105" i="1"/>
  <c r="X105" i="2" s="1"/>
  <c r="Y105" i="1"/>
  <c r="Y105" i="2" s="1"/>
  <c r="Z105" i="1"/>
  <c r="Z105" i="2" s="1"/>
  <c r="AA105" i="1"/>
  <c r="AA105" i="2" s="1"/>
  <c r="AB105" i="1"/>
  <c r="AB105" i="2" s="1"/>
  <c r="AC105" i="1"/>
  <c r="AC105" i="2" s="1"/>
  <c r="AD105" i="1"/>
  <c r="AD105" i="2" s="1"/>
  <c r="AE105" i="1"/>
  <c r="AE105" i="2" s="1"/>
  <c r="AF105" i="1"/>
  <c r="AF105" i="2" s="1"/>
  <c r="AG105" i="1"/>
  <c r="AG105" i="2" s="1"/>
  <c r="AH105" i="1"/>
  <c r="AH105" i="2" s="1"/>
  <c r="AI105" i="1"/>
  <c r="AI105" i="2" s="1"/>
  <c r="AJ105" i="1"/>
  <c r="AJ105" i="2" s="1"/>
  <c r="AK105" i="1"/>
  <c r="AK105" i="2" s="1"/>
  <c r="AL105" i="1"/>
  <c r="AL105" i="2" s="1"/>
  <c r="AM105" i="1"/>
  <c r="AM105" i="2" s="1"/>
  <c r="J106" i="1"/>
  <c r="J106" i="2" s="1"/>
  <c r="K106" i="1"/>
  <c r="K106" i="2" s="1"/>
  <c r="L106" i="1"/>
  <c r="L106" i="2" s="1"/>
  <c r="M106" i="1"/>
  <c r="M106" i="2" s="1"/>
  <c r="N106" i="1"/>
  <c r="N106" i="2" s="1"/>
  <c r="O106" i="1"/>
  <c r="O106" i="2" s="1"/>
  <c r="P106" i="1"/>
  <c r="P106" i="2" s="1"/>
  <c r="Q106" i="1"/>
  <c r="Q106" i="2" s="1"/>
  <c r="R106" i="1"/>
  <c r="R106" i="2" s="1"/>
  <c r="S106" i="1"/>
  <c r="S106" i="2" s="1"/>
  <c r="T106" i="1"/>
  <c r="T106" i="2" s="1"/>
  <c r="U106" i="1"/>
  <c r="U106" i="2" s="1"/>
  <c r="V106" i="1"/>
  <c r="V106" i="2" s="1"/>
  <c r="W106" i="1"/>
  <c r="W106" i="2" s="1"/>
  <c r="X106" i="1"/>
  <c r="X106" i="2" s="1"/>
  <c r="Y106" i="1"/>
  <c r="Y106" i="2" s="1"/>
  <c r="Z106" i="1"/>
  <c r="Z106" i="2" s="1"/>
  <c r="AA106" i="1"/>
  <c r="AA106" i="2" s="1"/>
  <c r="AB106" i="1"/>
  <c r="AB106" i="2" s="1"/>
  <c r="AC106" i="1"/>
  <c r="AC106" i="2" s="1"/>
  <c r="AD106" i="1"/>
  <c r="AD106" i="2" s="1"/>
  <c r="AE106" i="1"/>
  <c r="AE106" i="2" s="1"/>
  <c r="AF106" i="1"/>
  <c r="AF106" i="2" s="1"/>
  <c r="AG106" i="1"/>
  <c r="AG106" i="2" s="1"/>
  <c r="AH106" i="1"/>
  <c r="AH106" i="2" s="1"/>
  <c r="AI106" i="1"/>
  <c r="AI106" i="2" s="1"/>
  <c r="AJ106" i="1"/>
  <c r="AJ106" i="2" s="1"/>
  <c r="AK106" i="1"/>
  <c r="AK106" i="2" s="1"/>
  <c r="AL106" i="1"/>
  <c r="AL106" i="2" s="1"/>
  <c r="AM106" i="1"/>
  <c r="AM106" i="2" s="1"/>
  <c r="J107" i="1"/>
  <c r="J107" i="2" s="1"/>
  <c r="K107" i="1"/>
  <c r="K107" i="2" s="1"/>
  <c r="L107" i="1"/>
  <c r="L107" i="2" s="1"/>
  <c r="M107" i="1"/>
  <c r="M107" i="2" s="1"/>
  <c r="N107" i="1"/>
  <c r="N107" i="2" s="1"/>
  <c r="O107" i="1"/>
  <c r="O107" i="2" s="1"/>
  <c r="P107" i="1"/>
  <c r="P107" i="2" s="1"/>
  <c r="Q107" i="1"/>
  <c r="Q107" i="2" s="1"/>
  <c r="R107" i="1"/>
  <c r="R107" i="2" s="1"/>
  <c r="S107" i="1"/>
  <c r="S107" i="2" s="1"/>
  <c r="T107" i="1"/>
  <c r="T107" i="2" s="1"/>
  <c r="U107" i="1"/>
  <c r="U107" i="2" s="1"/>
  <c r="V107" i="1"/>
  <c r="V107" i="2" s="1"/>
  <c r="W107" i="1"/>
  <c r="W107" i="2" s="1"/>
  <c r="X107" i="1"/>
  <c r="X107" i="2" s="1"/>
  <c r="Y107" i="1"/>
  <c r="Y107" i="2" s="1"/>
  <c r="Z107" i="1"/>
  <c r="Z107" i="2" s="1"/>
  <c r="AA107" i="1"/>
  <c r="AA107" i="2" s="1"/>
  <c r="AB107" i="1"/>
  <c r="AB107" i="2" s="1"/>
  <c r="AC107" i="1"/>
  <c r="AC107" i="2" s="1"/>
  <c r="AD107" i="1"/>
  <c r="AD107" i="2" s="1"/>
  <c r="AE107" i="1"/>
  <c r="AE107" i="2" s="1"/>
  <c r="AF107" i="1"/>
  <c r="AF107" i="2" s="1"/>
  <c r="AG107" i="1"/>
  <c r="AG107" i="2" s="1"/>
  <c r="AH107" i="1"/>
  <c r="AH107" i="2" s="1"/>
  <c r="AI107" i="1"/>
  <c r="AI107" i="2" s="1"/>
  <c r="AJ107" i="1"/>
  <c r="AJ107" i="2" s="1"/>
  <c r="AK107" i="1"/>
  <c r="AK107" i="2" s="1"/>
  <c r="AL107" i="1"/>
  <c r="AL107" i="2" s="1"/>
  <c r="AM107" i="1"/>
  <c r="AM107" i="2" s="1"/>
  <c r="J108" i="1"/>
  <c r="J108" i="2" s="1"/>
  <c r="K108" i="1"/>
  <c r="K108" i="2" s="1"/>
  <c r="L108" i="1"/>
  <c r="L108" i="2" s="1"/>
  <c r="M108" i="1"/>
  <c r="M108" i="2" s="1"/>
  <c r="N108" i="1"/>
  <c r="N108" i="2" s="1"/>
  <c r="O108" i="1"/>
  <c r="O108" i="2" s="1"/>
  <c r="P108" i="1"/>
  <c r="P108" i="2" s="1"/>
  <c r="Q108" i="1"/>
  <c r="Q108" i="2" s="1"/>
  <c r="R108" i="1"/>
  <c r="R108" i="2" s="1"/>
  <c r="S108" i="1"/>
  <c r="S108" i="2" s="1"/>
  <c r="T108" i="1"/>
  <c r="T108" i="2" s="1"/>
  <c r="U108" i="1"/>
  <c r="U108" i="2" s="1"/>
  <c r="V108" i="1"/>
  <c r="V108" i="2" s="1"/>
  <c r="W108" i="1"/>
  <c r="W108" i="2" s="1"/>
  <c r="X108" i="1"/>
  <c r="X108" i="2" s="1"/>
  <c r="Y108" i="1"/>
  <c r="Y108" i="2" s="1"/>
  <c r="Z108" i="1"/>
  <c r="Z108" i="2" s="1"/>
  <c r="AA108" i="1"/>
  <c r="AA108" i="2" s="1"/>
  <c r="AB108" i="1"/>
  <c r="AB108" i="2" s="1"/>
  <c r="AC108" i="1"/>
  <c r="AC108" i="2" s="1"/>
  <c r="AD108" i="1"/>
  <c r="AD108" i="2" s="1"/>
  <c r="AE108" i="1"/>
  <c r="AE108" i="2" s="1"/>
  <c r="AF108" i="1"/>
  <c r="AF108" i="2" s="1"/>
  <c r="AG108" i="1"/>
  <c r="AG108" i="2" s="1"/>
  <c r="AH108" i="1"/>
  <c r="AH108" i="2" s="1"/>
  <c r="AI108" i="1"/>
  <c r="AI108" i="2" s="1"/>
  <c r="AJ108" i="1"/>
  <c r="AJ108" i="2" s="1"/>
  <c r="AK108" i="1"/>
  <c r="AK108" i="2" s="1"/>
  <c r="AL108" i="1"/>
  <c r="AL108" i="2" s="1"/>
  <c r="AM108" i="1"/>
  <c r="AM108" i="2" s="1"/>
  <c r="J109" i="1"/>
  <c r="J109" i="2" s="1"/>
  <c r="K109" i="1"/>
  <c r="K109" i="2" s="1"/>
  <c r="L109" i="1"/>
  <c r="L109" i="2" s="1"/>
  <c r="M109" i="1"/>
  <c r="M109" i="2" s="1"/>
  <c r="N109" i="1"/>
  <c r="N109" i="2" s="1"/>
  <c r="O109" i="1"/>
  <c r="O109" i="2" s="1"/>
  <c r="P109" i="1"/>
  <c r="P109" i="2" s="1"/>
  <c r="Q109" i="1"/>
  <c r="Q109" i="2" s="1"/>
  <c r="R109" i="1"/>
  <c r="R109" i="2" s="1"/>
  <c r="S109" i="1"/>
  <c r="S109" i="2" s="1"/>
  <c r="T109" i="1"/>
  <c r="T109" i="2" s="1"/>
  <c r="U109" i="1"/>
  <c r="U109" i="2" s="1"/>
  <c r="V109" i="1"/>
  <c r="V109" i="2" s="1"/>
  <c r="W109" i="1"/>
  <c r="W109" i="2" s="1"/>
  <c r="X109" i="1"/>
  <c r="X109" i="2" s="1"/>
  <c r="Y109" i="1"/>
  <c r="Y109" i="2" s="1"/>
  <c r="Z109" i="1"/>
  <c r="Z109" i="2" s="1"/>
  <c r="AA109" i="1"/>
  <c r="AA109" i="2" s="1"/>
  <c r="AB109" i="1"/>
  <c r="AB109" i="2" s="1"/>
  <c r="AC109" i="1"/>
  <c r="AC109" i="2" s="1"/>
  <c r="AD109" i="1"/>
  <c r="AD109" i="2" s="1"/>
  <c r="AE109" i="1"/>
  <c r="AE109" i="2" s="1"/>
  <c r="AF109" i="1"/>
  <c r="AF109" i="2" s="1"/>
  <c r="AG109" i="1"/>
  <c r="AG109" i="2" s="1"/>
  <c r="AH109" i="1"/>
  <c r="AH109" i="2" s="1"/>
  <c r="AI109" i="1"/>
  <c r="AI109" i="2" s="1"/>
  <c r="AJ109" i="1"/>
  <c r="AJ109" i="2" s="1"/>
  <c r="AK109" i="1"/>
  <c r="AK109" i="2" s="1"/>
  <c r="AL109" i="1"/>
  <c r="AL109" i="2" s="1"/>
  <c r="AM109" i="1"/>
  <c r="AM109" i="2" s="1"/>
  <c r="J110" i="1"/>
  <c r="J110" i="2" s="1"/>
  <c r="K110" i="1"/>
  <c r="K110" i="2" s="1"/>
  <c r="L110" i="1"/>
  <c r="L110" i="2" s="1"/>
  <c r="M110" i="1"/>
  <c r="M110" i="2" s="1"/>
  <c r="N110" i="1"/>
  <c r="N110" i="2" s="1"/>
  <c r="O110" i="1"/>
  <c r="O110" i="2" s="1"/>
  <c r="P110" i="1"/>
  <c r="P110" i="2" s="1"/>
  <c r="Q110" i="1"/>
  <c r="Q110" i="2" s="1"/>
  <c r="R110" i="1"/>
  <c r="R110" i="2" s="1"/>
  <c r="S110" i="1"/>
  <c r="S110" i="2" s="1"/>
  <c r="T110" i="1"/>
  <c r="T110" i="2" s="1"/>
  <c r="U110" i="1"/>
  <c r="U110" i="2" s="1"/>
  <c r="V110" i="1"/>
  <c r="V110" i="2" s="1"/>
  <c r="W110" i="1"/>
  <c r="W110" i="2" s="1"/>
  <c r="X110" i="1"/>
  <c r="X110" i="2" s="1"/>
  <c r="Y110" i="1"/>
  <c r="Y110" i="2" s="1"/>
  <c r="Z110" i="1"/>
  <c r="Z110" i="2" s="1"/>
  <c r="AA110" i="1"/>
  <c r="AA110" i="2" s="1"/>
  <c r="AB110" i="1"/>
  <c r="AB110" i="2" s="1"/>
  <c r="AC110" i="1"/>
  <c r="AC110" i="2" s="1"/>
  <c r="AD110" i="1"/>
  <c r="AD110" i="2" s="1"/>
  <c r="AE110" i="1"/>
  <c r="AE110" i="2" s="1"/>
  <c r="AF110" i="1"/>
  <c r="AF110" i="2" s="1"/>
  <c r="AG110" i="1"/>
  <c r="AG110" i="2" s="1"/>
  <c r="AH110" i="1"/>
  <c r="AH110" i="2" s="1"/>
  <c r="AI110" i="1"/>
  <c r="AI110" i="2" s="1"/>
  <c r="AJ110" i="1"/>
  <c r="AJ110" i="2" s="1"/>
  <c r="AK110" i="1"/>
  <c r="AK110" i="2" s="1"/>
  <c r="AL110" i="1"/>
  <c r="AL110" i="2" s="1"/>
  <c r="AM110" i="1"/>
  <c r="AM110" i="2" s="1"/>
  <c r="J111" i="1"/>
  <c r="J111" i="2" s="1"/>
  <c r="K111" i="1"/>
  <c r="K111" i="2" s="1"/>
  <c r="L111" i="1"/>
  <c r="L111" i="2" s="1"/>
  <c r="M111" i="1"/>
  <c r="M111" i="2" s="1"/>
  <c r="N111" i="1"/>
  <c r="N111" i="2" s="1"/>
  <c r="O111" i="1"/>
  <c r="O111" i="2" s="1"/>
  <c r="P111" i="1"/>
  <c r="P111" i="2" s="1"/>
  <c r="Q111" i="1"/>
  <c r="Q111" i="2" s="1"/>
  <c r="R111" i="1"/>
  <c r="R111" i="2" s="1"/>
  <c r="S111" i="1"/>
  <c r="S111" i="2" s="1"/>
  <c r="T111" i="1"/>
  <c r="T111" i="2" s="1"/>
  <c r="U111" i="1"/>
  <c r="U111" i="2" s="1"/>
  <c r="V111" i="1"/>
  <c r="V111" i="2" s="1"/>
  <c r="W111" i="1"/>
  <c r="W111" i="2" s="1"/>
  <c r="X111" i="1"/>
  <c r="X111" i="2" s="1"/>
  <c r="Y111" i="1"/>
  <c r="Y111" i="2" s="1"/>
  <c r="Z111" i="1"/>
  <c r="Z111" i="2" s="1"/>
  <c r="AA111" i="1"/>
  <c r="AA111" i="2" s="1"/>
  <c r="AB111" i="1"/>
  <c r="AB111" i="2" s="1"/>
  <c r="AC111" i="1"/>
  <c r="AC111" i="2" s="1"/>
  <c r="AD111" i="1"/>
  <c r="AD111" i="2" s="1"/>
  <c r="AE111" i="1"/>
  <c r="AE111" i="2" s="1"/>
  <c r="AF111" i="1"/>
  <c r="AF111" i="2" s="1"/>
  <c r="AG111" i="1"/>
  <c r="AG111" i="2" s="1"/>
  <c r="AH111" i="1"/>
  <c r="AH111" i="2" s="1"/>
  <c r="AI111" i="1"/>
  <c r="AI111" i="2" s="1"/>
  <c r="AJ111" i="1"/>
  <c r="AJ111" i="2" s="1"/>
  <c r="AK111" i="1"/>
  <c r="AK111" i="2" s="1"/>
  <c r="AL111" i="1"/>
  <c r="AL111" i="2" s="1"/>
  <c r="AM111" i="1"/>
  <c r="AM111" i="2" s="1"/>
  <c r="J112" i="1"/>
  <c r="J112" i="2" s="1"/>
  <c r="K112" i="1"/>
  <c r="K112" i="2" s="1"/>
  <c r="L112" i="1"/>
  <c r="L112" i="2" s="1"/>
  <c r="M112" i="1"/>
  <c r="M112" i="2" s="1"/>
  <c r="N112" i="1"/>
  <c r="N112" i="2" s="1"/>
  <c r="O112" i="1"/>
  <c r="O112" i="2" s="1"/>
  <c r="P112" i="1"/>
  <c r="P112" i="2" s="1"/>
  <c r="Q112" i="1"/>
  <c r="Q112" i="2" s="1"/>
  <c r="R112" i="1"/>
  <c r="R112" i="2" s="1"/>
  <c r="S112" i="1"/>
  <c r="S112" i="2" s="1"/>
  <c r="T112" i="1"/>
  <c r="T112" i="2" s="1"/>
  <c r="U112" i="1"/>
  <c r="U112" i="2" s="1"/>
  <c r="V112" i="1"/>
  <c r="V112" i="2" s="1"/>
  <c r="W112" i="1"/>
  <c r="W112" i="2" s="1"/>
  <c r="X112" i="1"/>
  <c r="X112" i="2" s="1"/>
  <c r="Y112" i="1"/>
  <c r="Y112" i="2" s="1"/>
  <c r="Z112" i="1"/>
  <c r="Z112" i="2" s="1"/>
  <c r="AA112" i="1"/>
  <c r="AA112" i="2" s="1"/>
  <c r="AB112" i="1"/>
  <c r="AB112" i="2" s="1"/>
  <c r="AC112" i="1"/>
  <c r="AC112" i="2" s="1"/>
  <c r="AD112" i="1"/>
  <c r="AD112" i="2" s="1"/>
  <c r="AE112" i="1"/>
  <c r="AE112" i="2" s="1"/>
  <c r="AF112" i="1"/>
  <c r="AF112" i="2" s="1"/>
  <c r="AG112" i="1"/>
  <c r="AG112" i="2" s="1"/>
  <c r="AH112" i="1"/>
  <c r="AH112" i="2" s="1"/>
  <c r="AI112" i="1"/>
  <c r="AI112" i="2" s="1"/>
  <c r="AJ112" i="1"/>
  <c r="AJ112" i="2" s="1"/>
  <c r="AK112" i="1"/>
  <c r="AK112" i="2" s="1"/>
  <c r="AL112" i="1"/>
  <c r="AL112" i="2" s="1"/>
  <c r="AM112" i="1"/>
  <c r="AM112" i="2" s="1"/>
  <c r="J113" i="1"/>
  <c r="J113" i="2" s="1"/>
  <c r="K113" i="1"/>
  <c r="K113" i="2" s="1"/>
  <c r="L113" i="1"/>
  <c r="L113" i="2" s="1"/>
  <c r="M113" i="1"/>
  <c r="M113" i="2" s="1"/>
  <c r="N113" i="1"/>
  <c r="N113" i="2" s="1"/>
  <c r="O113" i="1"/>
  <c r="O113" i="2" s="1"/>
  <c r="P113" i="1"/>
  <c r="P113" i="2" s="1"/>
  <c r="Q113" i="1"/>
  <c r="Q113" i="2" s="1"/>
  <c r="R113" i="1"/>
  <c r="R113" i="2" s="1"/>
  <c r="S113" i="1"/>
  <c r="S113" i="2" s="1"/>
  <c r="T113" i="1"/>
  <c r="T113" i="2" s="1"/>
  <c r="U113" i="1"/>
  <c r="U113" i="2" s="1"/>
  <c r="V113" i="1"/>
  <c r="V113" i="2" s="1"/>
  <c r="W113" i="1"/>
  <c r="W113" i="2" s="1"/>
  <c r="X113" i="1"/>
  <c r="X113" i="2" s="1"/>
  <c r="Y113" i="1"/>
  <c r="Y113" i="2" s="1"/>
  <c r="Z113" i="1"/>
  <c r="Z113" i="2" s="1"/>
  <c r="AA113" i="1"/>
  <c r="AA113" i="2" s="1"/>
  <c r="AB113" i="1"/>
  <c r="AB113" i="2" s="1"/>
  <c r="AC113" i="1"/>
  <c r="AC113" i="2" s="1"/>
  <c r="AD113" i="1"/>
  <c r="AD113" i="2" s="1"/>
  <c r="AE113" i="1"/>
  <c r="AE113" i="2" s="1"/>
  <c r="AF113" i="1"/>
  <c r="AF113" i="2" s="1"/>
  <c r="AG113" i="1"/>
  <c r="AG113" i="2" s="1"/>
  <c r="AH113" i="1"/>
  <c r="AH113" i="2" s="1"/>
  <c r="AI113" i="1"/>
  <c r="AI113" i="2" s="1"/>
  <c r="AJ113" i="1"/>
  <c r="AJ113" i="2" s="1"/>
  <c r="AK113" i="1"/>
  <c r="AK113" i="2" s="1"/>
  <c r="AL113" i="1"/>
  <c r="AL113" i="2" s="1"/>
  <c r="AM113" i="1"/>
  <c r="AM113" i="2" s="1"/>
  <c r="J114" i="1"/>
  <c r="J114" i="2" s="1"/>
  <c r="K114" i="1"/>
  <c r="K114" i="2" s="1"/>
  <c r="L114" i="1"/>
  <c r="L114" i="2" s="1"/>
  <c r="M114" i="1"/>
  <c r="M114" i="2" s="1"/>
  <c r="N114" i="1"/>
  <c r="N114" i="2" s="1"/>
  <c r="O114" i="1"/>
  <c r="O114" i="2" s="1"/>
  <c r="P114" i="1"/>
  <c r="P114" i="2" s="1"/>
  <c r="Q114" i="1"/>
  <c r="Q114" i="2" s="1"/>
  <c r="R114" i="1"/>
  <c r="R114" i="2" s="1"/>
  <c r="S114" i="1"/>
  <c r="S114" i="2" s="1"/>
  <c r="T114" i="1"/>
  <c r="T114" i="2" s="1"/>
  <c r="U114" i="1"/>
  <c r="U114" i="2" s="1"/>
  <c r="V114" i="1"/>
  <c r="V114" i="2" s="1"/>
  <c r="W114" i="1"/>
  <c r="W114" i="2" s="1"/>
  <c r="X114" i="1"/>
  <c r="X114" i="2" s="1"/>
  <c r="Y114" i="1"/>
  <c r="Y114" i="2" s="1"/>
  <c r="Z114" i="1"/>
  <c r="Z114" i="2" s="1"/>
  <c r="AA114" i="1"/>
  <c r="AA114" i="2" s="1"/>
  <c r="AB114" i="1"/>
  <c r="AB114" i="2" s="1"/>
  <c r="AC114" i="1"/>
  <c r="AC114" i="2" s="1"/>
  <c r="AD114" i="1"/>
  <c r="AD114" i="2" s="1"/>
  <c r="AE114" i="1"/>
  <c r="AE114" i="2" s="1"/>
  <c r="AF114" i="1"/>
  <c r="AF114" i="2" s="1"/>
  <c r="AG114" i="1"/>
  <c r="AG114" i="2" s="1"/>
  <c r="AH114" i="1"/>
  <c r="AH114" i="2" s="1"/>
  <c r="AI114" i="1"/>
  <c r="AI114" i="2" s="1"/>
  <c r="AJ114" i="1"/>
  <c r="AJ114" i="2" s="1"/>
  <c r="AK114" i="1"/>
  <c r="AK114" i="2" s="1"/>
  <c r="AL114" i="1"/>
  <c r="AL114" i="2" s="1"/>
  <c r="AM114" i="1"/>
  <c r="AM114" i="2" s="1"/>
  <c r="J115" i="1"/>
  <c r="J115" i="2" s="1"/>
  <c r="K115" i="1"/>
  <c r="K115" i="2" s="1"/>
  <c r="L115" i="1"/>
  <c r="L115" i="2" s="1"/>
  <c r="M115" i="1"/>
  <c r="M115" i="2" s="1"/>
  <c r="N115" i="1"/>
  <c r="N115" i="2" s="1"/>
  <c r="O115" i="1"/>
  <c r="O115" i="2" s="1"/>
  <c r="P115" i="1"/>
  <c r="P115" i="2" s="1"/>
  <c r="Q115" i="1"/>
  <c r="Q115" i="2" s="1"/>
  <c r="R115" i="1"/>
  <c r="R115" i="2" s="1"/>
  <c r="S115" i="1"/>
  <c r="S115" i="2" s="1"/>
  <c r="T115" i="1"/>
  <c r="T115" i="2" s="1"/>
  <c r="U115" i="1"/>
  <c r="U115" i="2" s="1"/>
  <c r="V115" i="1"/>
  <c r="V115" i="2" s="1"/>
  <c r="W115" i="1"/>
  <c r="W115" i="2" s="1"/>
  <c r="X115" i="1"/>
  <c r="X115" i="2" s="1"/>
  <c r="Y115" i="1"/>
  <c r="Y115" i="2" s="1"/>
  <c r="Z115" i="1"/>
  <c r="Z115" i="2" s="1"/>
  <c r="AA115" i="1"/>
  <c r="AA115" i="2" s="1"/>
  <c r="AB115" i="1"/>
  <c r="AB115" i="2" s="1"/>
  <c r="AC115" i="1"/>
  <c r="AC115" i="2" s="1"/>
  <c r="AD115" i="1"/>
  <c r="AD115" i="2" s="1"/>
  <c r="AE115" i="1"/>
  <c r="AE115" i="2" s="1"/>
  <c r="AF115" i="1"/>
  <c r="AF115" i="2" s="1"/>
  <c r="AG115" i="1"/>
  <c r="AG115" i="2" s="1"/>
  <c r="AH115" i="1"/>
  <c r="AH115" i="2" s="1"/>
  <c r="AI115" i="1"/>
  <c r="AI115" i="2" s="1"/>
  <c r="AJ115" i="1"/>
  <c r="AJ115" i="2" s="1"/>
  <c r="AK115" i="1"/>
  <c r="AK115" i="2" s="1"/>
  <c r="AL115" i="1"/>
  <c r="AL115" i="2" s="1"/>
  <c r="AM115" i="1"/>
  <c r="AM115" i="2" s="1"/>
  <c r="J116" i="1"/>
  <c r="J116" i="2" s="1"/>
  <c r="K116" i="1"/>
  <c r="K116" i="2" s="1"/>
  <c r="L116" i="1"/>
  <c r="L116" i="2" s="1"/>
  <c r="M116" i="1"/>
  <c r="M116" i="2" s="1"/>
  <c r="N116" i="1"/>
  <c r="N116" i="2" s="1"/>
  <c r="O116" i="1"/>
  <c r="O116" i="2" s="1"/>
  <c r="P116" i="1"/>
  <c r="P116" i="2" s="1"/>
  <c r="Q116" i="1"/>
  <c r="Q116" i="2" s="1"/>
  <c r="R116" i="1"/>
  <c r="R116" i="2" s="1"/>
  <c r="S116" i="1"/>
  <c r="S116" i="2" s="1"/>
  <c r="T116" i="1"/>
  <c r="T116" i="2" s="1"/>
  <c r="U116" i="1"/>
  <c r="U116" i="2" s="1"/>
  <c r="V116" i="1"/>
  <c r="V116" i="2" s="1"/>
  <c r="W116" i="1"/>
  <c r="W116" i="2" s="1"/>
  <c r="X116" i="1"/>
  <c r="X116" i="2" s="1"/>
  <c r="Y116" i="1"/>
  <c r="Y116" i="2" s="1"/>
  <c r="Z116" i="1"/>
  <c r="Z116" i="2" s="1"/>
  <c r="AA116" i="1"/>
  <c r="AA116" i="2" s="1"/>
  <c r="AB116" i="1"/>
  <c r="AB116" i="2" s="1"/>
  <c r="AC116" i="1"/>
  <c r="AC116" i="2" s="1"/>
  <c r="AD116" i="1"/>
  <c r="AD116" i="2" s="1"/>
  <c r="AE116" i="1"/>
  <c r="AE116" i="2" s="1"/>
  <c r="AF116" i="1"/>
  <c r="AF116" i="2" s="1"/>
  <c r="AG116" i="1"/>
  <c r="AG116" i="2" s="1"/>
  <c r="AH116" i="1"/>
  <c r="AH116" i="2" s="1"/>
  <c r="AI116" i="1"/>
  <c r="AI116" i="2" s="1"/>
  <c r="AJ116" i="1"/>
  <c r="AJ116" i="2" s="1"/>
  <c r="AK116" i="1"/>
  <c r="AK116" i="2" s="1"/>
  <c r="AL116" i="1"/>
  <c r="AL116" i="2" s="1"/>
  <c r="AM116" i="1"/>
  <c r="AM116" i="2" s="1"/>
  <c r="J117" i="1"/>
  <c r="J117" i="2" s="1"/>
  <c r="K117" i="1"/>
  <c r="K117" i="2" s="1"/>
  <c r="L117" i="1"/>
  <c r="L117" i="2" s="1"/>
  <c r="M117" i="1"/>
  <c r="M117" i="2" s="1"/>
  <c r="N117" i="1"/>
  <c r="N117" i="2" s="1"/>
  <c r="O117" i="1"/>
  <c r="O117" i="2" s="1"/>
  <c r="P117" i="1"/>
  <c r="P117" i="2" s="1"/>
  <c r="Q117" i="1"/>
  <c r="Q117" i="2" s="1"/>
  <c r="R117" i="1"/>
  <c r="R117" i="2" s="1"/>
  <c r="S117" i="1"/>
  <c r="S117" i="2" s="1"/>
  <c r="T117" i="1"/>
  <c r="T117" i="2" s="1"/>
  <c r="U117" i="1"/>
  <c r="U117" i="2" s="1"/>
  <c r="V117" i="1"/>
  <c r="V117" i="2" s="1"/>
  <c r="W117" i="1"/>
  <c r="W117" i="2" s="1"/>
  <c r="X117" i="1"/>
  <c r="X117" i="2" s="1"/>
  <c r="Y117" i="1"/>
  <c r="Y117" i="2" s="1"/>
  <c r="Z117" i="1"/>
  <c r="Z117" i="2" s="1"/>
  <c r="AA117" i="1"/>
  <c r="AA117" i="2" s="1"/>
  <c r="AB117" i="1"/>
  <c r="AB117" i="2" s="1"/>
  <c r="AC117" i="1"/>
  <c r="AC117" i="2" s="1"/>
  <c r="AD117" i="1"/>
  <c r="AD117" i="2" s="1"/>
  <c r="AE117" i="1"/>
  <c r="AE117" i="2" s="1"/>
  <c r="AF117" i="1"/>
  <c r="AF117" i="2" s="1"/>
  <c r="AG117" i="1"/>
  <c r="AG117" i="2" s="1"/>
  <c r="AH117" i="1"/>
  <c r="AH117" i="2" s="1"/>
  <c r="AI117" i="1"/>
  <c r="AI117" i="2" s="1"/>
  <c r="AJ117" i="1"/>
  <c r="AJ117" i="2" s="1"/>
  <c r="AK117" i="1"/>
  <c r="AK117" i="2" s="1"/>
  <c r="AL117" i="1"/>
  <c r="AL117" i="2" s="1"/>
  <c r="AM117" i="1"/>
  <c r="AM117" i="2" s="1"/>
  <c r="J118" i="1"/>
  <c r="J118" i="2" s="1"/>
  <c r="K118" i="1"/>
  <c r="K118" i="2" s="1"/>
  <c r="L118" i="1"/>
  <c r="L118" i="2" s="1"/>
  <c r="M118" i="1"/>
  <c r="M118" i="2" s="1"/>
  <c r="N118" i="1"/>
  <c r="N118" i="2" s="1"/>
  <c r="O118" i="1"/>
  <c r="O118" i="2" s="1"/>
  <c r="P118" i="1"/>
  <c r="P118" i="2" s="1"/>
  <c r="Q118" i="1"/>
  <c r="Q118" i="2" s="1"/>
  <c r="R118" i="1"/>
  <c r="R118" i="2" s="1"/>
  <c r="S118" i="1"/>
  <c r="S118" i="2" s="1"/>
  <c r="T118" i="1"/>
  <c r="T118" i="2" s="1"/>
  <c r="U118" i="1"/>
  <c r="U118" i="2" s="1"/>
  <c r="V118" i="1"/>
  <c r="V118" i="2" s="1"/>
  <c r="W118" i="1"/>
  <c r="W118" i="2" s="1"/>
  <c r="X118" i="1"/>
  <c r="X118" i="2" s="1"/>
  <c r="Y118" i="1"/>
  <c r="Y118" i="2" s="1"/>
  <c r="Z118" i="1"/>
  <c r="Z118" i="2" s="1"/>
  <c r="AA118" i="1"/>
  <c r="AA118" i="2" s="1"/>
  <c r="AB118" i="1"/>
  <c r="AB118" i="2" s="1"/>
  <c r="AC118" i="1"/>
  <c r="AC118" i="2" s="1"/>
  <c r="AD118" i="1"/>
  <c r="AD118" i="2" s="1"/>
  <c r="AE118" i="1"/>
  <c r="AE118" i="2" s="1"/>
  <c r="AF118" i="1"/>
  <c r="AF118" i="2" s="1"/>
  <c r="AG118" i="1"/>
  <c r="AG118" i="2" s="1"/>
  <c r="AH118" i="1"/>
  <c r="AH118" i="2" s="1"/>
  <c r="AI118" i="1"/>
  <c r="AI118" i="2" s="1"/>
  <c r="AJ118" i="1"/>
  <c r="AJ118" i="2" s="1"/>
  <c r="AK118" i="1"/>
  <c r="AK118" i="2" s="1"/>
  <c r="AL118" i="1"/>
  <c r="AL118" i="2" s="1"/>
  <c r="AM118" i="1"/>
  <c r="AM118" i="2" s="1"/>
  <c r="J119" i="1"/>
  <c r="J119" i="2" s="1"/>
  <c r="K119" i="1"/>
  <c r="K119" i="2" s="1"/>
  <c r="L119" i="1"/>
  <c r="L119" i="2" s="1"/>
  <c r="M119" i="1"/>
  <c r="M119" i="2" s="1"/>
  <c r="N119" i="1"/>
  <c r="N119" i="2" s="1"/>
  <c r="O119" i="1"/>
  <c r="O119" i="2" s="1"/>
  <c r="P119" i="1"/>
  <c r="P119" i="2" s="1"/>
  <c r="Q119" i="1"/>
  <c r="Q119" i="2" s="1"/>
  <c r="R119" i="1"/>
  <c r="R119" i="2" s="1"/>
  <c r="S119" i="1"/>
  <c r="S119" i="2" s="1"/>
  <c r="T119" i="1"/>
  <c r="T119" i="2" s="1"/>
  <c r="U119" i="1"/>
  <c r="U119" i="2" s="1"/>
  <c r="V119" i="1"/>
  <c r="V119" i="2" s="1"/>
  <c r="W119" i="1"/>
  <c r="W119" i="2" s="1"/>
  <c r="X119" i="1"/>
  <c r="X119" i="2" s="1"/>
  <c r="Y119" i="1"/>
  <c r="Y119" i="2" s="1"/>
  <c r="Z119" i="1"/>
  <c r="Z119" i="2" s="1"/>
  <c r="AA119" i="1"/>
  <c r="AA119" i="2" s="1"/>
  <c r="AB119" i="1"/>
  <c r="AB119" i="2" s="1"/>
  <c r="AC119" i="1"/>
  <c r="AC119" i="2" s="1"/>
  <c r="AD119" i="1"/>
  <c r="AD119" i="2" s="1"/>
  <c r="AE119" i="1"/>
  <c r="AE119" i="2" s="1"/>
  <c r="AF119" i="1"/>
  <c r="AF119" i="2" s="1"/>
  <c r="AG119" i="1"/>
  <c r="AG119" i="2" s="1"/>
  <c r="AH119" i="1"/>
  <c r="AH119" i="2" s="1"/>
  <c r="AI119" i="1"/>
  <c r="AI119" i="2" s="1"/>
  <c r="AJ119" i="1"/>
  <c r="AJ119" i="2" s="1"/>
  <c r="AK119" i="1"/>
  <c r="AK119" i="2" s="1"/>
  <c r="AL119" i="1"/>
  <c r="AL119" i="2" s="1"/>
  <c r="AM119" i="1"/>
  <c r="AM119" i="2" s="1"/>
  <c r="J120" i="1"/>
  <c r="J120" i="2" s="1"/>
  <c r="K120" i="1"/>
  <c r="K120" i="2" s="1"/>
  <c r="L120" i="1"/>
  <c r="L120" i="2" s="1"/>
  <c r="M120" i="1"/>
  <c r="M120" i="2" s="1"/>
  <c r="N120" i="1"/>
  <c r="N120" i="2" s="1"/>
  <c r="O120" i="1"/>
  <c r="O120" i="2" s="1"/>
  <c r="P120" i="1"/>
  <c r="P120" i="2" s="1"/>
  <c r="Q120" i="1"/>
  <c r="Q120" i="2" s="1"/>
  <c r="R120" i="1"/>
  <c r="R120" i="2" s="1"/>
  <c r="S120" i="1"/>
  <c r="S120" i="2" s="1"/>
  <c r="T120" i="1"/>
  <c r="T120" i="2" s="1"/>
  <c r="U120" i="1"/>
  <c r="U120" i="2" s="1"/>
  <c r="V120" i="1"/>
  <c r="V120" i="2" s="1"/>
  <c r="W120" i="1"/>
  <c r="W120" i="2" s="1"/>
  <c r="X120" i="1"/>
  <c r="X120" i="2" s="1"/>
  <c r="Y120" i="1"/>
  <c r="Y120" i="2" s="1"/>
  <c r="Z120" i="1"/>
  <c r="Z120" i="2" s="1"/>
  <c r="AA120" i="1"/>
  <c r="AA120" i="2" s="1"/>
  <c r="AB120" i="1"/>
  <c r="AB120" i="2" s="1"/>
  <c r="AC120" i="1"/>
  <c r="AC120" i="2" s="1"/>
  <c r="AD120" i="1"/>
  <c r="AD120" i="2" s="1"/>
  <c r="AE120" i="1"/>
  <c r="AE120" i="2" s="1"/>
  <c r="AF120" i="1"/>
  <c r="AF120" i="2" s="1"/>
  <c r="AG120" i="1"/>
  <c r="AG120" i="2" s="1"/>
  <c r="AH120" i="1"/>
  <c r="AH120" i="2" s="1"/>
  <c r="AI120" i="1"/>
  <c r="AI120" i="2" s="1"/>
  <c r="AJ120" i="1"/>
  <c r="AJ120" i="2" s="1"/>
  <c r="AK120" i="1"/>
  <c r="AK120" i="2" s="1"/>
  <c r="AL120" i="1"/>
  <c r="AL120" i="2" s="1"/>
  <c r="AM120" i="1"/>
  <c r="AM120" i="2" s="1"/>
  <c r="J121" i="1"/>
  <c r="J121" i="2" s="1"/>
  <c r="K121" i="1"/>
  <c r="K121" i="2" s="1"/>
  <c r="L121" i="1"/>
  <c r="L121" i="2" s="1"/>
  <c r="M121" i="1"/>
  <c r="M121" i="2" s="1"/>
  <c r="N121" i="1"/>
  <c r="N121" i="2" s="1"/>
  <c r="O121" i="1"/>
  <c r="O121" i="2" s="1"/>
  <c r="P121" i="1"/>
  <c r="P121" i="2" s="1"/>
  <c r="Q121" i="1"/>
  <c r="Q121" i="2" s="1"/>
  <c r="R121" i="1"/>
  <c r="R121" i="2" s="1"/>
  <c r="S121" i="1"/>
  <c r="S121" i="2" s="1"/>
  <c r="T121" i="1"/>
  <c r="T121" i="2" s="1"/>
  <c r="U121" i="1"/>
  <c r="U121" i="2" s="1"/>
  <c r="V121" i="1"/>
  <c r="V121" i="2" s="1"/>
  <c r="W121" i="1"/>
  <c r="W121" i="2" s="1"/>
  <c r="X121" i="1"/>
  <c r="X121" i="2" s="1"/>
  <c r="Y121" i="1"/>
  <c r="Y121" i="2" s="1"/>
  <c r="Z121" i="1"/>
  <c r="Z121" i="2" s="1"/>
  <c r="AA121" i="1"/>
  <c r="AA121" i="2" s="1"/>
  <c r="AB121" i="1"/>
  <c r="AB121" i="2" s="1"/>
  <c r="AC121" i="1"/>
  <c r="AC121" i="2" s="1"/>
  <c r="AD121" i="1"/>
  <c r="AD121" i="2" s="1"/>
  <c r="AE121" i="1"/>
  <c r="AE121" i="2" s="1"/>
  <c r="AF121" i="1"/>
  <c r="AF121" i="2" s="1"/>
  <c r="AG121" i="1"/>
  <c r="AG121" i="2" s="1"/>
  <c r="AH121" i="1"/>
  <c r="AH121" i="2" s="1"/>
  <c r="AI121" i="1"/>
  <c r="AI121" i="2" s="1"/>
  <c r="AJ121" i="1"/>
  <c r="AJ121" i="2" s="1"/>
  <c r="AK121" i="1"/>
  <c r="AK121" i="2" s="1"/>
  <c r="AL121" i="1"/>
  <c r="AL121" i="2" s="1"/>
  <c r="AM121" i="1"/>
  <c r="AM121" i="2" s="1"/>
  <c r="J122" i="1"/>
  <c r="J122" i="2" s="1"/>
  <c r="K122" i="1"/>
  <c r="K122" i="2" s="1"/>
  <c r="L122" i="1"/>
  <c r="L122" i="2" s="1"/>
  <c r="M122" i="1"/>
  <c r="M122" i="2" s="1"/>
  <c r="N122" i="1"/>
  <c r="N122" i="2" s="1"/>
  <c r="O122" i="1"/>
  <c r="O122" i="2" s="1"/>
  <c r="P122" i="1"/>
  <c r="P122" i="2" s="1"/>
  <c r="Q122" i="1"/>
  <c r="Q122" i="2" s="1"/>
  <c r="R122" i="1"/>
  <c r="R122" i="2" s="1"/>
  <c r="S122" i="1"/>
  <c r="S122" i="2" s="1"/>
  <c r="T122" i="1"/>
  <c r="T122" i="2" s="1"/>
  <c r="U122" i="1"/>
  <c r="U122" i="2" s="1"/>
  <c r="V122" i="1"/>
  <c r="V122" i="2" s="1"/>
  <c r="W122" i="1"/>
  <c r="W122" i="2" s="1"/>
  <c r="X122" i="1"/>
  <c r="X122" i="2" s="1"/>
  <c r="Y122" i="1"/>
  <c r="Y122" i="2" s="1"/>
  <c r="Z122" i="1"/>
  <c r="Z122" i="2" s="1"/>
  <c r="AA122" i="1"/>
  <c r="AA122" i="2" s="1"/>
  <c r="AB122" i="1"/>
  <c r="AB122" i="2" s="1"/>
  <c r="AC122" i="1"/>
  <c r="AC122" i="2" s="1"/>
  <c r="AD122" i="1"/>
  <c r="AD122" i="2" s="1"/>
  <c r="AE122" i="1"/>
  <c r="AE122" i="2" s="1"/>
  <c r="AF122" i="1"/>
  <c r="AF122" i="2" s="1"/>
  <c r="AG122" i="1"/>
  <c r="AG122" i="2" s="1"/>
  <c r="AH122" i="1"/>
  <c r="AH122" i="2" s="1"/>
  <c r="AI122" i="1"/>
  <c r="AI122" i="2" s="1"/>
  <c r="AJ122" i="1"/>
  <c r="AJ122" i="2" s="1"/>
  <c r="AK122" i="1"/>
  <c r="AK122" i="2" s="1"/>
  <c r="AL122" i="1"/>
  <c r="AL122" i="2" s="1"/>
  <c r="AM122" i="1"/>
  <c r="AM122" i="2" s="1"/>
  <c r="J123" i="1"/>
  <c r="J123" i="2" s="1"/>
  <c r="K123" i="1"/>
  <c r="K123" i="2" s="1"/>
  <c r="L123" i="1"/>
  <c r="L123" i="2" s="1"/>
  <c r="M123" i="1"/>
  <c r="M123" i="2" s="1"/>
  <c r="N123" i="1"/>
  <c r="N123" i="2" s="1"/>
  <c r="O123" i="1"/>
  <c r="O123" i="2" s="1"/>
  <c r="P123" i="1"/>
  <c r="P123" i="2" s="1"/>
  <c r="Q123" i="1"/>
  <c r="Q123" i="2" s="1"/>
  <c r="R123" i="1"/>
  <c r="R123" i="2" s="1"/>
  <c r="S123" i="1"/>
  <c r="S123" i="2" s="1"/>
  <c r="T123" i="1"/>
  <c r="T123" i="2" s="1"/>
  <c r="U123" i="1"/>
  <c r="U123" i="2" s="1"/>
  <c r="V123" i="1"/>
  <c r="V123" i="2" s="1"/>
  <c r="W123" i="1"/>
  <c r="W123" i="2" s="1"/>
  <c r="X123" i="1"/>
  <c r="X123" i="2" s="1"/>
  <c r="Y123" i="1"/>
  <c r="Y123" i="2" s="1"/>
  <c r="Z123" i="1"/>
  <c r="Z123" i="2" s="1"/>
  <c r="AA123" i="1"/>
  <c r="AA123" i="2" s="1"/>
  <c r="AB123" i="1"/>
  <c r="AB123" i="2" s="1"/>
  <c r="AC123" i="1"/>
  <c r="AC123" i="2" s="1"/>
  <c r="AD123" i="1"/>
  <c r="AD123" i="2" s="1"/>
  <c r="AE123" i="1"/>
  <c r="AE123" i="2" s="1"/>
  <c r="AF123" i="1"/>
  <c r="AF123" i="2" s="1"/>
  <c r="AG123" i="1"/>
  <c r="AG123" i="2" s="1"/>
  <c r="AH123" i="1"/>
  <c r="AH123" i="2" s="1"/>
  <c r="AI123" i="1"/>
  <c r="AI123" i="2" s="1"/>
  <c r="AJ123" i="1"/>
  <c r="AJ123" i="2" s="1"/>
  <c r="AK123" i="1"/>
  <c r="AK123" i="2" s="1"/>
  <c r="AL123" i="1"/>
  <c r="AL123" i="2" s="1"/>
  <c r="AM123" i="1"/>
  <c r="AM123" i="2" s="1"/>
  <c r="J124" i="1"/>
  <c r="J124" i="2" s="1"/>
  <c r="K124" i="1"/>
  <c r="K124" i="2" s="1"/>
  <c r="L124" i="1"/>
  <c r="L124" i="2" s="1"/>
  <c r="M124" i="1"/>
  <c r="M124" i="2" s="1"/>
  <c r="N124" i="1"/>
  <c r="N124" i="2" s="1"/>
  <c r="O124" i="1"/>
  <c r="O124" i="2" s="1"/>
  <c r="P124" i="1"/>
  <c r="P124" i="2" s="1"/>
  <c r="Q124" i="1"/>
  <c r="Q124" i="2" s="1"/>
  <c r="R124" i="1"/>
  <c r="R124" i="2" s="1"/>
  <c r="S124" i="1"/>
  <c r="S124" i="2" s="1"/>
  <c r="T124" i="1"/>
  <c r="T124" i="2" s="1"/>
  <c r="U124" i="1"/>
  <c r="U124" i="2" s="1"/>
  <c r="V124" i="1"/>
  <c r="V124" i="2" s="1"/>
  <c r="W124" i="1"/>
  <c r="W124" i="2" s="1"/>
  <c r="X124" i="1"/>
  <c r="X124" i="2" s="1"/>
  <c r="Y124" i="1"/>
  <c r="Y124" i="2" s="1"/>
  <c r="Z124" i="1"/>
  <c r="Z124" i="2" s="1"/>
  <c r="AA124" i="1"/>
  <c r="AA124" i="2" s="1"/>
  <c r="AB124" i="1"/>
  <c r="AB124" i="2" s="1"/>
  <c r="AC124" i="1"/>
  <c r="AC124" i="2" s="1"/>
  <c r="AD124" i="1"/>
  <c r="AD124" i="2" s="1"/>
  <c r="AE124" i="1"/>
  <c r="AE124" i="2" s="1"/>
  <c r="AF124" i="1"/>
  <c r="AF124" i="2" s="1"/>
  <c r="AG124" i="1"/>
  <c r="AG124" i="2" s="1"/>
  <c r="AH124" i="1"/>
  <c r="AH124" i="2" s="1"/>
  <c r="AI124" i="1"/>
  <c r="AI124" i="2" s="1"/>
  <c r="AJ124" i="1"/>
  <c r="AJ124" i="2" s="1"/>
  <c r="AK124" i="1"/>
  <c r="AK124" i="2" s="1"/>
  <c r="AL124" i="1"/>
  <c r="AL124" i="2" s="1"/>
  <c r="AM124" i="1"/>
  <c r="AM124" i="2" s="1"/>
  <c r="J125" i="1"/>
  <c r="J125" i="2" s="1"/>
  <c r="K125" i="1"/>
  <c r="K125" i="2" s="1"/>
  <c r="L125" i="1"/>
  <c r="L125" i="2" s="1"/>
  <c r="M125" i="1"/>
  <c r="M125" i="2" s="1"/>
  <c r="N125" i="1"/>
  <c r="N125" i="2" s="1"/>
  <c r="O125" i="1"/>
  <c r="O125" i="2" s="1"/>
  <c r="P125" i="1"/>
  <c r="P125" i="2" s="1"/>
  <c r="Q125" i="1"/>
  <c r="Q125" i="2" s="1"/>
  <c r="R125" i="1"/>
  <c r="R125" i="2" s="1"/>
  <c r="S125" i="1"/>
  <c r="S125" i="2" s="1"/>
  <c r="T125" i="1"/>
  <c r="T125" i="2" s="1"/>
  <c r="U125" i="1"/>
  <c r="U125" i="2" s="1"/>
  <c r="V125" i="1"/>
  <c r="V125" i="2" s="1"/>
  <c r="W125" i="1"/>
  <c r="W125" i="2" s="1"/>
  <c r="X125" i="1"/>
  <c r="X125" i="2" s="1"/>
  <c r="Y125" i="1"/>
  <c r="Y125" i="2" s="1"/>
  <c r="Z125" i="1"/>
  <c r="Z125" i="2" s="1"/>
  <c r="AA125" i="1"/>
  <c r="AA125" i="2" s="1"/>
  <c r="AB125" i="1"/>
  <c r="AB125" i="2" s="1"/>
  <c r="AC125" i="1"/>
  <c r="AC125" i="2" s="1"/>
  <c r="AD125" i="1"/>
  <c r="AD125" i="2" s="1"/>
  <c r="AE125" i="1"/>
  <c r="AE125" i="2" s="1"/>
  <c r="AF125" i="1"/>
  <c r="AF125" i="2" s="1"/>
  <c r="AG125" i="1"/>
  <c r="AG125" i="2" s="1"/>
  <c r="AH125" i="1"/>
  <c r="AH125" i="2" s="1"/>
  <c r="AI125" i="1"/>
  <c r="AI125" i="2" s="1"/>
  <c r="AJ125" i="1"/>
  <c r="AJ125" i="2" s="1"/>
  <c r="AK125" i="1"/>
  <c r="AK125" i="2" s="1"/>
  <c r="AL125" i="1"/>
  <c r="AL125" i="2" s="1"/>
  <c r="AM125" i="1"/>
  <c r="AM125" i="2" s="1"/>
  <c r="J126" i="1"/>
  <c r="J126" i="2" s="1"/>
  <c r="K126" i="1"/>
  <c r="K126" i="2" s="1"/>
  <c r="L126" i="1"/>
  <c r="L126" i="2" s="1"/>
  <c r="M126" i="1"/>
  <c r="M126" i="2" s="1"/>
  <c r="N126" i="1"/>
  <c r="N126" i="2" s="1"/>
  <c r="O126" i="1"/>
  <c r="O126" i="2" s="1"/>
  <c r="P126" i="1"/>
  <c r="P126" i="2" s="1"/>
  <c r="Q126" i="1"/>
  <c r="Q126" i="2" s="1"/>
  <c r="R126" i="1"/>
  <c r="R126" i="2" s="1"/>
  <c r="S126" i="1"/>
  <c r="S126" i="2" s="1"/>
  <c r="T126" i="1"/>
  <c r="T126" i="2" s="1"/>
  <c r="U126" i="1"/>
  <c r="U126" i="2" s="1"/>
  <c r="V126" i="1"/>
  <c r="V126" i="2" s="1"/>
  <c r="W126" i="1"/>
  <c r="W126" i="2" s="1"/>
  <c r="X126" i="1"/>
  <c r="X126" i="2" s="1"/>
  <c r="Y126" i="1"/>
  <c r="Y126" i="2" s="1"/>
  <c r="Z126" i="1"/>
  <c r="Z126" i="2" s="1"/>
  <c r="AA126" i="1"/>
  <c r="AA126" i="2" s="1"/>
  <c r="AB126" i="1"/>
  <c r="AB126" i="2" s="1"/>
  <c r="AC126" i="1"/>
  <c r="AC126" i="2" s="1"/>
  <c r="AD126" i="1"/>
  <c r="AD126" i="2" s="1"/>
  <c r="AE126" i="1"/>
  <c r="AE126" i="2" s="1"/>
  <c r="AF126" i="1"/>
  <c r="AF126" i="2" s="1"/>
  <c r="AG126" i="1"/>
  <c r="AG126" i="2" s="1"/>
  <c r="AH126" i="1"/>
  <c r="AH126" i="2" s="1"/>
  <c r="AI126" i="1"/>
  <c r="AI126" i="2" s="1"/>
  <c r="AJ126" i="1"/>
  <c r="AJ126" i="2" s="1"/>
  <c r="AK126" i="1"/>
  <c r="AK126" i="2" s="1"/>
  <c r="AL126" i="1"/>
  <c r="AL126" i="2" s="1"/>
  <c r="AM126" i="1"/>
  <c r="AM126" i="2" s="1"/>
  <c r="J127" i="1"/>
  <c r="J127" i="2" s="1"/>
  <c r="K127" i="1"/>
  <c r="K127" i="2" s="1"/>
  <c r="L127" i="1"/>
  <c r="L127" i="2" s="1"/>
  <c r="M127" i="1"/>
  <c r="M127" i="2" s="1"/>
  <c r="N127" i="1"/>
  <c r="N127" i="2" s="1"/>
  <c r="O127" i="1"/>
  <c r="O127" i="2" s="1"/>
  <c r="P127" i="1"/>
  <c r="P127" i="2" s="1"/>
  <c r="Q127" i="1"/>
  <c r="Q127" i="2" s="1"/>
  <c r="R127" i="1"/>
  <c r="R127" i="2" s="1"/>
  <c r="S127" i="1"/>
  <c r="S127" i="2" s="1"/>
  <c r="T127" i="1"/>
  <c r="T127" i="2" s="1"/>
  <c r="U127" i="1"/>
  <c r="U127" i="2" s="1"/>
  <c r="V127" i="1"/>
  <c r="V127" i="2" s="1"/>
  <c r="W127" i="1"/>
  <c r="W127" i="2" s="1"/>
  <c r="X127" i="1"/>
  <c r="X127" i="2" s="1"/>
  <c r="Y127" i="1"/>
  <c r="Y127" i="2" s="1"/>
  <c r="Z127" i="1"/>
  <c r="Z127" i="2" s="1"/>
  <c r="AA127" i="1"/>
  <c r="AA127" i="2" s="1"/>
  <c r="AB127" i="1"/>
  <c r="AB127" i="2" s="1"/>
  <c r="AC127" i="1"/>
  <c r="AC127" i="2" s="1"/>
  <c r="AD127" i="1"/>
  <c r="AD127" i="2" s="1"/>
  <c r="AE127" i="1"/>
  <c r="AE127" i="2" s="1"/>
  <c r="AF127" i="1"/>
  <c r="AF127" i="2" s="1"/>
  <c r="AG127" i="1"/>
  <c r="AG127" i="2" s="1"/>
  <c r="AH127" i="1"/>
  <c r="AH127" i="2" s="1"/>
  <c r="AI127" i="1"/>
  <c r="AI127" i="2" s="1"/>
  <c r="AJ127" i="1"/>
  <c r="AJ127" i="2" s="1"/>
  <c r="AK127" i="1"/>
  <c r="AK127" i="2" s="1"/>
  <c r="AL127" i="1"/>
  <c r="AL127" i="2" s="1"/>
  <c r="AM127" i="1"/>
  <c r="AM127" i="2" s="1"/>
  <c r="J128" i="1"/>
  <c r="J128" i="2" s="1"/>
  <c r="K128" i="1"/>
  <c r="K128" i="2" s="1"/>
  <c r="L128" i="1"/>
  <c r="L128" i="2" s="1"/>
  <c r="M128" i="1"/>
  <c r="M128" i="2" s="1"/>
  <c r="N128" i="1"/>
  <c r="N128" i="2" s="1"/>
  <c r="O128" i="1"/>
  <c r="O128" i="2" s="1"/>
  <c r="P128" i="1"/>
  <c r="P128" i="2" s="1"/>
  <c r="Q128" i="1"/>
  <c r="Q128" i="2" s="1"/>
  <c r="R128" i="1"/>
  <c r="R128" i="2" s="1"/>
  <c r="S128" i="1"/>
  <c r="S128" i="2" s="1"/>
  <c r="T128" i="1"/>
  <c r="T128" i="2" s="1"/>
  <c r="U128" i="1"/>
  <c r="U128" i="2" s="1"/>
  <c r="V128" i="1"/>
  <c r="V128" i="2" s="1"/>
  <c r="W128" i="1"/>
  <c r="W128" i="2" s="1"/>
  <c r="X128" i="1"/>
  <c r="X128" i="2" s="1"/>
  <c r="Y128" i="1"/>
  <c r="Y128" i="2" s="1"/>
  <c r="Z128" i="1"/>
  <c r="Z128" i="2" s="1"/>
  <c r="AA128" i="1"/>
  <c r="AA128" i="2" s="1"/>
  <c r="AB128" i="1"/>
  <c r="AB128" i="2" s="1"/>
  <c r="AC128" i="1"/>
  <c r="AC128" i="2" s="1"/>
  <c r="AD128" i="1"/>
  <c r="AD128" i="2" s="1"/>
  <c r="AE128" i="1"/>
  <c r="AE128" i="2" s="1"/>
  <c r="AF128" i="1"/>
  <c r="AF128" i="2" s="1"/>
  <c r="AG128" i="1"/>
  <c r="AG128" i="2" s="1"/>
  <c r="AH128" i="1"/>
  <c r="AH128" i="2" s="1"/>
  <c r="AI128" i="1"/>
  <c r="AI128" i="2" s="1"/>
  <c r="AJ128" i="1"/>
  <c r="AJ128" i="2" s="1"/>
  <c r="AK128" i="1"/>
  <c r="AK128" i="2" s="1"/>
  <c r="AL128" i="1"/>
  <c r="AL128" i="2" s="1"/>
  <c r="AM128" i="1"/>
  <c r="AM128" i="2" s="1"/>
  <c r="J129" i="1"/>
  <c r="J129" i="2" s="1"/>
  <c r="K129" i="1"/>
  <c r="K129" i="2" s="1"/>
  <c r="L129" i="1"/>
  <c r="L129" i="2" s="1"/>
  <c r="M129" i="1"/>
  <c r="M129" i="2" s="1"/>
  <c r="N129" i="1"/>
  <c r="N129" i="2" s="1"/>
  <c r="O129" i="1"/>
  <c r="O129" i="2" s="1"/>
  <c r="P129" i="1"/>
  <c r="P129" i="2" s="1"/>
  <c r="Q129" i="1"/>
  <c r="Q129" i="2" s="1"/>
  <c r="R129" i="1"/>
  <c r="R129" i="2" s="1"/>
  <c r="S129" i="1"/>
  <c r="S129" i="2" s="1"/>
  <c r="T129" i="1"/>
  <c r="T129" i="2" s="1"/>
  <c r="U129" i="1"/>
  <c r="U129" i="2" s="1"/>
  <c r="V129" i="1"/>
  <c r="V129" i="2" s="1"/>
  <c r="W129" i="1"/>
  <c r="W129" i="2" s="1"/>
  <c r="X129" i="1"/>
  <c r="X129" i="2" s="1"/>
  <c r="Y129" i="1"/>
  <c r="Y129" i="2" s="1"/>
  <c r="Z129" i="1"/>
  <c r="Z129" i="2" s="1"/>
  <c r="AA129" i="1"/>
  <c r="AA129" i="2" s="1"/>
  <c r="AB129" i="1"/>
  <c r="AB129" i="2" s="1"/>
  <c r="AC129" i="1"/>
  <c r="AC129" i="2" s="1"/>
  <c r="AD129" i="1"/>
  <c r="AD129" i="2" s="1"/>
  <c r="AE129" i="1"/>
  <c r="AE129" i="2" s="1"/>
  <c r="AF129" i="1"/>
  <c r="AF129" i="2" s="1"/>
  <c r="AG129" i="1"/>
  <c r="AG129" i="2" s="1"/>
  <c r="AH129" i="1"/>
  <c r="AH129" i="2" s="1"/>
  <c r="AI129" i="1"/>
  <c r="AI129" i="2" s="1"/>
  <c r="AJ129" i="1"/>
  <c r="AJ129" i="2" s="1"/>
  <c r="AK129" i="1"/>
  <c r="AK129" i="2" s="1"/>
  <c r="AL129" i="1"/>
  <c r="AL129" i="2" s="1"/>
  <c r="AM129" i="1"/>
  <c r="AM129" i="2" s="1"/>
  <c r="J130" i="1"/>
  <c r="J130" i="2" s="1"/>
  <c r="K130" i="1"/>
  <c r="K130" i="2" s="1"/>
  <c r="L130" i="1"/>
  <c r="L130" i="2" s="1"/>
  <c r="M130" i="1"/>
  <c r="M130" i="2" s="1"/>
  <c r="N130" i="1"/>
  <c r="N130" i="2" s="1"/>
  <c r="O130" i="1"/>
  <c r="O130" i="2" s="1"/>
  <c r="P130" i="1"/>
  <c r="P130" i="2" s="1"/>
  <c r="Q130" i="1"/>
  <c r="Q130" i="2" s="1"/>
  <c r="R130" i="1"/>
  <c r="R130" i="2" s="1"/>
  <c r="S130" i="1"/>
  <c r="S130" i="2" s="1"/>
  <c r="T130" i="1"/>
  <c r="T130" i="2" s="1"/>
  <c r="U130" i="1"/>
  <c r="U130" i="2" s="1"/>
  <c r="V130" i="1"/>
  <c r="V130" i="2" s="1"/>
  <c r="W130" i="1"/>
  <c r="W130" i="2" s="1"/>
  <c r="X130" i="1"/>
  <c r="X130" i="2" s="1"/>
  <c r="Y130" i="1"/>
  <c r="Y130" i="2" s="1"/>
  <c r="Z130" i="1"/>
  <c r="Z130" i="2" s="1"/>
  <c r="AA130" i="1"/>
  <c r="AA130" i="2" s="1"/>
  <c r="AB130" i="1"/>
  <c r="AB130" i="2" s="1"/>
  <c r="AC130" i="1"/>
  <c r="AC130" i="2" s="1"/>
  <c r="AD130" i="1"/>
  <c r="AD130" i="2" s="1"/>
  <c r="AE130" i="1"/>
  <c r="AE130" i="2" s="1"/>
  <c r="AF130" i="1"/>
  <c r="AF130" i="2" s="1"/>
  <c r="AG130" i="1"/>
  <c r="AG130" i="2" s="1"/>
  <c r="AH130" i="1"/>
  <c r="AH130" i="2" s="1"/>
  <c r="AI130" i="1"/>
  <c r="AI130" i="2" s="1"/>
  <c r="AJ130" i="1"/>
  <c r="AJ130" i="2" s="1"/>
  <c r="AK130" i="1"/>
  <c r="AK130" i="2" s="1"/>
  <c r="AL130" i="1"/>
  <c r="AL130" i="2" s="1"/>
  <c r="AM130" i="1"/>
  <c r="AM130" i="2" s="1"/>
  <c r="J131" i="1"/>
  <c r="J131" i="2" s="1"/>
  <c r="K131" i="1"/>
  <c r="K131" i="2" s="1"/>
  <c r="L131" i="1"/>
  <c r="L131" i="2" s="1"/>
  <c r="M131" i="1"/>
  <c r="M131" i="2" s="1"/>
  <c r="N131" i="1"/>
  <c r="N131" i="2" s="1"/>
  <c r="O131" i="1"/>
  <c r="O131" i="2" s="1"/>
  <c r="P131" i="1"/>
  <c r="P131" i="2" s="1"/>
  <c r="Q131" i="1"/>
  <c r="Q131" i="2" s="1"/>
  <c r="R131" i="1"/>
  <c r="R131" i="2" s="1"/>
  <c r="S131" i="1"/>
  <c r="S131" i="2" s="1"/>
  <c r="T131" i="1"/>
  <c r="T131" i="2" s="1"/>
  <c r="U131" i="1"/>
  <c r="U131" i="2" s="1"/>
  <c r="V131" i="1"/>
  <c r="V131" i="2" s="1"/>
  <c r="W131" i="1"/>
  <c r="W131" i="2" s="1"/>
  <c r="X131" i="1"/>
  <c r="X131" i="2" s="1"/>
  <c r="Y131" i="1"/>
  <c r="Y131" i="2" s="1"/>
  <c r="Z131" i="1"/>
  <c r="Z131" i="2" s="1"/>
  <c r="AA131" i="1"/>
  <c r="AA131" i="2" s="1"/>
  <c r="AB131" i="1"/>
  <c r="AB131" i="2" s="1"/>
  <c r="AC131" i="1"/>
  <c r="AC131" i="2" s="1"/>
  <c r="AD131" i="1"/>
  <c r="AD131" i="2" s="1"/>
  <c r="AE131" i="1"/>
  <c r="AE131" i="2" s="1"/>
  <c r="AF131" i="1"/>
  <c r="AF131" i="2" s="1"/>
  <c r="AG131" i="1"/>
  <c r="AG131" i="2" s="1"/>
  <c r="AH131" i="1"/>
  <c r="AH131" i="2" s="1"/>
  <c r="AI131" i="1"/>
  <c r="AI131" i="2" s="1"/>
  <c r="AJ131" i="1"/>
  <c r="AJ131" i="2" s="1"/>
  <c r="AK131" i="1"/>
  <c r="AK131" i="2" s="1"/>
  <c r="AL131" i="1"/>
  <c r="AL131" i="2" s="1"/>
  <c r="AM131" i="1"/>
  <c r="AM131" i="2" s="1"/>
  <c r="J132" i="1"/>
  <c r="J132" i="2" s="1"/>
  <c r="K132" i="1"/>
  <c r="K132" i="2" s="1"/>
  <c r="L132" i="1"/>
  <c r="L132" i="2" s="1"/>
  <c r="M132" i="1"/>
  <c r="M132" i="2" s="1"/>
  <c r="N132" i="1"/>
  <c r="N132" i="2" s="1"/>
  <c r="O132" i="1"/>
  <c r="O132" i="2" s="1"/>
  <c r="P132" i="1"/>
  <c r="P132" i="2" s="1"/>
  <c r="Q132" i="1"/>
  <c r="Q132" i="2" s="1"/>
  <c r="R132" i="1"/>
  <c r="R132" i="2" s="1"/>
  <c r="S132" i="1"/>
  <c r="S132" i="2" s="1"/>
  <c r="T132" i="1"/>
  <c r="T132" i="2" s="1"/>
  <c r="U132" i="1"/>
  <c r="U132" i="2" s="1"/>
  <c r="V132" i="1"/>
  <c r="V132" i="2" s="1"/>
  <c r="W132" i="1"/>
  <c r="W132" i="2" s="1"/>
  <c r="X132" i="1"/>
  <c r="X132" i="2" s="1"/>
  <c r="Y132" i="1"/>
  <c r="Y132" i="2" s="1"/>
  <c r="Z132" i="1"/>
  <c r="Z132" i="2" s="1"/>
  <c r="AA132" i="1"/>
  <c r="AA132" i="2" s="1"/>
  <c r="AB132" i="1"/>
  <c r="AB132" i="2" s="1"/>
  <c r="AC132" i="1"/>
  <c r="AC132" i="2" s="1"/>
  <c r="AD132" i="1"/>
  <c r="AD132" i="2" s="1"/>
  <c r="AE132" i="1"/>
  <c r="AE132" i="2" s="1"/>
  <c r="AF132" i="1"/>
  <c r="AF132" i="2" s="1"/>
  <c r="AG132" i="1"/>
  <c r="AG132" i="2" s="1"/>
  <c r="AH132" i="1"/>
  <c r="AH132" i="2" s="1"/>
  <c r="AI132" i="1"/>
  <c r="AI132" i="2" s="1"/>
  <c r="AJ132" i="1"/>
  <c r="AJ132" i="2" s="1"/>
  <c r="AK132" i="1"/>
  <c r="AK132" i="2" s="1"/>
  <c r="AL132" i="1"/>
  <c r="AL132" i="2" s="1"/>
  <c r="AM132" i="1"/>
  <c r="AM132" i="2" s="1"/>
  <c r="J133" i="1"/>
  <c r="J133" i="2" s="1"/>
  <c r="K133" i="1"/>
  <c r="K133" i="2" s="1"/>
  <c r="L133" i="1"/>
  <c r="L133" i="2" s="1"/>
  <c r="M133" i="1"/>
  <c r="M133" i="2" s="1"/>
  <c r="N133" i="1"/>
  <c r="N133" i="2" s="1"/>
  <c r="O133" i="1"/>
  <c r="O133" i="2" s="1"/>
  <c r="P133" i="1"/>
  <c r="P133" i="2" s="1"/>
  <c r="Q133" i="1"/>
  <c r="Q133" i="2" s="1"/>
  <c r="R133" i="1"/>
  <c r="R133" i="2" s="1"/>
  <c r="S133" i="1"/>
  <c r="S133" i="2" s="1"/>
  <c r="T133" i="1"/>
  <c r="T133" i="2" s="1"/>
  <c r="U133" i="1"/>
  <c r="U133" i="2" s="1"/>
  <c r="V133" i="1"/>
  <c r="V133" i="2" s="1"/>
  <c r="W133" i="1"/>
  <c r="W133" i="2" s="1"/>
  <c r="X133" i="1"/>
  <c r="X133" i="2" s="1"/>
  <c r="Y133" i="1"/>
  <c r="Y133" i="2" s="1"/>
  <c r="Z133" i="1"/>
  <c r="Z133" i="2" s="1"/>
  <c r="AA133" i="1"/>
  <c r="AA133" i="2" s="1"/>
  <c r="AB133" i="1"/>
  <c r="AB133" i="2" s="1"/>
  <c r="AC133" i="1"/>
  <c r="AC133" i="2" s="1"/>
  <c r="AD133" i="1"/>
  <c r="AD133" i="2" s="1"/>
  <c r="AE133" i="1"/>
  <c r="AE133" i="2" s="1"/>
  <c r="AF133" i="1"/>
  <c r="AF133" i="2" s="1"/>
  <c r="AG133" i="1"/>
  <c r="AG133" i="2" s="1"/>
  <c r="AH133" i="1"/>
  <c r="AH133" i="2" s="1"/>
  <c r="AI133" i="1"/>
  <c r="AI133" i="2" s="1"/>
  <c r="AJ133" i="1"/>
  <c r="AJ133" i="2" s="1"/>
  <c r="AK133" i="1"/>
  <c r="AK133" i="2" s="1"/>
  <c r="AL133" i="1"/>
  <c r="AL133" i="2" s="1"/>
  <c r="AM133" i="1"/>
  <c r="AM133" i="2" s="1"/>
  <c r="J134" i="1"/>
  <c r="J134" i="2" s="1"/>
  <c r="K134" i="1"/>
  <c r="K134" i="2" s="1"/>
  <c r="L134" i="1"/>
  <c r="L134" i="2" s="1"/>
  <c r="M134" i="1"/>
  <c r="M134" i="2" s="1"/>
  <c r="N134" i="1"/>
  <c r="N134" i="2" s="1"/>
  <c r="O134" i="1"/>
  <c r="O134" i="2" s="1"/>
  <c r="P134" i="1"/>
  <c r="P134" i="2" s="1"/>
  <c r="Q134" i="1"/>
  <c r="Q134" i="2" s="1"/>
  <c r="R134" i="1"/>
  <c r="R134" i="2" s="1"/>
  <c r="S134" i="1"/>
  <c r="S134" i="2" s="1"/>
  <c r="T134" i="1"/>
  <c r="T134" i="2" s="1"/>
  <c r="U134" i="1"/>
  <c r="U134" i="2" s="1"/>
  <c r="V134" i="1"/>
  <c r="V134" i="2" s="1"/>
  <c r="W134" i="1"/>
  <c r="W134" i="2" s="1"/>
  <c r="X134" i="1"/>
  <c r="X134" i="2" s="1"/>
  <c r="Y134" i="1"/>
  <c r="Y134" i="2" s="1"/>
  <c r="Z134" i="1"/>
  <c r="Z134" i="2" s="1"/>
  <c r="AA134" i="1"/>
  <c r="AA134" i="2" s="1"/>
  <c r="AB134" i="1"/>
  <c r="AB134" i="2" s="1"/>
  <c r="AC134" i="1"/>
  <c r="AC134" i="2" s="1"/>
  <c r="AD134" i="1"/>
  <c r="AD134" i="2" s="1"/>
  <c r="AE134" i="1"/>
  <c r="AE134" i="2" s="1"/>
  <c r="AF134" i="1"/>
  <c r="AF134" i="2" s="1"/>
  <c r="AG134" i="1"/>
  <c r="AG134" i="2" s="1"/>
  <c r="AH134" i="1"/>
  <c r="AH134" i="2" s="1"/>
  <c r="AI134" i="1"/>
  <c r="AI134" i="2" s="1"/>
  <c r="AJ134" i="1"/>
  <c r="AJ134" i="2" s="1"/>
  <c r="AK134" i="1"/>
  <c r="AK134" i="2" s="1"/>
  <c r="AL134" i="1"/>
  <c r="AL134" i="2" s="1"/>
  <c r="AM134" i="1"/>
  <c r="AM134" i="2" s="1"/>
  <c r="J135" i="1"/>
  <c r="J135" i="2" s="1"/>
  <c r="K135" i="1"/>
  <c r="K135" i="2" s="1"/>
  <c r="L135" i="1"/>
  <c r="L135" i="2" s="1"/>
  <c r="M135" i="1"/>
  <c r="M135" i="2" s="1"/>
  <c r="N135" i="1"/>
  <c r="N135" i="2" s="1"/>
  <c r="O135" i="1"/>
  <c r="O135" i="2" s="1"/>
  <c r="P135" i="1"/>
  <c r="P135" i="2" s="1"/>
  <c r="Q135" i="1"/>
  <c r="Q135" i="2" s="1"/>
  <c r="R135" i="1"/>
  <c r="R135" i="2" s="1"/>
  <c r="S135" i="1"/>
  <c r="S135" i="2" s="1"/>
  <c r="T135" i="1"/>
  <c r="T135" i="2" s="1"/>
  <c r="U135" i="1"/>
  <c r="U135" i="2" s="1"/>
  <c r="V135" i="1"/>
  <c r="V135" i="2" s="1"/>
  <c r="W135" i="1"/>
  <c r="W135" i="2" s="1"/>
  <c r="X135" i="1"/>
  <c r="X135" i="2" s="1"/>
  <c r="Y135" i="1"/>
  <c r="Y135" i="2" s="1"/>
  <c r="Z135" i="1"/>
  <c r="Z135" i="2" s="1"/>
  <c r="AA135" i="1"/>
  <c r="AA135" i="2" s="1"/>
  <c r="AB135" i="1"/>
  <c r="AB135" i="2" s="1"/>
  <c r="AC135" i="1"/>
  <c r="AC135" i="2" s="1"/>
  <c r="AD135" i="1"/>
  <c r="AD135" i="2" s="1"/>
  <c r="AE135" i="1"/>
  <c r="AE135" i="2" s="1"/>
  <c r="AF135" i="1"/>
  <c r="AF135" i="2" s="1"/>
  <c r="AG135" i="1"/>
  <c r="AG135" i="2" s="1"/>
  <c r="AH135" i="1"/>
  <c r="AH135" i="2" s="1"/>
  <c r="AI135" i="1"/>
  <c r="AI135" i="2" s="1"/>
  <c r="AJ135" i="1"/>
  <c r="AJ135" i="2" s="1"/>
  <c r="AK135" i="1"/>
  <c r="AK135" i="2" s="1"/>
  <c r="AL135" i="1"/>
  <c r="AL135" i="2" s="1"/>
  <c r="AM135" i="1"/>
  <c r="AM135" i="2" s="1"/>
  <c r="J136" i="1"/>
  <c r="J136" i="2" s="1"/>
  <c r="K136" i="1"/>
  <c r="K136" i="2" s="1"/>
  <c r="L136" i="1"/>
  <c r="L136" i="2" s="1"/>
  <c r="M136" i="1"/>
  <c r="M136" i="2" s="1"/>
  <c r="N136" i="1"/>
  <c r="N136" i="2" s="1"/>
  <c r="O136" i="1"/>
  <c r="O136" i="2" s="1"/>
  <c r="P136" i="1"/>
  <c r="P136" i="2" s="1"/>
  <c r="Q136" i="1"/>
  <c r="Q136" i="2" s="1"/>
  <c r="R136" i="1"/>
  <c r="R136" i="2" s="1"/>
  <c r="S136" i="1"/>
  <c r="S136" i="2" s="1"/>
  <c r="T136" i="1"/>
  <c r="T136" i="2" s="1"/>
  <c r="U136" i="1"/>
  <c r="U136" i="2" s="1"/>
  <c r="V136" i="1"/>
  <c r="V136" i="2" s="1"/>
  <c r="W136" i="1"/>
  <c r="W136" i="2" s="1"/>
  <c r="X136" i="1"/>
  <c r="X136" i="2" s="1"/>
  <c r="Y136" i="1"/>
  <c r="Y136" i="2" s="1"/>
  <c r="Z136" i="1"/>
  <c r="Z136" i="2" s="1"/>
  <c r="AA136" i="1"/>
  <c r="AA136" i="2" s="1"/>
  <c r="AB136" i="1"/>
  <c r="AB136" i="2" s="1"/>
  <c r="AC136" i="1"/>
  <c r="AC136" i="2" s="1"/>
  <c r="AD136" i="1"/>
  <c r="AD136" i="2" s="1"/>
  <c r="AE136" i="1"/>
  <c r="AE136" i="2" s="1"/>
  <c r="AF136" i="1"/>
  <c r="AF136" i="2" s="1"/>
  <c r="AG136" i="1"/>
  <c r="AG136" i="2" s="1"/>
  <c r="AH136" i="1"/>
  <c r="AH136" i="2" s="1"/>
  <c r="AI136" i="1"/>
  <c r="AI136" i="2" s="1"/>
  <c r="AJ136" i="1"/>
  <c r="AJ136" i="2" s="1"/>
  <c r="AK136" i="1"/>
  <c r="AK136" i="2" s="1"/>
  <c r="AL136" i="1"/>
  <c r="AL136" i="2" s="1"/>
  <c r="AM136" i="1"/>
  <c r="AM136" i="2" s="1"/>
  <c r="J137" i="1"/>
  <c r="J137" i="2" s="1"/>
  <c r="K137" i="1"/>
  <c r="K137" i="2" s="1"/>
  <c r="L137" i="1"/>
  <c r="L137" i="2" s="1"/>
  <c r="M137" i="1"/>
  <c r="M137" i="2" s="1"/>
  <c r="N137" i="1"/>
  <c r="N137" i="2" s="1"/>
  <c r="O137" i="1"/>
  <c r="O137" i="2" s="1"/>
  <c r="P137" i="1"/>
  <c r="P137" i="2" s="1"/>
  <c r="Q137" i="1"/>
  <c r="Q137" i="2" s="1"/>
  <c r="R137" i="1"/>
  <c r="R137" i="2" s="1"/>
  <c r="S137" i="1"/>
  <c r="S137" i="2" s="1"/>
  <c r="T137" i="1"/>
  <c r="T137" i="2" s="1"/>
  <c r="U137" i="1"/>
  <c r="U137" i="2" s="1"/>
  <c r="V137" i="1"/>
  <c r="V137" i="2" s="1"/>
  <c r="W137" i="1"/>
  <c r="W137" i="2" s="1"/>
  <c r="X137" i="1"/>
  <c r="X137" i="2" s="1"/>
  <c r="Y137" i="1"/>
  <c r="Y137" i="2" s="1"/>
  <c r="Z137" i="1"/>
  <c r="Z137" i="2" s="1"/>
  <c r="AA137" i="1"/>
  <c r="AA137" i="2" s="1"/>
  <c r="AB137" i="1"/>
  <c r="AB137" i="2" s="1"/>
  <c r="AC137" i="1"/>
  <c r="AC137" i="2" s="1"/>
  <c r="AD137" i="1"/>
  <c r="AD137" i="2" s="1"/>
  <c r="AE137" i="1"/>
  <c r="AE137" i="2" s="1"/>
  <c r="AF137" i="1"/>
  <c r="AF137" i="2" s="1"/>
  <c r="AG137" i="1"/>
  <c r="AG137" i="2" s="1"/>
  <c r="AH137" i="1"/>
  <c r="AH137" i="2" s="1"/>
  <c r="AI137" i="1"/>
  <c r="AI137" i="2" s="1"/>
  <c r="AJ137" i="1"/>
  <c r="AJ137" i="2" s="1"/>
  <c r="AK137" i="1"/>
  <c r="AK137" i="2" s="1"/>
  <c r="AL137" i="1"/>
  <c r="AL137" i="2" s="1"/>
  <c r="AM137" i="1"/>
  <c r="AM137" i="2" s="1"/>
  <c r="J138" i="1"/>
  <c r="J138" i="2" s="1"/>
  <c r="K138" i="1"/>
  <c r="K138" i="2" s="1"/>
  <c r="L138" i="1"/>
  <c r="L138" i="2" s="1"/>
  <c r="M138" i="1"/>
  <c r="M138" i="2" s="1"/>
  <c r="N138" i="1"/>
  <c r="N138" i="2" s="1"/>
  <c r="O138" i="1"/>
  <c r="O138" i="2" s="1"/>
  <c r="P138" i="1"/>
  <c r="P138" i="2" s="1"/>
  <c r="Q138" i="1"/>
  <c r="Q138" i="2" s="1"/>
  <c r="R138" i="1"/>
  <c r="R138" i="2" s="1"/>
  <c r="S138" i="1"/>
  <c r="S138" i="2" s="1"/>
  <c r="T138" i="1"/>
  <c r="T138" i="2" s="1"/>
  <c r="U138" i="1"/>
  <c r="U138" i="2" s="1"/>
  <c r="V138" i="1"/>
  <c r="V138" i="2" s="1"/>
  <c r="W138" i="1"/>
  <c r="W138" i="2" s="1"/>
  <c r="X138" i="1"/>
  <c r="X138" i="2" s="1"/>
  <c r="Y138" i="1"/>
  <c r="Y138" i="2" s="1"/>
  <c r="Z138" i="1"/>
  <c r="Z138" i="2" s="1"/>
  <c r="AA138" i="1"/>
  <c r="AA138" i="2" s="1"/>
  <c r="AB138" i="1"/>
  <c r="AB138" i="2" s="1"/>
  <c r="AC138" i="1"/>
  <c r="AC138" i="2" s="1"/>
  <c r="AD138" i="1"/>
  <c r="AD138" i="2" s="1"/>
  <c r="AE138" i="1"/>
  <c r="AE138" i="2" s="1"/>
  <c r="AF138" i="1"/>
  <c r="AF138" i="2" s="1"/>
  <c r="AG138" i="1"/>
  <c r="AG138" i="2" s="1"/>
  <c r="AH138" i="1"/>
  <c r="AH138" i="2" s="1"/>
  <c r="AI138" i="1"/>
  <c r="AI138" i="2" s="1"/>
  <c r="AJ138" i="1"/>
  <c r="AJ138" i="2" s="1"/>
  <c r="AK138" i="1"/>
  <c r="AK138" i="2" s="1"/>
  <c r="AL138" i="1"/>
  <c r="AL138" i="2" s="1"/>
  <c r="AM138" i="1"/>
  <c r="AM138" i="2" s="1"/>
  <c r="J139" i="1"/>
  <c r="J139" i="2" s="1"/>
  <c r="K139" i="1"/>
  <c r="K139" i="2" s="1"/>
  <c r="L139" i="1"/>
  <c r="L139" i="2" s="1"/>
  <c r="M139" i="1"/>
  <c r="M139" i="2" s="1"/>
  <c r="N139" i="1"/>
  <c r="N139" i="2" s="1"/>
  <c r="O139" i="1"/>
  <c r="O139" i="2" s="1"/>
  <c r="P139" i="1"/>
  <c r="P139" i="2" s="1"/>
  <c r="Q139" i="1"/>
  <c r="Q139" i="2" s="1"/>
  <c r="R139" i="1"/>
  <c r="R139" i="2" s="1"/>
  <c r="S139" i="1"/>
  <c r="S139" i="2" s="1"/>
  <c r="T139" i="1"/>
  <c r="T139" i="2" s="1"/>
  <c r="U139" i="1"/>
  <c r="U139" i="2" s="1"/>
  <c r="V139" i="1"/>
  <c r="V139" i="2" s="1"/>
  <c r="W139" i="1"/>
  <c r="W139" i="2" s="1"/>
  <c r="X139" i="1"/>
  <c r="X139" i="2" s="1"/>
  <c r="Y139" i="1"/>
  <c r="Y139" i="2" s="1"/>
  <c r="Z139" i="1"/>
  <c r="Z139" i="2" s="1"/>
  <c r="AA139" i="1"/>
  <c r="AA139" i="2" s="1"/>
  <c r="AB139" i="1"/>
  <c r="AB139" i="2" s="1"/>
  <c r="AC139" i="1"/>
  <c r="AC139" i="2" s="1"/>
  <c r="AD139" i="1"/>
  <c r="AD139" i="2" s="1"/>
  <c r="AE139" i="1"/>
  <c r="AE139" i="2" s="1"/>
  <c r="AF139" i="1"/>
  <c r="AF139" i="2" s="1"/>
  <c r="AG139" i="1"/>
  <c r="AG139" i="2" s="1"/>
  <c r="AH139" i="1"/>
  <c r="AH139" i="2" s="1"/>
  <c r="AI139" i="1"/>
  <c r="AI139" i="2" s="1"/>
  <c r="AJ139" i="1"/>
  <c r="AJ139" i="2" s="1"/>
  <c r="AK139" i="1"/>
  <c r="AK139" i="2" s="1"/>
  <c r="AL139" i="1"/>
  <c r="AL139" i="2" s="1"/>
  <c r="AM139" i="1"/>
  <c r="AM139" i="2" s="1"/>
  <c r="J140" i="1"/>
  <c r="J140" i="2" s="1"/>
  <c r="K140" i="1"/>
  <c r="K140" i="2" s="1"/>
  <c r="L140" i="1"/>
  <c r="L140" i="2" s="1"/>
  <c r="M140" i="1"/>
  <c r="M140" i="2" s="1"/>
  <c r="N140" i="1"/>
  <c r="N140" i="2" s="1"/>
  <c r="O140" i="1"/>
  <c r="O140" i="2" s="1"/>
  <c r="P140" i="1"/>
  <c r="P140" i="2" s="1"/>
  <c r="Q140" i="1"/>
  <c r="Q140" i="2" s="1"/>
  <c r="R140" i="1"/>
  <c r="R140" i="2" s="1"/>
  <c r="S140" i="1"/>
  <c r="S140" i="2" s="1"/>
  <c r="T140" i="1"/>
  <c r="T140" i="2" s="1"/>
  <c r="U140" i="1"/>
  <c r="U140" i="2" s="1"/>
  <c r="V140" i="1"/>
  <c r="V140" i="2" s="1"/>
  <c r="W140" i="1"/>
  <c r="W140" i="2" s="1"/>
  <c r="X140" i="1"/>
  <c r="X140" i="2" s="1"/>
  <c r="Y140" i="1"/>
  <c r="Y140" i="2" s="1"/>
  <c r="Z140" i="1"/>
  <c r="Z140" i="2" s="1"/>
  <c r="AA140" i="1"/>
  <c r="AA140" i="2" s="1"/>
  <c r="AB140" i="1"/>
  <c r="AB140" i="2" s="1"/>
  <c r="AC140" i="1"/>
  <c r="AC140" i="2" s="1"/>
  <c r="AD140" i="1"/>
  <c r="AD140" i="2" s="1"/>
  <c r="AE140" i="1"/>
  <c r="AE140" i="2" s="1"/>
  <c r="AF140" i="1"/>
  <c r="AF140" i="2" s="1"/>
  <c r="AG140" i="1"/>
  <c r="AG140" i="2" s="1"/>
  <c r="AH140" i="1"/>
  <c r="AH140" i="2" s="1"/>
  <c r="AI140" i="1"/>
  <c r="AI140" i="2" s="1"/>
  <c r="AJ140" i="1"/>
  <c r="AJ140" i="2" s="1"/>
  <c r="AK140" i="1"/>
  <c r="AK140" i="2" s="1"/>
  <c r="AL140" i="1"/>
  <c r="AL140" i="2" s="1"/>
  <c r="AM140" i="1"/>
  <c r="AM140" i="2" s="1"/>
  <c r="J141" i="1"/>
  <c r="J141" i="2" s="1"/>
  <c r="K141" i="1"/>
  <c r="K141" i="2" s="1"/>
  <c r="L141" i="1"/>
  <c r="L141" i="2" s="1"/>
  <c r="M141" i="1"/>
  <c r="M141" i="2" s="1"/>
  <c r="N141" i="1"/>
  <c r="N141" i="2" s="1"/>
  <c r="O141" i="1"/>
  <c r="O141" i="2" s="1"/>
  <c r="P141" i="1"/>
  <c r="P141" i="2" s="1"/>
  <c r="Q141" i="1"/>
  <c r="Q141" i="2" s="1"/>
  <c r="R141" i="1"/>
  <c r="R141" i="2" s="1"/>
  <c r="S141" i="1"/>
  <c r="S141" i="2" s="1"/>
  <c r="T141" i="1"/>
  <c r="T141" i="2" s="1"/>
  <c r="U141" i="1"/>
  <c r="U141" i="2" s="1"/>
  <c r="V141" i="1"/>
  <c r="V141" i="2" s="1"/>
  <c r="W141" i="1"/>
  <c r="W141" i="2" s="1"/>
  <c r="X141" i="1"/>
  <c r="X141" i="2" s="1"/>
  <c r="Y141" i="1"/>
  <c r="Y141" i="2" s="1"/>
  <c r="Z141" i="1"/>
  <c r="Z141" i="2" s="1"/>
  <c r="AA141" i="1"/>
  <c r="AA141" i="2" s="1"/>
  <c r="AB141" i="1"/>
  <c r="AB141" i="2" s="1"/>
  <c r="AC141" i="1"/>
  <c r="AC141" i="2" s="1"/>
  <c r="AD141" i="1"/>
  <c r="AD141" i="2" s="1"/>
  <c r="AE141" i="1"/>
  <c r="AE141" i="2" s="1"/>
  <c r="AF141" i="1"/>
  <c r="AF141" i="2" s="1"/>
  <c r="AG141" i="1"/>
  <c r="AG141" i="2" s="1"/>
  <c r="AH141" i="1"/>
  <c r="AH141" i="2" s="1"/>
  <c r="AI141" i="1"/>
  <c r="AI141" i="2" s="1"/>
  <c r="AJ141" i="1"/>
  <c r="AJ141" i="2" s="1"/>
  <c r="AK141" i="1"/>
  <c r="AK141" i="2" s="1"/>
  <c r="AL141" i="1"/>
  <c r="AL141" i="2" s="1"/>
  <c r="AM141" i="1"/>
  <c r="AM141" i="2" s="1"/>
  <c r="J142" i="1"/>
  <c r="J142" i="2" s="1"/>
  <c r="K142" i="1"/>
  <c r="K142" i="2" s="1"/>
  <c r="L142" i="1"/>
  <c r="L142" i="2" s="1"/>
  <c r="M142" i="1"/>
  <c r="M142" i="2" s="1"/>
  <c r="N142" i="1"/>
  <c r="N142" i="2" s="1"/>
  <c r="O142" i="1"/>
  <c r="O142" i="2" s="1"/>
  <c r="P142" i="1"/>
  <c r="P142" i="2" s="1"/>
  <c r="Q142" i="1"/>
  <c r="Q142" i="2" s="1"/>
  <c r="R142" i="1"/>
  <c r="R142" i="2" s="1"/>
  <c r="S142" i="1"/>
  <c r="S142" i="2" s="1"/>
  <c r="T142" i="1"/>
  <c r="T142" i="2" s="1"/>
  <c r="U142" i="1"/>
  <c r="U142" i="2" s="1"/>
  <c r="V142" i="1"/>
  <c r="V142" i="2" s="1"/>
  <c r="W142" i="1"/>
  <c r="W142" i="2" s="1"/>
  <c r="X142" i="1"/>
  <c r="X142" i="2" s="1"/>
  <c r="Y142" i="1"/>
  <c r="Y142" i="2" s="1"/>
  <c r="Z142" i="1"/>
  <c r="Z142" i="2" s="1"/>
  <c r="AA142" i="1"/>
  <c r="AA142" i="2" s="1"/>
  <c r="AB142" i="1"/>
  <c r="AB142" i="2" s="1"/>
  <c r="AC142" i="1"/>
  <c r="AC142" i="2" s="1"/>
  <c r="AD142" i="1"/>
  <c r="AD142" i="2" s="1"/>
  <c r="AE142" i="1"/>
  <c r="AE142" i="2" s="1"/>
  <c r="AF142" i="1"/>
  <c r="AF142" i="2" s="1"/>
  <c r="AG142" i="1"/>
  <c r="AG142" i="2" s="1"/>
  <c r="AH142" i="1"/>
  <c r="AH142" i="2" s="1"/>
  <c r="AI142" i="1"/>
  <c r="AI142" i="2" s="1"/>
  <c r="AJ142" i="1"/>
  <c r="AJ142" i="2" s="1"/>
  <c r="AK142" i="1"/>
  <c r="AK142" i="2" s="1"/>
  <c r="AL142" i="1"/>
  <c r="AL142" i="2" s="1"/>
  <c r="AM142" i="1"/>
  <c r="AM142" i="2" s="1"/>
  <c r="J143" i="1"/>
  <c r="J143" i="2" s="1"/>
  <c r="K143" i="1"/>
  <c r="K143" i="2" s="1"/>
  <c r="L143" i="1"/>
  <c r="L143" i="2" s="1"/>
  <c r="M143" i="1"/>
  <c r="M143" i="2" s="1"/>
  <c r="N143" i="1"/>
  <c r="N143" i="2" s="1"/>
  <c r="O143" i="1"/>
  <c r="O143" i="2" s="1"/>
  <c r="P143" i="1"/>
  <c r="P143" i="2" s="1"/>
  <c r="Q143" i="1"/>
  <c r="Q143" i="2" s="1"/>
  <c r="R143" i="1"/>
  <c r="R143" i="2" s="1"/>
  <c r="S143" i="1"/>
  <c r="S143" i="2" s="1"/>
  <c r="T143" i="1"/>
  <c r="T143" i="2" s="1"/>
  <c r="U143" i="1"/>
  <c r="U143" i="2" s="1"/>
  <c r="V143" i="1"/>
  <c r="V143" i="2" s="1"/>
  <c r="W143" i="1"/>
  <c r="W143" i="2" s="1"/>
  <c r="X143" i="1"/>
  <c r="X143" i="2" s="1"/>
  <c r="Y143" i="1"/>
  <c r="Y143" i="2" s="1"/>
  <c r="Z143" i="1"/>
  <c r="Z143" i="2" s="1"/>
  <c r="AA143" i="1"/>
  <c r="AA143" i="2" s="1"/>
  <c r="AB143" i="1"/>
  <c r="AB143" i="2" s="1"/>
  <c r="AC143" i="1"/>
  <c r="AC143" i="2" s="1"/>
  <c r="AD143" i="1"/>
  <c r="AD143" i="2" s="1"/>
  <c r="AE143" i="1"/>
  <c r="AE143" i="2" s="1"/>
  <c r="AF143" i="1"/>
  <c r="AF143" i="2" s="1"/>
  <c r="AG143" i="1"/>
  <c r="AG143" i="2" s="1"/>
  <c r="AH143" i="1"/>
  <c r="AH143" i="2" s="1"/>
  <c r="AI143" i="1"/>
  <c r="AI143" i="2" s="1"/>
  <c r="AJ143" i="1"/>
  <c r="AJ143" i="2" s="1"/>
  <c r="AK143" i="1"/>
  <c r="AK143" i="2" s="1"/>
  <c r="AL143" i="1"/>
  <c r="AL143" i="2" s="1"/>
  <c r="AM143" i="1"/>
  <c r="AM143" i="2" s="1"/>
  <c r="J144" i="1"/>
  <c r="J144" i="2" s="1"/>
  <c r="K144" i="1"/>
  <c r="K144" i="2" s="1"/>
  <c r="L144" i="1"/>
  <c r="L144" i="2" s="1"/>
  <c r="M144" i="1"/>
  <c r="M144" i="2" s="1"/>
  <c r="N144" i="1"/>
  <c r="N144" i="2" s="1"/>
  <c r="O144" i="1"/>
  <c r="O144" i="2" s="1"/>
  <c r="P144" i="1"/>
  <c r="P144" i="2" s="1"/>
  <c r="Q144" i="1"/>
  <c r="Q144" i="2" s="1"/>
  <c r="R144" i="1"/>
  <c r="R144" i="2" s="1"/>
  <c r="S144" i="1"/>
  <c r="S144" i="2" s="1"/>
  <c r="T144" i="1"/>
  <c r="T144" i="2" s="1"/>
  <c r="U144" i="1"/>
  <c r="U144" i="2" s="1"/>
  <c r="V144" i="1"/>
  <c r="V144" i="2" s="1"/>
  <c r="W144" i="1"/>
  <c r="W144" i="2" s="1"/>
  <c r="X144" i="1"/>
  <c r="X144" i="2" s="1"/>
  <c r="Y144" i="1"/>
  <c r="Y144" i="2" s="1"/>
  <c r="Z144" i="1"/>
  <c r="Z144" i="2" s="1"/>
  <c r="AA144" i="1"/>
  <c r="AA144" i="2" s="1"/>
  <c r="AB144" i="1"/>
  <c r="AB144" i="2" s="1"/>
  <c r="AC144" i="1"/>
  <c r="AC144" i="2" s="1"/>
  <c r="AD144" i="1"/>
  <c r="AD144" i="2" s="1"/>
  <c r="AE144" i="1"/>
  <c r="AE144" i="2" s="1"/>
  <c r="AF144" i="1"/>
  <c r="AF144" i="2" s="1"/>
  <c r="AG144" i="1"/>
  <c r="AG144" i="2" s="1"/>
  <c r="AH144" i="1"/>
  <c r="AH144" i="2" s="1"/>
  <c r="AI144" i="1"/>
  <c r="AI144" i="2" s="1"/>
  <c r="AJ144" i="1"/>
  <c r="AJ144" i="2" s="1"/>
  <c r="AK144" i="1"/>
  <c r="AK144" i="2" s="1"/>
  <c r="AL144" i="1"/>
  <c r="AL144" i="2" s="1"/>
  <c r="AM144" i="1"/>
  <c r="AM144" i="2" s="1"/>
  <c r="J145" i="1"/>
  <c r="J145" i="2" s="1"/>
  <c r="K145" i="1"/>
  <c r="K145" i="2" s="1"/>
  <c r="L145" i="1"/>
  <c r="L145" i="2" s="1"/>
  <c r="M145" i="1"/>
  <c r="M145" i="2" s="1"/>
  <c r="N145" i="1"/>
  <c r="N145" i="2" s="1"/>
  <c r="O145" i="1"/>
  <c r="O145" i="2" s="1"/>
  <c r="P145" i="1"/>
  <c r="P145" i="2" s="1"/>
  <c r="Q145" i="1"/>
  <c r="Q145" i="2" s="1"/>
  <c r="R145" i="1"/>
  <c r="R145" i="2" s="1"/>
  <c r="S145" i="1"/>
  <c r="S145" i="2" s="1"/>
  <c r="T145" i="1"/>
  <c r="T145" i="2" s="1"/>
  <c r="U145" i="1"/>
  <c r="U145" i="2" s="1"/>
  <c r="V145" i="1"/>
  <c r="V145" i="2" s="1"/>
  <c r="W145" i="1"/>
  <c r="W145" i="2" s="1"/>
  <c r="X145" i="1"/>
  <c r="X145" i="2" s="1"/>
  <c r="Y145" i="1"/>
  <c r="Y145" i="2" s="1"/>
  <c r="Z145" i="1"/>
  <c r="Z145" i="2" s="1"/>
  <c r="AA145" i="1"/>
  <c r="AA145" i="2" s="1"/>
  <c r="AB145" i="1"/>
  <c r="AB145" i="2" s="1"/>
  <c r="AC145" i="1"/>
  <c r="AC145" i="2" s="1"/>
  <c r="AD145" i="1"/>
  <c r="AD145" i="2" s="1"/>
  <c r="AE145" i="1"/>
  <c r="AE145" i="2" s="1"/>
  <c r="AF145" i="1"/>
  <c r="AF145" i="2" s="1"/>
  <c r="AG145" i="1"/>
  <c r="AG145" i="2" s="1"/>
  <c r="AH145" i="1"/>
  <c r="AH145" i="2" s="1"/>
  <c r="AI145" i="1"/>
  <c r="AI145" i="2" s="1"/>
  <c r="AJ145" i="1"/>
  <c r="AJ145" i="2" s="1"/>
  <c r="AK145" i="1"/>
  <c r="AK145" i="2" s="1"/>
  <c r="AL145" i="1"/>
  <c r="AL145" i="2" s="1"/>
  <c r="AM145" i="1"/>
  <c r="AM145" i="2" s="1"/>
  <c r="J146" i="1"/>
  <c r="J146" i="2" s="1"/>
  <c r="K146" i="1"/>
  <c r="K146" i="2" s="1"/>
  <c r="L146" i="1"/>
  <c r="L146" i="2" s="1"/>
  <c r="M146" i="1"/>
  <c r="M146" i="2" s="1"/>
  <c r="N146" i="1"/>
  <c r="N146" i="2" s="1"/>
  <c r="O146" i="1"/>
  <c r="O146" i="2" s="1"/>
  <c r="P146" i="1"/>
  <c r="P146" i="2" s="1"/>
  <c r="Q146" i="1"/>
  <c r="Q146" i="2" s="1"/>
  <c r="R146" i="1"/>
  <c r="R146" i="2" s="1"/>
  <c r="S146" i="1"/>
  <c r="S146" i="2" s="1"/>
  <c r="T146" i="1"/>
  <c r="T146" i="2" s="1"/>
  <c r="U146" i="1"/>
  <c r="U146" i="2" s="1"/>
  <c r="V146" i="1"/>
  <c r="V146" i="2" s="1"/>
  <c r="W146" i="1"/>
  <c r="W146" i="2" s="1"/>
  <c r="X146" i="1"/>
  <c r="X146" i="2" s="1"/>
  <c r="Y146" i="1"/>
  <c r="Y146" i="2" s="1"/>
  <c r="Z146" i="1"/>
  <c r="Z146" i="2" s="1"/>
  <c r="AA146" i="1"/>
  <c r="AA146" i="2" s="1"/>
  <c r="AB146" i="1"/>
  <c r="AB146" i="2" s="1"/>
  <c r="AC146" i="1"/>
  <c r="AC146" i="2" s="1"/>
  <c r="AD146" i="1"/>
  <c r="AD146" i="2" s="1"/>
  <c r="AE146" i="1"/>
  <c r="AE146" i="2" s="1"/>
  <c r="AF146" i="1"/>
  <c r="AF146" i="2" s="1"/>
  <c r="AG146" i="1"/>
  <c r="AG146" i="2" s="1"/>
  <c r="AH146" i="1"/>
  <c r="AH146" i="2" s="1"/>
  <c r="AI146" i="1"/>
  <c r="AI146" i="2" s="1"/>
  <c r="AJ146" i="1"/>
  <c r="AJ146" i="2" s="1"/>
  <c r="AK146" i="1"/>
  <c r="AK146" i="2" s="1"/>
  <c r="AL146" i="1"/>
  <c r="AL146" i="2" s="1"/>
  <c r="AM146" i="1"/>
  <c r="AM146" i="2" s="1"/>
  <c r="J147" i="1"/>
  <c r="J147" i="2" s="1"/>
  <c r="K147" i="1"/>
  <c r="K147" i="2" s="1"/>
  <c r="L147" i="1"/>
  <c r="L147" i="2" s="1"/>
  <c r="M147" i="1"/>
  <c r="M147" i="2" s="1"/>
  <c r="N147" i="1"/>
  <c r="N147" i="2" s="1"/>
  <c r="O147" i="1"/>
  <c r="O147" i="2" s="1"/>
  <c r="P147" i="1"/>
  <c r="P147" i="2" s="1"/>
  <c r="Q147" i="1"/>
  <c r="Q147" i="2" s="1"/>
  <c r="R147" i="1"/>
  <c r="R147" i="2" s="1"/>
  <c r="S147" i="1"/>
  <c r="S147" i="2" s="1"/>
  <c r="T147" i="1"/>
  <c r="T147" i="2" s="1"/>
  <c r="U147" i="1"/>
  <c r="U147" i="2" s="1"/>
  <c r="V147" i="1"/>
  <c r="V147" i="2" s="1"/>
  <c r="W147" i="1"/>
  <c r="W147" i="2" s="1"/>
  <c r="X147" i="1"/>
  <c r="X147" i="2" s="1"/>
  <c r="Y147" i="1"/>
  <c r="Y147" i="2" s="1"/>
  <c r="Z147" i="1"/>
  <c r="Z147" i="2" s="1"/>
  <c r="AA147" i="1"/>
  <c r="AA147" i="2" s="1"/>
  <c r="AB147" i="1"/>
  <c r="AB147" i="2" s="1"/>
  <c r="AC147" i="1"/>
  <c r="AC147" i="2" s="1"/>
  <c r="AD147" i="1"/>
  <c r="AD147" i="2" s="1"/>
  <c r="AE147" i="1"/>
  <c r="AE147" i="2" s="1"/>
  <c r="AF147" i="1"/>
  <c r="AF147" i="2" s="1"/>
  <c r="AG147" i="1"/>
  <c r="AG147" i="2" s="1"/>
  <c r="AH147" i="1"/>
  <c r="AH147" i="2" s="1"/>
  <c r="AI147" i="1"/>
  <c r="AI147" i="2" s="1"/>
  <c r="AJ147" i="1"/>
  <c r="AJ147" i="2" s="1"/>
  <c r="AK147" i="1"/>
  <c r="AK147" i="2" s="1"/>
  <c r="AL147" i="1"/>
  <c r="AL147" i="2" s="1"/>
  <c r="AM147" i="1"/>
  <c r="AM147" i="2" s="1"/>
  <c r="J148" i="1"/>
  <c r="J148" i="2" s="1"/>
  <c r="K148" i="1"/>
  <c r="K148" i="2" s="1"/>
  <c r="L148" i="1"/>
  <c r="L148" i="2" s="1"/>
  <c r="M148" i="1"/>
  <c r="M148" i="2" s="1"/>
  <c r="N148" i="1"/>
  <c r="N148" i="2" s="1"/>
  <c r="O148" i="1"/>
  <c r="O148" i="2" s="1"/>
  <c r="P148" i="1"/>
  <c r="P148" i="2" s="1"/>
  <c r="Q148" i="1"/>
  <c r="Q148" i="2" s="1"/>
  <c r="R148" i="1"/>
  <c r="R148" i="2" s="1"/>
  <c r="S148" i="1"/>
  <c r="S148" i="2" s="1"/>
  <c r="T148" i="1"/>
  <c r="T148" i="2" s="1"/>
  <c r="U148" i="1"/>
  <c r="U148" i="2" s="1"/>
  <c r="V148" i="1"/>
  <c r="V148" i="2" s="1"/>
  <c r="W148" i="1"/>
  <c r="W148" i="2" s="1"/>
  <c r="X148" i="1"/>
  <c r="X148" i="2" s="1"/>
  <c r="Y148" i="1"/>
  <c r="Y148" i="2" s="1"/>
  <c r="Z148" i="1"/>
  <c r="Z148" i="2" s="1"/>
  <c r="AA148" i="1"/>
  <c r="AA148" i="2" s="1"/>
  <c r="AB148" i="1"/>
  <c r="AB148" i="2" s="1"/>
  <c r="AC148" i="1"/>
  <c r="AC148" i="2" s="1"/>
  <c r="AD148" i="1"/>
  <c r="AD148" i="2" s="1"/>
  <c r="AE148" i="1"/>
  <c r="AE148" i="2" s="1"/>
  <c r="AF148" i="1"/>
  <c r="AF148" i="2" s="1"/>
  <c r="AG148" i="1"/>
  <c r="AG148" i="2" s="1"/>
  <c r="AH148" i="1"/>
  <c r="AH148" i="2" s="1"/>
  <c r="AI148" i="1"/>
  <c r="AI148" i="2" s="1"/>
  <c r="AJ148" i="1"/>
  <c r="AJ148" i="2" s="1"/>
  <c r="AK148" i="1"/>
  <c r="AK148" i="2" s="1"/>
  <c r="AL148" i="1"/>
  <c r="AL148" i="2" s="1"/>
  <c r="AM148" i="1"/>
  <c r="AM148" i="2" s="1"/>
  <c r="J149" i="1"/>
  <c r="J149" i="2" s="1"/>
  <c r="K149" i="1"/>
  <c r="K149" i="2" s="1"/>
  <c r="L149" i="1"/>
  <c r="L149" i="2" s="1"/>
  <c r="M149" i="1"/>
  <c r="M149" i="2" s="1"/>
  <c r="N149" i="1"/>
  <c r="N149" i="2" s="1"/>
  <c r="O149" i="1"/>
  <c r="O149" i="2" s="1"/>
  <c r="P149" i="1"/>
  <c r="P149" i="2" s="1"/>
  <c r="Q149" i="1"/>
  <c r="Q149" i="2" s="1"/>
  <c r="R149" i="1"/>
  <c r="R149" i="2" s="1"/>
  <c r="S149" i="1"/>
  <c r="S149" i="2" s="1"/>
  <c r="T149" i="1"/>
  <c r="T149" i="2" s="1"/>
  <c r="U149" i="1"/>
  <c r="U149" i="2" s="1"/>
  <c r="V149" i="1"/>
  <c r="V149" i="2" s="1"/>
  <c r="W149" i="1"/>
  <c r="W149" i="2" s="1"/>
  <c r="X149" i="1"/>
  <c r="X149" i="2" s="1"/>
  <c r="Y149" i="1"/>
  <c r="Y149" i="2" s="1"/>
  <c r="Z149" i="1"/>
  <c r="Z149" i="2" s="1"/>
  <c r="AA149" i="1"/>
  <c r="AA149" i="2" s="1"/>
  <c r="AB149" i="1"/>
  <c r="AB149" i="2" s="1"/>
  <c r="AC149" i="1"/>
  <c r="AC149" i="2" s="1"/>
  <c r="AD149" i="1"/>
  <c r="AD149" i="2" s="1"/>
  <c r="AE149" i="1"/>
  <c r="AE149" i="2" s="1"/>
  <c r="AF149" i="1"/>
  <c r="AF149" i="2" s="1"/>
  <c r="AG149" i="1"/>
  <c r="AG149" i="2" s="1"/>
  <c r="AH149" i="1"/>
  <c r="AH149" i="2" s="1"/>
  <c r="AI149" i="1"/>
  <c r="AI149" i="2" s="1"/>
  <c r="AJ149" i="1"/>
  <c r="AJ149" i="2" s="1"/>
  <c r="AK149" i="1"/>
  <c r="AK149" i="2" s="1"/>
  <c r="AL149" i="1"/>
  <c r="AL149" i="2" s="1"/>
  <c r="AM149" i="1"/>
  <c r="AM149" i="2" s="1"/>
  <c r="J150" i="1"/>
  <c r="J150" i="2" s="1"/>
  <c r="K150" i="1"/>
  <c r="K150" i="2" s="1"/>
  <c r="L150" i="1"/>
  <c r="L150" i="2" s="1"/>
  <c r="M150" i="1"/>
  <c r="M150" i="2" s="1"/>
  <c r="N150" i="1"/>
  <c r="N150" i="2" s="1"/>
  <c r="O150" i="1"/>
  <c r="O150" i="2" s="1"/>
  <c r="P150" i="1"/>
  <c r="P150" i="2" s="1"/>
  <c r="Q150" i="1"/>
  <c r="Q150" i="2" s="1"/>
  <c r="R150" i="1"/>
  <c r="R150" i="2" s="1"/>
  <c r="S150" i="1"/>
  <c r="S150" i="2" s="1"/>
  <c r="T150" i="1"/>
  <c r="T150" i="2" s="1"/>
  <c r="U150" i="1"/>
  <c r="U150" i="2" s="1"/>
  <c r="V150" i="1"/>
  <c r="V150" i="2" s="1"/>
  <c r="W150" i="1"/>
  <c r="W150" i="2" s="1"/>
  <c r="X150" i="1"/>
  <c r="X150" i="2" s="1"/>
  <c r="Y150" i="1"/>
  <c r="Y150" i="2" s="1"/>
  <c r="Z150" i="1"/>
  <c r="Z150" i="2" s="1"/>
  <c r="AA150" i="1"/>
  <c r="AA150" i="2" s="1"/>
  <c r="AB150" i="1"/>
  <c r="AB150" i="2" s="1"/>
  <c r="AC150" i="1"/>
  <c r="AC150" i="2" s="1"/>
  <c r="AD150" i="1"/>
  <c r="AD150" i="2" s="1"/>
  <c r="AE150" i="1"/>
  <c r="AE150" i="2" s="1"/>
  <c r="AF150" i="1"/>
  <c r="AF150" i="2" s="1"/>
  <c r="AG150" i="1"/>
  <c r="AG150" i="2" s="1"/>
  <c r="AH150" i="1"/>
  <c r="AH150" i="2" s="1"/>
  <c r="AI150" i="1"/>
  <c r="AI150" i="2" s="1"/>
  <c r="AJ150" i="1"/>
  <c r="AJ150" i="2" s="1"/>
  <c r="AK150" i="1"/>
  <c r="AK150" i="2" s="1"/>
  <c r="AL150" i="1"/>
  <c r="AL150" i="2" s="1"/>
  <c r="AM150" i="1"/>
  <c r="AM150" i="2" s="1"/>
  <c r="J151" i="1"/>
  <c r="J151" i="2" s="1"/>
  <c r="K151" i="1"/>
  <c r="K151" i="2" s="1"/>
  <c r="L151" i="1"/>
  <c r="L151" i="2" s="1"/>
  <c r="M151" i="1"/>
  <c r="M151" i="2" s="1"/>
  <c r="N151" i="1"/>
  <c r="N151" i="2" s="1"/>
  <c r="O151" i="1"/>
  <c r="O151" i="2" s="1"/>
  <c r="P151" i="1"/>
  <c r="P151" i="2" s="1"/>
  <c r="Q151" i="1"/>
  <c r="Q151" i="2" s="1"/>
  <c r="R151" i="1"/>
  <c r="R151" i="2" s="1"/>
  <c r="S151" i="1"/>
  <c r="S151" i="2" s="1"/>
  <c r="T151" i="1"/>
  <c r="T151" i="2" s="1"/>
  <c r="U151" i="1"/>
  <c r="U151" i="2" s="1"/>
  <c r="V151" i="1"/>
  <c r="V151" i="2" s="1"/>
  <c r="W151" i="1"/>
  <c r="W151" i="2" s="1"/>
  <c r="X151" i="1"/>
  <c r="X151" i="2" s="1"/>
  <c r="Y151" i="1"/>
  <c r="Y151" i="2" s="1"/>
  <c r="Z151" i="1"/>
  <c r="Z151" i="2" s="1"/>
  <c r="AA151" i="1"/>
  <c r="AA151" i="2" s="1"/>
  <c r="AB151" i="1"/>
  <c r="AB151" i="2" s="1"/>
  <c r="AC151" i="1"/>
  <c r="AC151" i="2" s="1"/>
  <c r="AD151" i="1"/>
  <c r="AD151" i="2" s="1"/>
  <c r="AE151" i="1"/>
  <c r="AE151" i="2" s="1"/>
  <c r="AF151" i="1"/>
  <c r="AF151" i="2" s="1"/>
  <c r="AG151" i="1"/>
  <c r="AG151" i="2" s="1"/>
  <c r="AH151" i="1"/>
  <c r="AH151" i="2" s="1"/>
  <c r="AI151" i="1"/>
  <c r="AI151" i="2" s="1"/>
  <c r="AJ151" i="1"/>
  <c r="AJ151" i="2" s="1"/>
  <c r="AK151" i="1"/>
  <c r="AK151" i="2" s="1"/>
  <c r="AL151" i="1"/>
  <c r="AL151" i="2" s="1"/>
  <c r="AM151" i="1"/>
  <c r="AM151" i="2" s="1"/>
  <c r="J152" i="1"/>
  <c r="J152" i="2" s="1"/>
  <c r="K152" i="1"/>
  <c r="K152" i="2" s="1"/>
  <c r="L152" i="1"/>
  <c r="L152" i="2" s="1"/>
  <c r="M152" i="1"/>
  <c r="M152" i="2" s="1"/>
  <c r="N152" i="1"/>
  <c r="N152" i="2" s="1"/>
  <c r="O152" i="1"/>
  <c r="O152" i="2" s="1"/>
  <c r="P152" i="1"/>
  <c r="P152" i="2" s="1"/>
  <c r="Q152" i="1"/>
  <c r="Q152" i="2" s="1"/>
  <c r="R152" i="1"/>
  <c r="R152" i="2" s="1"/>
  <c r="S152" i="1"/>
  <c r="S152" i="2" s="1"/>
  <c r="T152" i="1"/>
  <c r="T152" i="2" s="1"/>
  <c r="U152" i="1"/>
  <c r="U152" i="2" s="1"/>
  <c r="V152" i="1"/>
  <c r="V152" i="2" s="1"/>
  <c r="W152" i="1"/>
  <c r="W152" i="2" s="1"/>
  <c r="X152" i="1"/>
  <c r="X152" i="2" s="1"/>
  <c r="Y152" i="1"/>
  <c r="Y152" i="2" s="1"/>
  <c r="Z152" i="1"/>
  <c r="Z152" i="2" s="1"/>
  <c r="AA152" i="1"/>
  <c r="AA152" i="2" s="1"/>
  <c r="AB152" i="1"/>
  <c r="AB152" i="2" s="1"/>
  <c r="AC152" i="1"/>
  <c r="AC152" i="2" s="1"/>
  <c r="AD152" i="1"/>
  <c r="AD152" i="2" s="1"/>
  <c r="AE152" i="1"/>
  <c r="AE152" i="2" s="1"/>
  <c r="AF152" i="1"/>
  <c r="AF152" i="2" s="1"/>
  <c r="AG152" i="1"/>
  <c r="AG152" i="2" s="1"/>
  <c r="AH152" i="1"/>
  <c r="AH152" i="2" s="1"/>
  <c r="AI152" i="1"/>
  <c r="AI152" i="2" s="1"/>
  <c r="AJ152" i="1"/>
  <c r="AJ152" i="2" s="1"/>
  <c r="AK152" i="1"/>
  <c r="AK152" i="2" s="1"/>
  <c r="AL152" i="1"/>
  <c r="AL152" i="2" s="1"/>
  <c r="AM152" i="1"/>
  <c r="AM152" i="2" s="1"/>
  <c r="J153" i="1"/>
  <c r="J153" i="2" s="1"/>
  <c r="K153" i="1"/>
  <c r="K153" i="2" s="1"/>
  <c r="L153" i="1"/>
  <c r="L153" i="2" s="1"/>
  <c r="M153" i="1"/>
  <c r="M153" i="2" s="1"/>
  <c r="N153" i="1"/>
  <c r="N153" i="2" s="1"/>
  <c r="O153" i="1"/>
  <c r="O153" i="2" s="1"/>
  <c r="P153" i="1"/>
  <c r="P153" i="2" s="1"/>
  <c r="Q153" i="1"/>
  <c r="Q153" i="2" s="1"/>
  <c r="R153" i="1"/>
  <c r="R153" i="2" s="1"/>
  <c r="S153" i="1"/>
  <c r="S153" i="2" s="1"/>
  <c r="T153" i="1"/>
  <c r="T153" i="2" s="1"/>
  <c r="U153" i="1"/>
  <c r="U153" i="2" s="1"/>
  <c r="V153" i="1"/>
  <c r="V153" i="2" s="1"/>
  <c r="W153" i="1"/>
  <c r="W153" i="2" s="1"/>
  <c r="X153" i="1"/>
  <c r="X153" i="2" s="1"/>
  <c r="Y153" i="1"/>
  <c r="Y153" i="2" s="1"/>
  <c r="Z153" i="1"/>
  <c r="Z153" i="2" s="1"/>
  <c r="AA153" i="1"/>
  <c r="AA153" i="2" s="1"/>
  <c r="AB153" i="1"/>
  <c r="AB153" i="2" s="1"/>
  <c r="AC153" i="1"/>
  <c r="AC153" i="2" s="1"/>
  <c r="AD153" i="1"/>
  <c r="AD153" i="2" s="1"/>
  <c r="AE153" i="1"/>
  <c r="AE153" i="2" s="1"/>
  <c r="AF153" i="1"/>
  <c r="AF153" i="2" s="1"/>
  <c r="AG153" i="1"/>
  <c r="AG153" i="2" s="1"/>
  <c r="AH153" i="1"/>
  <c r="AH153" i="2" s="1"/>
  <c r="AI153" i="1"/>
  <c r="AI153" i="2" s="1"/>
  <c r="AJ153" i="1"/>
  <c r="AJ153" i="2" s="1"/>
  <c r="AK153" i="1"/>
  <c r="AK153" i="2" s="1"/>
  <c r="AL153" i="1"/>
  <c r="AL153" i="2" s="1"/>
  <c r="AM153" i="1"/>
  <c r="AM153" i="2" s="1"/>
  <c r="J154" i="1"/>
  <c r="J154" i="2" s="1"/>
  <c r="K154" i="1"/>
  <c r="K154" i="2" s="1"/>
  <c r="L154" i="1"/>
  <c r="L154" i="2" s="1"/>
  <c r="M154" i="1"/>
  <c r="M154" i="2" s="1"/>
  <c r="N154" i="1"/>
  <c r="N154" i="2" s="1"/>
  <c r="O154" i="1"/>
  <c r="O154" i="2" s="1"/>
  <c r="P154" i="1"/>
  <c r="P154" i="2" s="1"/>
  <c r="Q154" i="1"/>
  <c r="Q154" i="2" s="1"/>
  <c r="R154" i="1"/>
  <c r="R154" i="2" s="1"/>
  <c r="S154" i="1"/>
  <c r="S154" i="2" s="1"/>
  <c r="T154" i="1"/>
  <c r="T154" i="2" s="1"/>
  <c r="U154" i="1"/>
  <c r="U154" i="2" s="1"/>
  <c r="V154" i="1"/>
  <c r="V154" i="2" s="1"/>
  <c r="W154" i="1"/>
  <c r="W154" i="2" s="1"/>
  <c r="X154" i="1"/>
  <c r="X154" i="2" s="1"/>
  <c r="Y154" i="1"/>
  <c r="Y154" i="2" s="1"/>
  <c r="Z154" i="1"/>
  <c r="Z154" i="2" s="1"/>
  <c r="AA154" i="1"/>
  <c r="AA154" i="2" s="1"/>
  <c r="AB154" i="1"/>
  <c r="AB154" i="2" s="1"/>
  <c r="AC154" i="1"/>
  <c r="AC154" i="2" s="1"/>
  <c r="AD154" i="1"/>
  <c r="AD154" i="2" s="1"/>
  <c r="AE154" i="1"/>
  <c r="AE154" i="2" s="1"/>
  <c r="AF154" i="1"/>
  <c r="AF154" i="2" s="1"/>
  <c r="AG154" i="1"/>
  <c r="AG154" i="2" s="1"/>
  <c r="AH154" i="1"/>
  <c r="AH154" i="2" s="1"/>
  <c r="AI154" i="1"/>
  <c r="AI154" i="2" s="1"/>
  <c r="AJ154" i="1"/>
  <c r="AJ154" i="2" s="1"/>
  <c r="AK154" i="1"/>
  <c r="AK154" i="2" s="1"/>
  <c r="AL154" i="1"/>
  <c r="AL154" i="2" s="1"/>
  <c r="AM154" i="1"/>
  <c r="AM154" i="2" s="1"/>
  <c r="J155" i="1"/>
  <c r="J155" i="2" s="1"/>
  <c r="K155" i="1"/>
  <c r="K155" i="2" s="1"/>
  <c r="L155" i="1"/>
  <c r="L155" i="2" s="1"/>
  <c r="M155" i="1"/>
  <c r="M155" i="2" s="1"/>
  <c r="N155" i="1"/>
  <c r="N155" i="2" s="1"/>
  <c r="O155" i="1"/>
  <c r="O155" i="2" s="1"/>
  <c r="P155" i="1"/>
  <c r="P155" i="2" s="1"/>
  <c r="Q155" i="1"/>
  <c r="Q155" i="2" s="1"/>
  <c r="R155" i="1"/>
  <c r="R155" i="2" s="1"/>
  <c r="S155" i="1"/>
  <c r="S155" i="2" s="1"/>
  <c r="T155" i="1"/>
  <c r="T155" i="2" s="1"/>
  <c r="U155" i="1"/>
  <c r="U155" i="2" s="1"/>
  <c r="V155" i="1"/>
  <c r="V155" i="2" s="1"/>
  <c r="W155" i="1"/>
  <c r="W155" i="2" s="1"/>
  <c r="X155" i="1"/>
  <c r="X155" i="2" s="1"/>
  <c r="Y155" i="1"/>
  <c r="Y155" i="2" s="1"/>
  <c r="Z155" i="1"/>
  <c r="Z155" i="2" s="1"/>
  <c r="AA155" i="1"/>
  <c r="AA155" i="2" s="1"/>
  <c r="AB155" i="1"/>
  <c r="AB155" i="2" s="1"/>
  <c r="AC155" i="1"/>
  <c r="AC155" i="2" s="1"/>
  <c r="AD155" i="1"/>
  <c r="AD155" i="2" s="1"/>
  <c r="AE155" i="1"/>
  <c r="AE155" i="2" s="1"/>
  <c r="AF155" i="1"/>
  <c r="AF155" i="2" s="1"/>
  <c r="AG155" i="1"/>
  <c r="AG155" i="2" s="1"/>
  <c r="AH155" i="1"/>
  <c r="AH155" i="2" s="1"/>
  <c r="AI155" i="1"/>
  <c r="AI155" i="2" s="1"/>
  <c r="AJ155" i="1"/>
  <c r="AJ155" i="2" s="1"/>
  <c r="AK155" i="1"/>
  <c r="AK155" i="2" s="1"/>
  <c r="AL155" i="1"/>
  <c r="AL155" i="2" s="1"/>
  <c r="AM155" i="1"/>
  <c r="AM155" i="2" s="1"/>
  <c r="J156" i="1"/>
  <c r="J156" i="2" s="1"/>
  <c r="K156" i="1"/>
  <c r="K156" i="2" s="1"/>
  <c r="L156" i="1"/>
  <c r="L156" i="2" s="1"/>
  <c r="M156" i="1"/>
  <c r="M156" i="2" s="1"/>
  <c r="N156" i="1"/>
  <c r="N156" i="2" s="1"/>
  <c r="O156" i="1"/>
  <c r="O156" i="2" s="1"/>
  <c r="P156" i="1"/>
  <c r="P156" i="2" s="1"/>
  <c r="Q156" i="1"/>
  <c r="Q156" i="2" s="1"/>
  <c r="R156" i="1"/>
  <c r="R156" i="2" s="1"/>
  <c r="S156" i="1"/>
  <c r="S156" i="2" s="1"/>
  <c r="T156" i="1"/>
  <c r="T156" i="2" s="1"/>
  <c r="U156" i="1"/>
  <c r="U156" i="2" s="1"/>
  <c r="V156" i="1"/>
  <c r="V156" i="2" s="1"/>
  <c r="W156" i="1"/>
  <c r="W156" i="2" s="1"/>
  <c r="X156" i="1"/>
  <c r="X156" i="2" s="1"/>
  <c r="Y156" i="1"/>
  <c r="Y156" i="2" s="1"/>
  <c r="Z156" i="1"/>
  <c r="Z156" i="2" s="1"/>
  <c r="AA156" i="1"/>
  <c r="AA156" i="2" s="1"/>
  <c r="AB156" i="1"/>
  <c r="AB156" i="2" s="1"/>
  <c r="AC156" i="1"/>
  <c r="AC156" i="2" s="1"/>
  <c r="AD156" i="1"/>
  <c r="AD156" i="2" s="1"/>
  <c r="AE156" i="1"/>
  <c r="AE156" i="2" s="1"/>
  <c r="AF156" i="1"/>
  <c r="AF156" i="2" s="1"/>
  <c r="AG156" i="1"/>
  <c r="AG156" i="2" s="1"/>
  <c r="AH156" i="1"/>
  <c r="AH156" i="2" s="1"/>
  <c r="AI156" i="1"/>
  <c r="AI156" i="2" s="1"/>
  <c r="AJ156" i="1"/>
  <c r="AJ156" i="2" s="1"/>
  <c r="AK156" i="1"/>
  <c r="AK156" i="2" s="1"/>
  <c r="AL156" i="1"/>
  <c r="AL156" i="2" s="1"/>
  <c r="AM156" i="1"/>
  <c r="AM156" i="2" s="1"/>
  <c r="J157" i="1"/>
  <c r="J157" i="2" s="1"/>
  <c r="K157" i="1"/>
  <c r="K157" i="2" s="1"/>
  <c r="L157" i="1"/>
  <c r="L157" i="2" s="1"/>
  <c r="M157" i="1"/>
  <c r="M157" i="2" s="1"/>
  <c r="N157" i="1"/>
  <c r="N157" i="2" s="1"/>
  <c r="O157" i="1"/>
  <c r="O157" i="2" s="1"/>
  <c r="P157" i="1"/>
  <c r="P157" i="2" s="1"/>
  <c r="Q157" i="1"/>
  <c r="Q157" i="2" s="1"/>
  <c r="R157" i="1"/>
  <c r="R157" i="2" s="1"/>
  <c r="S157" i="1"/>
  <c r="S157" i="2" s="1"/>
  <c r="T157" i="1"/>
  <c r="T157" i="2" s="1"/>
  <c r="U157" i="1"/>
  <c r="U157" i="2" s="1"/>
  <c r="V157" i="1"/>
  <c r="V157" i="2" s="1"/>
  <c r="W157" i="1"/>
  <c r="W157" i="2" s="1"/>
  <c r="X157" i="1"/>
  <c r="X157" i="2" s="1"/>
  <c r="Y157" i="1"/>
  <c r="Y157" i="2" s="1"/>
  <c r="Z157" i="1"/>
  <c r="Z157" i="2" s="1"/>
  <c r="AA157" i="1"/>
  <c r="AA157" i="2" s="1"/>
  <c r="AB157" i="1"/>
  <c r="AB157" i="2" s="1"/>
  <c r="AC157" i="1"/>
  <c r="AC157" i="2" s="1"/>
  <c r="AD157" i="1"/>
  <c r="AD157" i="2" s="1"/>
  <c r="AE157" i="1"/>
  <c r="AE157" i="2" s="1"/>
  <c r="AF157" i="1"/>
  <c r="AF157" i="2" s="1"/>
  <c r="AG157" i="1"/>
  <c r="AG157" i="2" s="1"/>
  <c r="AH157" i="1"/>
  <c r="AH157" i="2" s="1"/>
  <c r="AI157" i="1"/>
  <c r="AI157" i="2" s="1"/>
  <c r="AJ157" i="1"/>
  <c r="AJ157" i="2" s="1"/>
  <c r="AK157" i="1"/>
  <c r="AK157" i="2" s="1"/>
  <c r="AL157" i="1"/>
  <c r="AL157" i="2" s="1"/>
  <c r="AM157" i="1"/>
  <c r="AM157" i="2" s="1"/>
  <c r="J158" i="1"/>
  <c r="J158" i="2" s="1"/>
  <c r="K158" i="1"/>
  <c r="K158" i="2" s="1"/>
  <c r="L158" i="1"/>
  <c r="L158" i="2" s="1"/>
  <c r="M158" i="1"/>
  <c r="M158" i="2" s="1"/>
  <c r="N158" i="1"/>
  <c r="N158" i="2" s="1"/>
  <c r="O158" i="1"/>
  <c r="O158" i="2" s="1"/>
  <c r="P158" i="1"/>
  <c r="P158" i="2" s="1"/>
  <c r="Q158" i="1"/>
  <c r="Q158" i="2" s="1"/>
  <c r="R158" i="1"/>
  <c r="R158" i="2" s="1"/>
  <c r="S158" i="1"/>
  <c r="S158" i="2" s="1"/>
  <c r="T158" i="1"/>
  <c r="T158" i="2" s="1"/>
  <c r="U158" i="1"/>
  <c r="U158" i="2" s="1"/>
  <c r="V158" i="1"/>
  <c r="V158" i="2" s="1"/>
  <c r="W158" i="1"/>
  <c r="W158" i="2" s="1"/>
  <c r="X158" i="1"/>
  <c r="X158" i="2" s="1"/>
  <c r="Y158" i="1"/>
  <c r="Y158" i="2" s="1"/>
  <c r="Z158" i="1"/>
  <c r="Z158" i="2" s="1"/>
  <c r="AA158" i="1"/>
  <c r="AA158" i="2" s="1"/>
  <c r="AB158" i="1"/>
  <c r="AB158" i="2" s="1"/>
  <c r="AC158" i="1"/>
  <c r="AC158" i="2" s="1"/>
  <c r="AD158" i="1"/>
  <c r="AD158" i="2" s="1"/>
  <c r="AE158" i="1"/>
  <c r="AE158" i="2" s="1"/>
  <c r="AF158" i="1"/>
  <c r="AF158" i="2" s="1"/>
  <c r="AG158" i="1"/>
  <c r="AG158" i="2" s="1"/>
  <c r="AH158" i="1"/>
  <c r="AH158" i="2" s="1"/>
  <c r="AI158" i="1"/>
  <c r="AI158" i="2" s="1"/>
  <c r="AJ158" i="1"/>
  <c r="AJ158" i="2" s="1"/>
  <c r="AK158" i="1"/>
  <c r="AK158" i="2" s="1"/>
  <c r="AL158" i="1"/>
  <c r="AL158" i="2" s="1"/>
  <c r="AM158" i="1"/>
  <c r="AM158" i="2" s="1"/>
  <c r="J159" i="1"/>
  <c r="J159" i="2" s="1"/>
  <c r="K159" i="1"/>
  <c r="K159" i="2" s="1"/>
  <c r="L159" i="1"/>
  <c r="L159" i="2" s="1"/>
  <c r="M159" i="1"/>
  <c r="M159" i="2" s="1"/>
  <c r="N159" i="1"/>
  <c r="N159" i="2" s="1"/>
  <c r="O159" i="1"/>
  <c r="O159" i="2" s="1"/>
  <c r="P159" i="1"/>
  <c r="P159" i="2" s="1"/>
  <c r="Q159" i="1"/>
  <c r="Q159" i="2" s="1"/>
  <c r="R159" i="1"/>
  <c r="R159" i="2" s="1"/>
  <c r="S159" i="1"/>
  <c r="S159" i="2" s="1"/>
  <c r="T159" i="1"/>
  <c r="T159" i="2" s="1"/>
  <c r="U159" i="1"/>
  <c r="U159" i="2" s="1"/>
  <c r="V159" i="1"/>
  <c r="V159" i="2" s="1"/>
  <c r="W159" i="1"/>
  <c r="W159" i="2" s="1"/>
  <c r="X159" i="1"/>
  <c r="X159" i="2" s="1"/>
  <c r="Y159" i="1"/>
  <c r="Y159" i="2" s="1"/>
  <c r="Z159" i="1"/>
  <c r="Z159" i="2" s="1"/>
  <c r="AA159" i="1"/>
  <c r="AA159" i="2" s="1"/>
  <c r="AB159" i="1"/>
  <c r="AB159" i="2" s="1"/>
  <c r="AC159" i="1"/>
  <c r="AC159" i="2" s="1"/>
  <c r="AD159" i="1"/>
  <c r="AD159" i="2" s="1"/>
  <c r="AE159" i="1"/>
  <c r="AE159" i="2" s="1"/>
  <c r="AF159" i="1"/>
  <c r="AF159" i="2" s="1"/>
  <c r="AG159" i="1"/>
  <c r="AG159" i="2" s="1"/>
  <c r="AH159" i="1"/>
  <c r="AH159" i="2" s="1"/>
  <c r="AI159" i="1"/>
  <c r="AI159" i="2" s="1"/>
  <c r="AJ159" i="1"/>
  <c r="AJ159" i="2" s="1"/>
  <c r="AK159" i="1"/>
  <c r="AK159" i="2" s="1"/>
  <c r="AL159" i="1"/>
  <c r="AL159" i="2" s="1"/>
  <c r="AM159" i="1"/>
  <c r="AM159" i="2" s="1"/>
  <c r="J160" i="1"/>
  <c r="J160" i="2" s="1"/>
  <c r="K160" i="1"/>
  <c r="K160" i="2" s="1"/>
  <c r="L160" i="1"/>
  <c r="L160" i="2" s="1"/>
  <c r="M160" i="1"/>
  <c r="M160" i="2" s="1"/>
  <c r="N160" i="1"/>
  <c r="N160" i="2" s="1"/>
  <c r="O160" i="1"/>
  <c r="O160" i="2" s="1"/>
  <c r="P160" i="1"/>
  <c r="P160" i="2" s="1"/>
  <c r="Q160" i="1"/>
  <c r="Q160" i="2" s="1"/>
  <c r="R160" i="1"/>
  <c r="R160" i="2" s="1"/>
  <c r="S160" i="1"/>
  <c r="S160" i="2" s="1"/>
  <c r="T160" i="1"/>
  <c r="T160" i="2" s="1"/>
  <c r="U160" i="1"/>
  <c r="U160" i="2" s="1"/>
  <c r="V160" i="1"/>
  <c r="V160" i="2" s="1"/>
  <c r="W160" i="1"/>
  <c r="W160" i="2" s="1"/>
  <c r="X160" i="1"/>
  <c r="X160" i="2" s="1"/>
  <c r="Y160" i="1"/>
  <c r="Y160" i="2" s="1"/>
  <c r="Z160" i="1"/>
  <c r="Z160" i="2" s="1"/>
  <c r="AA160" i="1"/>
  <c r="AA160" i="2" s="1"/>
  <c r="AB160" i="1"/>
  <c r="AB160" i="2" s="1"/>
  <c r="AC160" i="1"/>
  <c r="AC160" i="2" s="1"/>
  <c r="AD160" i="1"/>
  <c r="AD160" i="2" s="1"/>
  <c r="AE160" i="1"/>
  <c r="AE160" i="2" s="1"/>
  <c r="AF160" i="1"/>
  <c r="AF160" i="2" s="1"/>
  <c r="AG160" i="1"/>
  <c r="AG160" i="2" s="1"/>
  <c r="AH160" i="1"/>
  <c r="AH160" i="2" s="1"/>
  <c r="AI160" i="1"/>
  <c r="AI160" i="2" s="1"/>
  <c r="AJ160" i="1"/>
  <c r="AJ160" i="2" s="1"/>
  <c r="AK160" i="1"/>
  <c r="AK160" i="2" s="1"/>
  <c r="AL160" i="1"/>
  <c r="AL160" i="2" s="1"/>
  <c r="AM160" i="1"/>
  <c r="AM160" i="2" s="1"/>
  <c r="J161" i="1"/>
  <c r="J161" i="2" s="1"/>
  <c r="K161" i="1"/>
  <c r="K161" i="2" s="1"/>
  <c r="L161" i="1"/>
  <c r="L161" i="2" s="1"/>
  <c r="M161" i="1"/>
  <c r="M161" i="2" s="1"/>
  <c r="N161" i="1"/>
  <c r="N161" i="2" s="1"/>
  <c r="O161" i="1"/>
  <c r="O161" i="2" s="1"/>
  <c r="P161" i="1"/>
  <c r="P161" i="2" s="1"/>
  <c r="Q161" i="1"/>
  <c r="Q161" i="2" s="1"/>
  <c r="R161" i="1"/>
  <c r="R161" i="2" s="1"/>
  <c r="S161" i="1"/>
  <c r="S161" i="2" s="1"/>
  <c r="T161" i="1"/>
  <c r="T161" i="2" s="1"/>
  <c r="U161" i="1"/>
  <c r="U161" i="2" s="1"/>
  <c r="V161" i="1"/>
  <c r="V161" i="2" s="1"/>
  <c r="W161" i="1"/>
  <c r="W161" i="2" s="1"/>
  <c r="X161" i="1"/>
  <c r="X161" i="2" s="1"/>
  <c r="Y161" i="1"/>
  <c r="Y161" i="2" s="1"/>
  <c r="Z161" i="1"/>
  <c r="Z161" i="2" s="1"/>
  <c r="AA161" i="1"/>
  <c r="AA161" i="2" s="1"/>
  <c r="AB161" i="1"/>
  <c r="AB161" i="2" s="1"/>
  <c r="AC161" i="1"/>
  <c r="AC161" i="2" s="1"/>
  <c r="AD161" i="1"/>
  <c r="AD161" i="2" s="1"/>
  <c r="AE161" i="1"/>
  <c r="AE161" i="2" s="1"/>
  <c r="AF161" i="1"/>
  <c r="AF161" i="2" s="1"/>
  <c r="AG161" i="1"/>
  <c r="AG161" i="2" s="1"/>
  <c r="AH161" i="1"/>
  <c r="AH161" i="2" s="1"/>
  <c r="AI161" i="1"/>
  <c r="AI161" i="2" s="1"/>
  <c r="AJ161" i="1"/>
  <c r="AJ161" i="2" s="1"/>
  <c r="AK161" i="1"/>
  <c r="AK161" i="2" s="1"/>
  <c r="AL161" i="1"/>
  <c r="AL161" i="2" s="1"/>
  <c r="AM161" i="1"/>
  <c r="AM161" i="2" s="1"/>
  <c r="J162" i="1"/>
  <c r="J162" i="2" s="1"/>
  <c r="K162" i="1"/>
  <c r="K162" i="2" s="1"/>
  <c r="L162" i="1"/>
  <c r="L162" i="2" s="1"/>
  <c r="M162" i="1"/>
  <c r="M162" i="2" s="1"/>
  <c r="N162" i="1"/>
  <c r="N162" i="2" s="1"/>
  <c r="O162" i="1"/>
  <c r="O162" i="2" s="1"/>
  <c r="P162" i="1"/>
  <c r="P162" i="2" s="1"/>
  <c r="Q162" i="1"/>
  <c r="Q162" i="2" s="1"/>
  <c r="R162" i="1"/>
  <c r="R162" i="2" s="1"/>
  <c r="S162" i="1"/>
  <c r="S162" i="2" s="1"/>
  <c r="T162" i="1"/>
  <c r="T162" i="2" s="1"/>
  <c r="U162" i="1"/>
  <c r="U162" i="2" s="1"/>
  <c r="V162" i="1"/>
  <c r="V162" i="2" s="1"/>
  <c r="W162" i="1"/>
  <c r="W162" i="2" s="1"/>
  <c r="X162" i="1"/>
  <c r="X162" i="2" s="1"/>
  <c r="Y162" i="1"/>
  <c r="Y162" i="2" s="1"/>
  <c r="Z162" i="1"/>
  <c r="Z162" i="2" s="1"/>
  <c r="AA162" i="1"/>
  <c r="AA162" i="2" s="1"/>
  <c r="AB162" i="1"/>
  <c r="AB162" i="2" s="1"/>
  <c r="AC162" i="1"/>
  <c r="AC162" i="2" s="1"/>
  <c r="AD162" i="1"/>
  <c r="AD162" i="2" s="1"/>
  <c r="AE162" i="1"/>
  <c r="AE162" i="2" s="1"/>
  <c r="AF162" i="1"/>
  <c r="AF162" i="2" s="1"/>
  <c r="AG162" i="1"/>
  <c r="AG162" i="2" s="1"/>
  <c r="AH162" i="1"/>
  <c r="AH162" i="2" s="1"/>
  <c r="AI162" i="1"/>
  <c r="AI162" i="2" s="1"/>
  <c r="AJ162" i="1"/>
  <c r="AJ162" i="2" s="1"/>
  <c r="AK162" i="1"/>
  <c r="AK162" i="2" s="1"/>
  <c r="AL162" i="1"/>
  <c r="AL162" i="2" s="1"/>
  <c r="AM162" i="1"/>
  <c r="AM162" i="2" s="1"/>
  <c r="J163" i="1"/>
  <c r="J163" i="2" s="1"/>
  <c r="K163" i="1"/>
  <c r="K163" i="2" s="1"/>
  <c r="L163" i="1"/>
  <c r="L163" i="2" s="1"/>
  <c r="M163" i="1"/>
  <c r="M163" i="2" s="1"/>
  <c r="N163" i="1"/>
  <c r="N163" i="2" s="1"/>
  <c r="O163" i="1"/>
  <c r="O163" i="2" s="1"/>
  <c r="P163" i="1"/>
  <c r="P163" i="2" s="1"/>
  <c r="Q163" i="1"/>
  <c r="Q163" i="2" s="1"/>
  <c r="R163" i="1"/>
  <c r="R163" i="2" s="1"/>
  <c r="S163" i="1"/>
  <c r="S163" i="2" s="1"/>
  <c r="T163" i="1"/>
  <c r="T163" i="2" s="1"/>
  <c r="U163" i="1"/>
  <c r="U163" i="2" s="1"/>
  <c r="V163" i="1"/>
  <c r="V163" i="2" s="1"/>
  <c r="W163" i="1"/>
  <c r="W163" i="2" s="1"/>
  <c r="X163" i="1"/>
  <c r="X163" i="2" s="1"/>
  <c r="Y163" i="1"/>
  <c r="Y163" i="2" s="1"/>
  <c r="Z163" i="1"/>
  <c r="Z163" i="2" s="1"/>
  <c r="AA163" i="1"/>
  <c r="AA163" i="2" s="1"/>
  <c r="AB163" i="1"/>
  <c r="AB163" i="2" s="1"/>
  <c r="AC163" i="1"/>
  <c r="AC163" i="2" s="1"/>
  <c r="AD163" i="1"/>
  <c r="AD163" i="2" s="1"/>
  <c r="AE163" i="1"/>
  <c r="AE163" i="2" s="1"/>
  <c r="AF163" i="1"/>
  <c r="AF163" i="2" s="1"/>
  <c r="AG163" i="1"/>
  <c r="AG163" i="2" s="1"/>
  <c r="AH163" i="1"/>
  <c r="AH163" i="2" s="1"/>
  <c r="AI163" i="1"/>
  <c r="AI163" i="2" s="1"/>
  <c r="AJ163" i="1"/>
  <c r="AJ163" i="2" s="1"/>
  <c r="AK163" i="1"/>
  <c r="AK163" i="2" s="1"/>
  <c r="AL163" i="1"/>
  <c r="AL163" i="2" s="1"/>
  <c r="AM163" i="1"/>
  <c r="AM163" i="2" s="1"/>
  <c r="J164" i="1"/>
  <c r="J164" i="2" s="1"/>
  <c r="K164" i="1"/>
  <c r="K164" i="2" s="1"/>
  <c r="L164" i="1"/>
  <c r="L164" i="2" s="1"/>
  <c r="M164" i="1"/>
  <c r="M164" i="2" s="1"/>
  <c r="N164" i="1"/>
  <c r="N164" i="2" s="1"/>
  <c r="O164" i="1"/>
  <c r="O164" i="2" s="1"/>
  <c r="P164" i="1"/>
  <c r="P164" i="2" s="1"/>
  <c r="Q164" i="1"/>
  <c r="Q164" i="2" s="1"/>
  <c r="R164" i="1"/>
  <c r="R164" i="2" s="1"/>
  <c r="S164" i="1"/>
  <c r="S164" i="2" s="1"/>
  <c r="T164" i="1"/>
  <c r="T164" i="2" s="1"/>
  <c r="U164" i="1"/>
  <c r="U164" i="2" s="1"/>
  <c r="V164" i="1"/>
  <c r="V164" i="2" s="1"/>
  <c r="W164" i="1"/>
  <c r="W164" i="2" s="1"/>
  <c r="X164" i="1"/>
  <c r="X164" i="2" s="1"/>
  <c r="Y164" i="1"/>
  <c r="Y164" i="2" s="1"/>
  <c r="Z164" i="1"/>
  <c r="Z164" i="2" s="1"/>
  <c r="AA164" i="1"/>
  <c r="AA164" i="2" s="1"/>
  <c r="AB164" i="1"/>
  <c r="AB164" i="2" s="1"/>
  <c r="AC164" i="1"/>
  <c r="AC164" i="2" s="1"/>
  <c r="AD164" i="1"/>
  <c r="AD164" i="2" s="1"/>
  <c r="AE164" i="1"/>
  <c r="AE164" i="2" s="1"/>
  <c r="AF164" i="1"/>
  <c r="AF164" i="2" s="1"/>
  <c r="AG164" i="1"/>
  <c r="AG164" i="2" s="1"/>
  <c r="AH164" i="1"/>
  <c r="AH164" i="2" s="1"/>
  <c r="AI164" i="1"/>
  <c r="AI164" i="2" s="1"/>
  <c r="AJ164" i="1"/>
  <c r="AJ164" i="2" s="1"/>
  <c r="AK164" i="1"/>
  <c r="AK164" i="2" s="1"/>
  <c r="AL164" i="1"/>
  <c r="AL164" i="2" s="1"/>
  <c r="AM164" i="1"/>
  <c r="AM164" i="2" s="1"/>
  <c r="J165" i="1"/>
  <c r="J165" i="2" s="1"/>
  <c r="K165" i="1"/>
  <c r="K165" i="2" s="1"/>
  <c r="L165" i="1"/>
  <c r="L165" i="2" s="1"/>
  <c r="M165" i="1"/>
  <c r="M165" i="2" s="1"/>
  <c r="N165" i="1"/>
  <c r="N165" i="2" s="1"/>
  <c r="O165" i="1"/>
  <c r="O165" i="2" s="1"/>
  <c r="P165" i="1"/>
  <c r="P165" i="2" s="1"/>
  <c r="Q165" i="1"/>
  <c r="Q165" i="2" s="1"/>
  <c r="R165" i="1"/>
  <c r="R165" i="2" s="1"/>
  <c r="S165" i="1"/>
  <c r="S165" i="2" s="1"/>
  <c r="T165" i="1"/>
  <c r="T165" i="2" s="1"/>
  <c r="U165" i="1"/>
  <c r="U165" i="2" s="1"/>
  <c r="V165" i="1"/>
  <c r="V165" i="2" s="1"/>
  <c r="W165" i="1"/>
  <c r="W165" i="2" s="1"/>
  <c r="X165" i="1"/>
  <c r="X165" i="2" s="1"/>
  <c r="Y165" i="1"/>
  <c r="Y165" i="2" s="1"/>
  <c r="Z165" i="1"/>
  <c r="Z165" i="2" s="1"/>
  <c r="AA165" i="1"/>
  <c r="AA165" i="2" s="1"/>
  <c r="AB165" i="1"/>
  <c r="AB165" i="2" s="1"/>
  <c r="AC165" i="1"/>
  <c r="AC165" i="2" s="1"/>
  <c r="AD165" i="1"/>
  <c r="AD165" i="2" s="1"/>
  <c r="AE165" i="1"/>
  <c r="AE165" i="2" s="1"/>
  <c r="AF165" i="1"/>
  <c r="AF165" i="2" s="1"/>
  <c r="AG165" i="1"/>
  <c r="AG165" i="2" s="1"/>
  <c r="AH165" i="1"/>
  <c r="AH165" i="2" s="1"/>
  <c r="AI165" i="1"/>
  <c r="AI165" i="2" s="1"/>
  <c r="AJ165" i="1"/>
  <c r="AJ165" i="2" s="1"/>
  <c r="AK165" i="1"/>
  <c r="AK165" i="2" s="1"/>
  <c r="AL165" i="1"/>
  <c r="AL165" i="2" s="1"/>
  <c r="AM165" i="1"/>
  <c r="AM165" i="2" s="1"/>
  <c r="J166" i="1"/>
  <c r="J166" i="2" s="1"/>
  <c r="K166" i="1"/>
  <c r="K166" i="2" s="1"/>
  <c r="L166" i="1"/>
  <c r="L166" i="2" s="1"/>
  <c r="M166" i="1"/>
  <c r="M166" i="2" s="1"/>
  <c r="N166" i="1"/>
  <c r="N166" i="2" s="1"/>
  <c r="O166" i="1"/>
  <c r="O166" i="2" s="1"/>
  <c r="P166" i="1"/>
  <c r="P166" i="2" s="1"/>
  <c r="Q166" i="1"/>
  <c r="Q166" i="2" s="1"/>
  <c r="R166" i="1"/>
  <c r="R166" i="2" s="1"/>
  <c r="S166" i="1"/>
  <c r="S166" i="2" s="1"/>
  <c r="T166" i="1"/>
  <c r="T166" i="2" s="1"/>
  <c r="U166" i="1"/>
  <c r="U166" i="2" s="1"/>
  <c r="V166" i="1"/>
  <c r="V166" i="2" s="1"/>
  <c r="W166" i="1"/>
  <c r="W166" i="2" s="1"/>
  <c r="X166" i="1"/>
  <c r="X166" i="2" s="1"/>
  <c r="Y166" i="1"/>
  <c r="Y166" i="2" s="1"/>
  <c r="Z166" i="1"/>
  <c r="Z166" i="2" s="1"/>
  <c r="AA166" i="1"/>
  <c r="AA166" i="2" s="1"/>
  <c r="AB166" i="1"/>
  <c r="AB166" i="2" s="1"/>
  <c r="AC166" i="1"/>
  <c r="AC166" i="2" s="1"/>
  <c r="AD166" i="1"/>
  <c r="AD166" i="2" s="1"/>
  <c r="AE166" i="1"/>
  <c r="AE166" i="2" s="1"/>
  <c r="AF166" i="1"/>
  <c r="AF166" i="2" s="1"/>
  <c r="AG166" i="1"/>
  <c r="AG166" i="2" s="1"/>
  <c r="AH166" i="1"/>
  <c r="AH166" i="2" s="1"/>
  <c r="AI166" i="1"/>
  <c r="AI166" i="2" s="1"/>
  <c r="AJ166" i="1"/>
  <c r="AJ166" i="2" s="1"/>
  <c r="AK166" i="1"/>
  <c r="AK166" i="2" s="1"/>
  <c r="AL166" i="1"/>
  <c r="AL166" i="2" s="1"/>
  <c r="AM166" i="1"/>
  <c r="AM166" i="2" s="1"/>
  <c r="J167" i="1"/>
  <c r="J167" i="2" s="1"/>
  <c r="K167" i="1"/>
  <c r="K167" i="2" s="1"/>
  <c r="L167" i="1"/>
  <c r="L167" i="2" s="1"/>
  <c r="M167" i="1"/>
  <c r="M167" i="2" s="1"/>
  <c r="N167" i="1"/>
  <c r="N167" i="2" s="1"/>
  <c r="O167" i="1"/>
  <c r="O167" i="2" s="1"/>
  <c r="P167" i="1"/>
  <c r="P167" i="2" s="1"/>
  <c r="Q167" i="1"/>
  <c r="Q167" i="2" s="1"/>
  <c r="R167" i="1"/>
  <c r="R167" i="2" s="1"/>
  <c r="S167" i="1"/>
  <c r="S167" i="2" s="1"/>
  <c r="T167" i="1"/>
  <c r="T167" i="2" s="1"/>
  <c r="U167" i="1"/>
  <c r="U167" i="2" s="1"/>
  <c r="V167" i="1"/>
  <c r="V167" i="2" s="1"/>
  <c r="W167" i="1"/>
  <c r="W167" i="2" s="1"/>
  <c r="X167" i="1"/>
  <c r="X167" i="2" s="1"/>
  <c r="Y167" i="1"/>
  <c r="Y167" i="2" s="1"/>
  <c r="Z167" i="1"/>
  <c r="Z167" i="2" s="1"/>
  <c r="AA167" i="1"/>
  <c r="AA167" i="2" s="1"/>
  <c r="AB167" i="1"/>
  <c r="AB167" i="2" s="1"/>
  <c r="AC167" i="1"/>
  <c r="AC167" i="2" s="1"/>
  <c r="AD167" i="1"/>
  <c r="AD167" i="2" s="1"/>
  <c r="AE167" i="1"/>
  <c r="AE167" i="2" s="1"/>
  <c r="AF167" i="1"/>
  <c r="AF167" i="2" s="1"/>
  <c r="AG167" i="1"/>
  <c r="AG167" i="2" s="1"/>
  <c r="AH167" i="1"/>
  <c r="AH167" i="2" s="1"/>
  <c r="AI167" i="1"/>
  <c r="AI167" i="2" s="1"/>
  <c r="AJ167" i="1"/>
  <c r="AJ167" i="2" s="1"/>
  <c r="AK167" i="1"/>
  <c r="AK167" i="2" s="1"/>
  <c r="AL167" i="1"/>
  <c r="AL167" i="2" s="1"/>
  <c r="AM167" i="1"/>
  <c r="AM167" i="2" s="1"/>
  <c r="J168" i="1"/>
  <c r="J168" i="2" s="1"/>
  <c r="K168" i="1"/>
  <c r="K168" i="2" s="1"/>
  <c r="L168" i="1"/>
  <c r="L168" i="2" s="1"/>
  <c r="M168" i="1"/>
  <c r="M168" i="2" s="1"/>
  <c r="N168" i="1"/>
  <c r="N168" i="2" s="1"/>
  <c r="O168" i="1"/>
  <c r="O168" i="2" s="1"/>
  <c r="P168" i="1"/>
  <c r="P168" i="2" s="1"/>
  <c r="Q168" i="1"/>
  <c r="Q168" i="2" s="1"/>
  <c r="R168" i="1"/>
  <c r="R168" i="2" s="1"/>
  <c r="S168" i="1"/>
  <c r="S168" i="2" s="1"/>
  <c r="T168" i="1"/>
  <c r="T168" i="2" s="1"/>
  <c r="U168" i="1"/>
  <c r="U168" i="2" s="1"/>
  <c r="V168" i="1"/>
  <c r="V168" i="2" s="1"/>
  <c r="W168" i="1"/>
  <c r="W168" i="2" s="1"/>
  <c r="X168" i="1"/>
  <c r="X168" i="2" s="1"/>
  <c r="Y168" i="1"/>
  <c r="Y168" i="2" s="1"/>
  <c r="Z168" i="1"/>
  <c r="Z168" i="2" s="1"/>
  <c r="AA168" i="1"/>
  <c r="AA168" i="2" s="1"/>
  <c r="AB168" i="1"/>
  <c r="AB168" i="2" s="1"/>
  <c r="AC168" i="1"/>
  <c r="AC168" i="2" s="1"/>
  <c r="AD168" i="1"/>
  <c r="AD168" i="2" s="1"/>
  <c r="AE168" i="1"/>
  <c r="AE168" i="2" s="1"/>
  <c r="AF168" i="1"/>
  <c r="AF168" i="2" s="1"/>
  <c r="AG168" i="1"/>
  <c r="AG168" i="2" s="1"/>
  <c r="AH168" i="1"/>
  <c r="AH168" i="2" s="1"/>
  <c r="AI168" i="1"/>
  <c r="AI168" i="2" s="1"/>
  <c r="AJ168" i="1"/>
  <c r="AJ168" i="2" s="1"/>
  <c r="AK168" i="1"/>
  <c r="AK168" i="2" s="1"/>
  <c r="AL168" i="1"/>
  <c r="AL168" i="2" s="1"/>
  <c r="AM168" i="1"/>
  <c r="AM168" i="2" s="1"/>
  <c r="J169" i="1"/>
  <c r="J169" i="2" s="1"/>
  <c r="K169" i="1"/>
  <c r="K169" i="2" s="1"/>
  <c r="L169" i="1"/>
  <c r="L169" i="2" s="1"/>
  <c r="M169" i="1"/>
  <c r="M169" i="2" s="1"/>
  <c r="N169" i="1"/>
  <c r="N169" i="2" s="1"/>
  <c r="O169" i="1"/>
  <c r="O169" i="2" s="1"/>
  <c r="P169" i="1"/>
  <c r="P169" i="2" s="1"/>
  <c r="Q169" i="1"/>
  <c r="Q169" i="2" s="1"/>
  <c r="R169" i="1"/>
  <c r="R169" i="2" s="1"/>
  <c r="S169" i="1"/>
  <c r="S169" i="2" s="1"/>
  <c r="T169" i="1"/>
  <c r="T169" i="2" s="1"/>
  <c r="U169" i="1"/>
  <c r="U169" i="2" s="1"/>
  <c r="V169" i="1"/>
  <c r="V169" i="2" s="1"/>
  <c r="W169" i="1"/>
  <c r="W169" i="2" s="1"/>
  <c r="X169" i="1"/>
  <c r="X169" i="2" s="1"/>
  <c r="Y169" i="1"/>
  <c r="Y169" i="2" s="1"/>
  <c r="Z169" i="1"/>
  <c r="Z169" i="2" s="1"/>
  <c r="AA169" i="1"/>
  <c r="AA169" i="2" s="1"/>
  <c r="AB169" i="1"/>
  <c r="AB169" i="2" s="1"/>
  <c r="AC169" i="1"/>
  <c r="AC169" i="2" s="1"/>
  <c r="AD169" i="1"/>
  <c r="AD169" i="2" s="1"/>
  <c r="AE169" i="1"/>
  <c r="AE169" i="2" s="1"/>
  <c r="AF169" i="1"/>
  <c r="AF169" i="2" s="1"/>
  <c r="AG169" i="1"/>
  <c r="AG169" i="2" s="1"/>
  <c r="AH169" i="1"/>
  <c r="AH169" i="2" s="1"/>
  <c r="AI169" i="1"/>
  <c r="AI169" i="2" s="1"/>
  <c r="AJ169" i="1"/>
  <c r="AJ169" i="2" s="1"/>
  <c r="AK169" i="1"/>
  <c r="AK169" i="2" s="1"/>
  <c r="AL169" i="1"/>
  <c r="AL169" i="2" s="1"/>
  <c r="AM169" i="1"/>
  <c r="AM169" i="2" s="1"/>
  <c r="J170" i="1"/>
  <c r="J170" i="2" s="1"/>
  <c r="K170" i="1"/>
  <c r="K170" i="2" s="1"/>
  <c r="L170" i="1"/>
  <c r="L170" i="2" s="1"/>
  <c r="M170" i="1"/>
  <c r="M170" i="2" s="1"/>
  <c r="N170" i="1"/>
  <c r="N170" i="2" s="1"/>
  <c r="O170" i="1"/>
  <c r="O170" i="2" s="1"/>
  <c r="P170" i="1"/>
  <c r="P170" i="2" s="1"/>
  <c r="Q170" i="1"/>
  <c r="Q170" i="2" s="1"/>
  <c r="R170" i="1"/>
  <c r="R170" i="2" s="1"/>
  <c r="S170" i="1"/>
  <c r="S170" i="2" s="1"/>
  <c r="T170" i="1"/>
  <c r="T170" i="2" s="1"/>
  <c r="U170" i="1"/>
  <c r="U170" i="2" s="1"/>
  <c r="V170" i="1"/>
  <c r="V170" i="2" s="1"/>
  <c r="W170" i="1"/>
  <c r="W170" i="2" s="1"/>
  <c r="X170" i="1"/>
  <c r="X170" i="2" s="1"/>
  <c r="Y170" i="1"/>
  <c r="Y170" i="2" s="1"/>
  <c r="Z170" i="1"/>
  <c r="Z170" i="2" s="1"/>
  <c r="AA170" i="1"/>
  <c r="AA170" i="2" s="1"/>
  <c r="AB170" i="1"/>
  <c r="AB170" i="2" s="1"/>
  <c r="AC170" i="1"/>
  <c r="AC170" i="2" s="1"/>
  <c r="AD170" i="1"/>
  <c r="AD170" i="2" s="1"/>
  <c r="AE170" i="1"/>
  <c r="AE170" i="2" s="1"/>
  <c r="AF170" i="1"/>
  <c r="AF170" i="2" s="1"/>
  <c r="AG170" i="1"/>
  <c r="AG170" i="2" s="1"/>
  <c r="AH170" i="1"/>
  <c r="AH170" i="2" s="1"/>
  <c r="AI170" i="1"/>
  <c r="AI170" i="2" s="1"/>
  <c r="AJ170" i="1"/>
  <c r="AJ170" i="2" s="1"/>
  <c r="AK170" i="1"/>
  <c r="AK170" i="2" s="1"/>
  <c r="AL170" i="1"/>
  <c r="AL170" i="2" s="1"/>
  <c r="AM170" i="1"/>
  <c r="AM170" i="2" s="1"/>
  <c r="J171" i="1"/>
  <c r="J171" i="2" s="1"/>
  <c r="K171" i="1"/>
  <c r="K171" i="2" s="1"/>
  <c r="L171" i="1"/>
  <c r="L171" i="2" s="1"/>
  <c r="M171" i="1"/>
  <c r="M171" i="2" s="1"/>
  <c r="N171" i="1"/>
  <c r="N171" i="2" s="1"/>
  <c r="O171" i="1"/>
  <c r="O171" i="2" s="1"/>
  <c r="P171" i="1"/>
  <c r="P171" i="2" s="1"/>
  <c r="Q171" i="1"/>
  <c r="Q171" i="2" s="1"/>
  <c r="R171" i="1"/>
  <c r="R171" i="2" s="1"/>
  <c r="S171" i="1"/>
  <c r="S171" i="2" s="1"/>
  <c r="T171" i="1"/>
  <c r="T171" i="2" s="1"/>
  <c r="U171" i="1"/>
  <c r="U171" i="2" s="1"/>
  <c r="V171" i="1"/>
  <c r="V171" i="2" s="1"/>
  <c r="W171" i="1"/>
  <c r="W171" i="2" s="1"/>
  <c r="X171" i="1"/>
  <c r="X171" i="2" s="1"/>
  <c r="Y171" i="1"/>
  <c r="Y171" i="2" s="1"/>
  <c r="Z171" i="1"/>
  <c r="Z171" i="2" s="1"/>
  <c r="AA171" i="1"/>
  <c r="AA171" i="2" s="1"/>
  <c r="AB171" i="1"/>
  <c r="AB171" i="2" s="1"/>
  <c r="AC171" i="1"/>
  <c r="AC171" i="2" s="1"/>
  <c r="AD171" i="1"/>
  <c r="AD171" i="2" s="1"/>
  <c r="AE171" i="1"/>
  <c r="AE171" i="2" s="1"/>
  <c r="AF171" i="1"/>
  <c r="AF171" i="2" s="1"/>
  <c r="AG171" i="1"/>
  <c r="AG171" i="2" s="1"/>
  <c r="AH171" i="1"/>
  <c r="AH171" i="2" s="1"/>
  <c r="AI171" i="1"/>
  <c r="AI171" i="2" s="1"/>
  <c r="AJ171" i="1"/>
  <c r="AJ171" i="2" s="1"/>
  <c r="AK171" i="1"/>
  <c r="AK171" i="2" s="1"/>
  <c r="AL171" i="1"/>
  <c r="AL171" i="2" s="1"/>
  <c r="AM171" i="1"/>
  <c r="AM171" i="2" s="1"/>
  <c r="J172" i="1"/>
  <c r="J172" i="2" s="1"/>
  <c r="K172" i="1"/>
  <c r="K172" i="2" s="1"/>
  <c r="L172" i="1"/>
  <c r="L172" i="2" s="1"/>
  <c r="M172" i="1"/>
  <c r="M172" i="2" s="1"/>
  <c r="N172" i="1"/>
  <c r="N172" i="2" s="1"/>
  <c r="O172" i="1"/>
  <c r="O172" i="2" s="1"/>
  <c r="P172" i="1"/>
  <c r="P172" i="2" s="1"/>
  <c r="Q172" i="1"/>
  <c r="Q172" i="2" s="1"/>
  <c r="R172" i="1"/>
  <c r="R172" i="2" s="1"/>
  <c r="S172" i="1"/>
  <c r="S172" i="2" s="1"/>
  <c r="T172" i="1"/>
  <c r="T172" i="2" s="1"/>
  <c r="U172" i="1"/>
  <c r="U172" i="2" s="1"/>
  <c r="V172" i="1"/>
  <c r="V172" i="2" s="1"/>
  <c r="W172" i="1"/>
  <c r="W172" i="2" s="1"/>
  <c r="X172" i="1"/>
  <c r="X172" i="2" s="1"/>
  <c r="Y172" i="1"/>
  <c r="Y172" i="2" s="1"/>
  <c r="Z172" i="1"/>
  <c r="Z172" i="2" s="1"/>
  <c r="AA172" i="1"/>
  <c r="AA172" i="2" s="1"/>
  <c r="AB172" i="1"/>
  <c r="AB172" i="2" s="1"/>
  <c r="AC172" i="1"/>
  <c r="AC172" i="2" s="1"/>
  <c r="AD172" i="1"/>
  <c r="AD172" i="2" s="1"/>
  <c r="AE172" i="1"/>
  <c r="AE172" i="2" s="1"/>
  <c r="AF172" i="1"/>
  <c r="AF172" i="2" s="1"/>
  <c r="AG172" i="1"/>
  <c r="AG172" i="2" s="1"/>
  <c r="AH172" i="1"/>
  <c r="AH172" i="2" s="1"/>
  <c r="AI172" i="1"/>
  <c r="AI172" i="2" s="1"/>
  <c r="AJ172" i="1"/>
  <c r="AJ172" i="2" s="1"/>
  <c r="AK172" i="1"/>
  <c r="AK172" i="2" s="1"/>
  <c r="AL172" i="1"/>
  <c r="AL172" i="2" s="1"/>
  <c r="AM172" i="1"/>
  <c r="AM172" i="2" s="1"/>
  <c r="J173" i="1"/>
  <c r="J173" i="2" s="1"/>
  <c r="K173" i="1"/>
  <c r="K173" i="2" s="1"/>
  <c r="L173" i="1"/>
  <c r="L173" i="2" s="1"/>
  <c r="M173" i="1"/>
  <c r="M173" i="2" s="1"/>
  <c r="N173" i="1"/>
  <c r="N173" i="2" s="1"/>
  <c r="O173" i="1"/>
  <c r="O173" i="2" s="1"/>
  <c r="P173" i="1"/>
  <c r="P173" i="2" s="1"/>
  <c r="Q173" i="1"/>
  <c r="Q173" i="2" s="1"/>
  <c r="R173" i="1"/>
  <c r="R173" i="2" s="1"/>
  <c r="S173" i="1"/>
  <c r="S173" i="2" s="1"/>
  <c r="T173" i="1"/>
  <c r="T173" i="2" s="1"/>
  <c r="U173" i="1"/>
  <c r="U173" i="2" s="1"/>
  <c r="V173" i="1"/>
  <c r="V173" i="2" s="1"/>
  <c r="W173" i="1"/>
  <c r="W173" i="2" s="1"/>
  <c r="X173" i="1"/>
  <c r="X173" i="2" s="1"/>
  <c r="Y173" i="1"/>
  <c r="Y173" i="2" s="1"/>
  <c r="Z173" i="1"/>
  <c r="Z173" i="2" s="1"/>
  <c r="AA173" i="1"/>
  <c r="AA173" i="2" s="1"/>
  <c r="AB173" i="1"/>
  <c r="AB173" i="2" s="1"/>
  <c r="AC173" i="1"/>
  <c r="AC173" i="2" s="1"/>
  <c r="AD173" i="1"/>
  <c r="AD173" i="2" s="1"/>
  <c r="AE173" i="1"/>
  <c r="AE173" i="2" s="1"/>
  <c r="AF173" i="1"/>
  <c r="AF173" i="2" s="1"/>
  <c r="AG173" i="1"/>
  <c r="AG173" i="2" s="1"/>
  <c r="AH173" i="1"/>
  <c r="AH173" i="2" s="1"/>
  <c r="AI173" i="1"/>
  <c r="AI173" i="2" s="1"/>
  <c r="AJ173" i="1"/>
  <c r="AJ173" i="2" s="1"/>
  <c r="AK173" i="1"/>
  <c r="AK173" i="2" s="1"/>
  <c r="AL173" i="1"/>
  <c r="AL173" i="2" s="1"/>
  <c r="AM173" i="1"/>
  <c r="AM173" i="2" s="1"/>
  <c r="J174" i="1"/>
  <c r="J174" i="2" s="1"/>
  <c r="K174" i="1"/>
  <c r="K174" i="2" s="1"/>
  <c r="L174" i="1"/>
  <c r="L174" i="2" s="1"/>
  <c r="M174" i="1"/>
  <c r="M174" i="2" s="1"/>
  <c r="N174" i="1"/>
  <c r="N174" i="2" s="1"/>
  <c r="O174" i="1"/>
  <c r="O174" i="2" s="1"/>
  <c r="P174" i="1"/>
  <c r="P174" i="2" s="1"/>
  <c r="Q174" i="1"/>
  <c r="Q174" i="2" s="1"/>
  <c r="R174" i="1"/>
  <c r="R174" i="2" s="1"/>
  <c r="S174" i="1"/>
  <c r="S174" i="2" s="1"/>
  <c r="T174" i="1"/>
  <c r="T174" i="2" s="1"/>
  <c r="U174" i="1"/>
  <c r="U174" i="2" s="1"/>
  <c r="V174" i="1"/>
  <c r="V174" i="2" s="1"/>
  <c r="W174" i="1"/>
  <c r="W174" i="2" s="1"/>
  <c r="X174" i="1"/>
  <c r="X174" i="2" s="1"/>
  <c r="Y174" i="1"/>
  <c r="Y174" i="2" s="1"/>
  <c r="Z174" i="1"/>
  <c r="Z174" i="2" s="1"/>
  <c r="AA174" i="1"/>
  <c r="AA174" i="2" s="1"/>
  <c r="AB174" i="1"/>
  <c r="AB174" i="2" s="1"/>
  <c r="AC174" i="1"/>
  <c r="AC174" i="2" s="1"/>
  <c r="AD174" i="1"/>
  <c r="AD174" i="2" s="1"/>
  <c r="AE174" i="1"/>
  <c r="AE174" i="2" s="1"/>
  <c r="AF174" i="1"/>
  <c r="AF174" i="2" s="1"/>
  <c r="AG174" i="1"/>
  <c r="AG174" i="2" s="1"/>
  <c r="AH174" i="1"/>
  <c r="AH174" i="2" s="1"/>
  <c r="AI174" i="1"/>
  <c r="AI174" i="2" s="1"/>
  <c r="AJ174" i="1"/>
  <c r="AJ174" i="2" s="1"/>
  <c r="AK174" i="1"/>
  <c r="AK174" i="2" s="1"/>
  <c r="AL174" i="1"/>
  <c r="AL174" i="2" s="1"/>
  <c r="AM174" i="1"/>
  <c r="AM174" i="2" s="1"/>
  <c r="J175" i="1"/>
  <c r="J175" i="2" s="1"/>
  <c r="K175" i="1"/>
  <c r="K175" i="2" s="1"/>
  <c r="L175" i="1"/>
  <c r="L175" i="2" s="1"/>
  <c r="M175" i="1"/>
  <c r="M175" i="2" s="1"/>
  <c r="N175" i="1"/>
  <c r="N175" i="2" s="1"/>
  <c r="O175" i="1"/>
  <c r="O175" i="2" s="1"/>
  <c r="P175" i="1"/>
  <c r="P175" i="2" s="1"/>
  <c r="Q175" i="1"/>
  <c r="Q175" i="2" s="1"/>
  <c r="R175" i="1"/>
  <c r="R175" i="2" s="1"/>
  <c r="S175" i="1"/>
  <c r="S175" i="2" s="1"/>
  <c r="T175" i="1"/>
  <c r="T175" i="2" s="1"/>
  <c r="U175" i="1"/>
  <c r="U175" i="2" s="1"/>
  <c r="V175" i="1"/>
  <c r="V175" i="2" s="1"/>
  <c r="W175" i="1"/>
  <c r="W175" i="2" s="1"/>
  <c r="X175" i="1"/>
  <c r="X175" i="2" s="1"/>
  <c r="Y175" i="1"/>
  <c r="Y175" i="2" s="1"/>
  <c r="Z175" i="1"/>
  <c r="Z175" i="2" s="1"/>
  <c r="AA175" i="1"/>
  <c r="AA175" i="2" s="1"/>
  <c r="AB175" i="1"/>
  <c r="AB175" i="2" s="1"/>
  <c r="AC175" i="1"/>
  <c r="AC175" i="2" s="1"/>
  <c r="AD175" i="1"/>
  <c r="AD175" i="2" s="1"/>
  <c r="AE175" i="1"/>
  <c r="AE175" i="2" s="1"/>
  <c r="AF175" i="1"/>
  <c r="AF175" i="2" s="1"/>
  <c r="AG175" i="1"/>
  <c r="AG175" i="2" s="1"/>
  <c r="AH175" i="1"/>
  <c r="AH175" i="2" s="1"/>
  <c r="AI175" i="1"/>
  <c r="AI175" i="2" s="1"/>
  <c r="AJ175" i="1"/>
  <c r="AJ175" i="2" s="1"/>
  <c r="AK175" i="1"/>
  <c r="AK175" i="2" s="1"/>
  <c r="AL175" i="1"/>
  <c r="AL175" i="2" s="1"/>
  <c r="AM175" i="1"/>
  <c r="AM175" i="2" s="1"/>
  <c r="J176" i="1"/>
  <c r="J176" i="2" s="1"/>
  <c r="K176" i="1"/>
  <c r="K176" i="2" s="1"/>
  <c r="L176" i="1"/>
  <c r="L176" i="2" s="1"/>
  <c r="M176" i="1"/>
  <c r="M176" i="2" s="1"/>
  <c r="N176" i="1"/>
  <c r="N176" i="2" s="1"/>
  <c r="O176" i="1"/>
  <c r="O176" i="2" s="1"/>
  <c r="P176" i="1"/>
  <c r="P176" i="2" s="1"/>
  <c r="Q176" i="1"/>
  <c r="Q176" i="2" s="1"/>
  <c r="R176" i="1"/>
  <c r="R176" i="2" s="1"/>
  <c r="S176" i="1"/>
  <c r="S176" i="2" s="1"/>
  <c r="T176" i="1"/>
  <c r="T176" i="2" s="1"/>
  <c r="U176" i="1"/>
  <c r="U176" i="2" s="1"/>
  <c r="V176" i="1"/>
  <c r="V176" i="2" s="1"/>
  <c r="W176" i="1"/>
  <c r="W176" i="2" s="1"/>
  <c r="X176" i="1"/>
  <c r="X176" i="2" s="1"/>
  <c r="Y176" i="1"/>
  <c r="Y176" i="2" s="1"/>
  <c r="Z176" i="1"/>
  <c r="Z176" i="2" s="1"/>
  <c r="AA176" i="1"/>
  <c r="AA176" i="2" s="1"/>
  <c r="AB176" i="1"/>
  <c r="AB176" i="2" s="1"/>
  <c r="AC176" i="1"/>
  <c r="AC176" i="2" s="1"/>
  <c r="AD176" i="1"/>
  <c r="AD176" i="2" s="1"/>
  <c r="AE176" i="1"/>
  <c r="AE176" i="2" s="1"/>
  <c r="AF176" i="1"/>
  <c r="AF176" i="2" s="1"/>
  <c r="AG176" i="1"/>
  <c r="AG176" i="2" s="1"/>
  <c r="AH176" i="1"/>
  <c r="AH176" i="2" s="1"/>
  <c r="AI176" i="1"/>
  <c r="AI176" i="2" s="1"/>
  <c r="AJ176" i="1"/>
  <c r="AJ176" i="2" s="1"/>
  <c r="AK176" i="1"/>
  <c r="AK176" i="2" s="1"/>
  <c r="AL176" i="1"/>
  <c r="AL176" i="2" s="1"/>
  <c r="AM176" i="1"/>
  <c r="AM176" i="2" s="1"/>
  <c r="J177" i="1"/>
  <c r="J177" i="2" s="1"/>
  <c r="K177" i="1"/>
  <c r="K177" i="2" s="1"/>
  <c r="L177" i="1"/>
  <c r="L177" i="2" s="1"/>
  <c r="M177" i="1"/>
  <c r="M177" i="2" s="1"/>
  <c r="N177" i="1"/>
  <c r="N177" i="2" s="1"/>
  <c r="O177" i="1"/>
  <c r="O177" i="2" s="1"/>
  <c r="P177" i="1"/>
  <c r="P177" i="2" s="1"/>
  <c r="Q177" i="1"/>
  <c r="Q177" i="2" s="1"/>
  <c r="R177" i="1"/>
  <c r="R177" i="2" s="1"/>
  <c r="S177" i="1"/>
  <c r="S177" i="2" s="1"/>
  <c r="T177" i="1"/>
  <c r="T177" i="2" s="1"/>
  <c r="U177" i="1"/>
  <c r="U177" i="2" s="1"/>
  <c r="V177" i="1"/>
  <c r="V177" i="2" s="1"/>
  <c r="W177" i="1"/>
  <c r="W177" i="2" s="1"/>
  <c r="X177" i="1"/>
  <c r="X177" i="2" s="1"/>
  <c r="Y177" i="1"/>
  <c r="Y177" i="2" s="1"/>
  <c r="Z177" i="1"/>
  <c r="Z177" i="2" s="1"/>
  <c r="AA177" i="1"/>
  <c r="AA177" i="2" s="1"/>
  <c r="AB177" i="1"/>
  <c r="AB177" i="2" s="1"/>
  <c r="AC177" i="1"/>
  <c r="AC177" i="2" s="1"/>
  <c r="AD177" i="1"/>
  <c r="AD177" i="2" s="1"/>
  <c r="AE177" i="1"/>
  <c r="AE177" i="2" s="1"/>
  <c r="AF177" i="1"/>
  <c r="AF177" i="2" s="1"/>
  <c r="AG177" i="1"/>
  <c r="AG177" i="2" s="1"/>
  <c r="AH177" i="1"/>
  <c r="AH177" i="2" s="1"/>
  <c r="AI177" i="1"/>
  <c r="AI177" i="2" s="1"/>
  <c r="AJ177" i="1"/>
  <c r="AJ177" i="2" s="1"/>
  <c r="AK177" i="1"/>
  <c r="AK177" i="2" s="1"/>
  <c r="AL177" i="1"/>
  <c r="AL177" i="2" s="1"/>
  <c r="AM177" i="1"/>
  <c r="AM177" i="2" s="1"/>
  <c r="J178" i="1"/>
  <c r="J178" i="2" s="1"/>
  <c r="K178" i="1"/>
  <c r="K178" i="2" s="1"/>
  <c r="L178" i="1"/>
  <c r="L178" i="2" s="1"/>
  <c r="M178" i="1"/>
  <c r="M178" i="2" s="1"/>
  <c r="N178" i="1"/>
  <c r="N178" i="2" s="1"/>
  <c r="O178" i="1"/>
  <c r="O178" i="2" s="1"/>
  <c r="P178" i="1"/>
  <c r="P178" i="2" s="1"/>
  <c r="Q178" i="1"/>
  <c r="Q178" i="2" s="1"/>
  <c r="R178" i="1"/>
  <c r="R178" i="2" s="1"/>
  <c r="S178" i="1"/>
  <c r="S178" i="2" s="1"/>
  <c r="T178" i="1"/>
  <c r="T178" i="2" s="1"/>
  <c r="U178" i="1"/>
  <c r="U178" i="2" s="1"/>
  <c r="V178" i="1"/>
  <c r="V178" i="2" s="1"/>
  <c r="W178" i="1"/>
  <c r="W178" i="2" s="1"/>
  <c r="X178" i="1"/>
  <c r="X178" i="2" s="1"/>
  <c r="Y178" i="1"/>
  <c r="Y178" i="2" s="1"/>
  <c r="Z178" i="1"/>
  <c r="Z178" i="2" s="1"/>
  <c r="AA178" i="1"/>
  <c r="AA178" i="2" s="1"/>
  <c r="AB178" i="1"/>
  <c r="AB178" i="2" s="1"/>
  <c r="AC178" i="1"/>
  <c r="AC178" i="2" s="1"/>
  <c r="AD178" i="1"/>
  <c r="AD178" i="2" s="1"/>
  <c r="AE178" i="1"/>
  <c r="AE178" i="2" s="1"/>
  <c r="AF178" i="1"/>
  <c r="AF178" i="2" s="1"/>
  <c r="AG178" i="1"/>
  <c r="AG178" i="2" s="1"/>
  <c r="AH178" i="1"/>
  <c r="AH178" i="2" s="1"/>
  <c r="AI178" i="1"/>
  <c r="AI178" i="2" s="1"/>
  <c r="AJ178" i="1"/>
  <c r="AJ178" i="2" s="1"/>
  <c r="AK178" i="1"/>
  <c r="AK178" i="2" s="1"/>
  <c r="AL178" i="1"/>
  <c r="AL178" i="2" s="1"/>
  <c r="AM178" i="1"/>
  <c r="AM178" i="2" s="1"/>
  <c r="J179" i="1"/>
  <c r="J179" i="2" s="1"/>
  <c r="K179" i="1"/>
  <c r="K179" i="2" s="1"/>
  <c r="L179" i="1"/>
  <c r="L179" i="2" s="1"/>
  <c r="M179" i="1"/>
  <c r="M179" i="2" s="1"/>
  <c r="N179" i="1"/>
  <c r="N179" i="2" s="1"/>
  <c r="O179" i="1"/>
  <c r="O179" i="2" s="1"/>
  <c r="P179" i="1"/>
  <c r="P179" i="2" s="1"/>
  <c r="Q179" i="1"/>
  <c r="Q179" i="2" s="1"/>
  <c r="R179" i="1"/>
  <c r="R179" i="2" s="1"/>
  <c r="S179" i="1"/>
  <c r="S179" i="2" s="1"/>
  <c r="T179" i="1"/>
  <c r="T179" i="2" s="1"/>
  <c r="U179" i="1"/>
  <c r="U179" i="2" s="1"/>
  <c r="V179" i="1"/>
  <c r="V179" i="2" s="1"/>
  <c r="W179" i="1"/>
  <c r="W179" i="2" s="1"/>
  <c r="X179" i="1"/>
  <c r="X179" i="2" s="1"/>
  <c r="Y179" i="1"/>
  <c r="Y179" i="2" s="1"/>
  <c r="Z179" i="1"/>
  <c r="Z179" i="2" s="1"/>
  <c r="AA179" i="1"/>
  <c r="AA179" i="2" s="1"/>
  <c r="AB179" i="1"/>
  <c r="AB179" i="2" s="1"/>
  <c r="AC179" i="1"/>
  <c r="AC179" i="2" s="1"/>
  <c r="AD179" i="1"/>
  <c r="AD179" i="2" s="1"/>
  <c r="AE179" i="1"/>
  <c r="AE179" i="2" s="1"/>
  <c r="AF179" i="1"/>
  <c r="AF179" i="2" s="1"/>
  <c r="AG179" i="1"/>
  <c r="AG179" i="2" s="1"/>
  <c r="AH179" i="1"/>
  <c r="AH179" i="2" s="1"/>
  <c r="AI179" i="1"/>
  <c r="AI179" i="2" s="1"/>
  <c r="AJ179" i="1"/>
  <c r="AJ179" i="2" s="1"/>
  <c r="AK179" i="1"/>
  <c r="AK179" i="2" s="1"/>
  <c r="AL179" i="1"/>
  <c r="AL179" i="2" s="1"/>
  <c r="AM179" i="1"/>
  <c r="AM179" i="2" s="1"/>
  <c r="J180" i="1"/>
  <c r="J180" i="2" s="1"/>
  <c r="K180" i="1"/>
  <c r="K180" i="2" s="1"/>
  <c r="L180" i="1"/>
  <c r="L180" i="2" s="1"/>
  <c r="M180" i="1"/>
  <c r="M180" i="2" s="1"/>
  <c r="N180" i="1"/>
  <c r="N180" i="2" s="1"/>
  <c r="O180" i="1"/>
  <c r="O180" i="2" s="1"/>
  <c r="P180" i="1"/>
  <c r="P180" i="2" s="1"/>
  <c r="Q180" i="1"/>
  <c r="Q180" i="2" s="1"/>
  <c r="R180" i="1"/>
  <c r="R180" i="2" s="1"/>
  <c r="S180" i="1"/>
  <c r="S180" i="2" s="1"/>
  <c r="T180" i="1"/>
  <c r="T180" i="2" s="1"/>
  <c r="U180" i="1"/>
  <c r="U180" i="2" s="1"/>
  <c r="V180" i="1"/>
  <c r="V180" i="2" s="1"/>
  <c r="W180" i="1"/>
  <c r="W180" i="2" s="1"/>
  <c r="X180" i="1"/>
  <c r="X180" i="2" s="1"/>
  <c r="Y180" i="1"/>
  <c r="Y180" i="2" s="1"/>
  <c r="Z180" i="1"/>
  <c r="Z180" i="2" s="1"/>
  <c r="AA180" i="1"/>
  <c r="AA180" i="2" s="1"/>
  <c r="AB180" i="1"/>
  <c r="AB180" i="2" s="1"/>
  <c r="AC180" i="1"/>
  <c r="AC180" i="2" s="1"/>
  <c r="AD180" i="1"/>
  <c r="AD180" i="2" s="1"/>
  <c r="AE180" i="1"/>
  <c r="AE180" i="2" s="1"/>
  <c r="AF180" i="1"/>
  <c r="AF180" i="2" s="1"/>
  <c r="AG180" i="1"/>
  <c r="AG180" i="2" s="1"/>
  <c r="AH180" i="1"/>
  <c r="AH180" i="2" s="1"/>
  <c r="AI180" i="1"/>
  <c r="AI180" i="2" s="1"/>
  <c r="AJ180" i="1"/>
  <c r="AJ180" i="2" s="1"/>
  <c r="AK180" i="1"/>
  <c r="AK180" i="2" s="1"/>
  <c r="AL180" i="1"/>
  <c r="AL180" i="2" s="1"/>
  <c r="AM180" i="1"/>
  <c r="AM180" i="2" s="1"/>
  <c r="J181" i="1"/>
  <c r="J181" i="2" s="1"/>
  <c r="K181" i="1"/>
  <c r="K181" i="2" s="1"/>
  <c r="L181" i="1"/>
  <c r="L181" i="2" s="1"/>
  <c r="M181" i="1"/>
  <c r="M181" i="2" s="1"/>
  <c r="N181" i="1"/>
  <c r="N181" i="2" s="1"/>
  <c r="O181" i="1"/>
  <c r="O181" i="2" s="1"/>
  <c r="P181" i="1"/>
  <c r="P181" i="2" s="1"/>
  <c r="Q181" i="1"/>
  <c r="Q181" i="2" s="1"/>
  <c r="R181" i="1"/>
  <c r="R181" i="2" s="1"/>
  <c r="S181" i="1"/>
  <c r="S181" i="2" s="1"/>
  <c r="T181" i="1"/>
  <c r="T181" i="2" s="1"/>
  <c r="U181" i="1"/>
  <c r="U181" i="2" s="1"/>
  <c r="V181" i="1"/>
  <c r="V181" i="2" s="1"/>
  <c r="W181" i="1"/>
  <c r="W181" i="2" s="1"/>
  <c r="X181" i="1"/>
  <c r="X181" i="2" s="1"/>
  <c r="Y181" i="1"/>
  <c r="Y181" i="2" s="1"/>
  <c r="Z181" i="1"/>
  <c r="Z181" i="2" s="1"/>
  <c r="AA181" i="1"/>
  <c r="AA181" i="2" s="1"/>
  <c r="AB181" i="1"/>
  <c r="AB181" i="2" s="1"/>
  <c r="AC181" i="1"/>
  <c r="AC181" i="2" s="1"/>
  <c r="AD181" i="1"/>
  <c r="AD181" i="2" s="1"/>
  <c r="AE181" i="1"/>
  <c r="AE181" i="2" s="1"/>
  <c r="AF181" i="1"/>
  <c r="AF181" i="2" s="1"/>
  <c r="AG181" i="1"/>
  <c r="AG181" i="2" s="1"/>
  <c r="AH181" i="1"/>
  <c r="AH181" i="2" s="1"/>
  <c r="AI181" i="1"/>
  <c r="AI181" i="2" s="1"/>
  <c r="AJ181" i="1"/>
  <c r="AJ181" i="2" s="1"/>
  <c r="AK181" i="1"/>
  <c r="AK181" i="2" s="1"/>
  <c r="AL181" i="1"/>
  <c r="AL181" i="2" s="1"/>
  <c r="AM181" i="1"/>
  <c r="AM181" i="2" s="1"/>
  <c r="J182" i="1"/>
  <c r="J182" i="2" s="1"/>
  <c r="K182" i="1"/>
  <c r="K182" i="2" s="1"/>
  <c r="L182" i="1"/>
  <c r="L182" i="2" s="1"/>
  <c r="M182" i="1"/>
  <c r="M182" i="2" s="1"/>
  <c r="N182" i="1"/>
  <c r="N182" i="2" s="1"/>
  <c r="O182" i="1"/>
  <c r="O182" i="2" s="1"/>
  <c r="P182" i="1"/>
  <c r="P182" i="2" s="1"/>
  <c r="Q182" i="1"/>
  <c r="Q182" i="2" s="1"/>
  <c r="R182" i="1"/>
  <c r="R182" i="2" s="1"/>
  <c r="S182" i="1"/>
  <c r="S182" i="2" s="1"/>
  <c r="T182" i="1"/>
  <c r="T182" i="2" s="1"/>
  <c r="U182" i="1"/>
  <c r="U182" i="2" s="1"/>
  <c r="V182" i="1"/>
  <c r="V182" i="2" s="1"/>
  <c r="W182" i="1"/>
  <c r="W182" i="2" s="1"/>
  <c r="X182" i="1"/>
  <c r="X182" i="2" s="1"/>
  <c r="Y182" i="1"/>
  <c r="Y182" i="2" s="1"/>
  <c r="Z182" i="1"/>
  <c r="Z182" i="2" s="1"/>
  <c r="AA182" i="1"/>
  <c r="AA182" i="2" s="1"/>
  <c r="AB182" i="1"/>
  <c r="AB182" i="2" s="1"/>
  <c r="AC182" i="1"/>
  <c r="AC182" i="2" s="1"/>
  <c r="AD182" i="1"/>
  <c r="AD182" i="2" s="1"/>
  <c r="AE182" i="1"/>
  <c r="AE182" i="2" s="1"/>
  <c r="AF182" i="1"/>
  <c r="AF182" i="2" s="1"/>
  <c r="AG182" i="1"/>
  <c r="AG182" i="2" s="1"/>
  <c r="AH182" i="1"/>
  <c r="AH182" i="2" s="1"/>
  <c r="AI182" i="1"/>
  <c r="AI182" i="2" s="1"/>
  <c r="AJ182" i="1"/>
  <c r="AJ182" i="2" s="1"/>
  <c r="AK182" i="1"/>
  <c r="AK182" i="2" s="1"/>
  <c r="AL182" i="1"/>
  <c r="AL182" i="2" s="1"/>
  <c r="AM182" i="1"/>
  <c r="AM182" i="2" s="1"/>
  <c r="J183" i="1"/>
  <c r="J183" i="2" s="1"/>
  <c r="K183" i="1"/>
  <c r="K183" i="2" s="1"/>
  <c r="L183" i="1"/>
  <c r="L183" i="2" s="1"/>
  <c r="M183" i="1"/>
  <c r="M183" i="2" s="1"/>
  <c r="N183" i="1"/>
  <c r="N183" i="2" s="1"/>
  <c r="O183" i="1"/>
  <c r="O183" i="2" s="1"/>
  <c r="P183" i="1"/>
  <c r="P183" i="2" s="1"/>
  <c r="Q183" i="1"/>
  <c r="Q183" i="2" s="1"/>
  <c r="R183" i="1"/>
  <c r="R183" i="2" s="1"/>
  <c r="S183" i="1"/>
  <c r="S183" i="2" s="1"/>
  <c r="T183" i="1"/>
  <c r="T183" i="2" s="1"/>
  <c r="U183" i="1"/>
  <c r="U183" i="2" s="1"/>
  <c r="V183" i="1"/>
  <c r="V183" i="2" s="1"/>
  <c r="W183" i="1"/>
  <c r="W183" i="2" s="1"/>
  <c r="X183" i="1"/>
  <c r="X183" i="2" s="1"/>
  <c r="Y183" i="1"/>
  <c r="Y183" i="2" s="1"/>
  <c r="Z183" i="1"/>
  <c r="Z183" i="2" s="1"/>
  <c r="AA183" i="1"/>
  <c r="AA183" i="2" s="1"/>
  <c r="AB183" i="1"/>
  <c r="AB183" i="2" s="1"/>
  <c r="AC183" i="1"/>
  <c r="AC183" i="2" s="1"/>
  <c r="AD183" i="1"/>
  <c r="AD183" i="2" s="1"/>
  <c r="AE183" i="1"/>
  <c r="AE183" i="2" s="1"/>
  <c r="AF183" i="1"/>
  <c r="AF183" i="2" s="1"/>
  <c r="AG183" i="1"/>
  <c r="AG183" i="2" s="1"/>
  <c r="AH183" i="1"/>
  <c r="AH183" i="2" s="1"/>
  <c r="AI183" i="1"/>
  <c r="AI183" i="2" s="1"/>
  <c r="AJ183" i="1"/>
  <c r="AJ183" i="2" s="1"/>
  <c r="AK183" i="1"/>
  <c r="AK183" i="2" s="1"/>
  <c r="AL183" i="1"/>
  <c r="AL183" i="2" s="1"/>
  <c r="AM183" i="1"/>
  <c r="AM183" i="2" s="1"/>
  <c r="J184" i="1"/>
  <c r="J184" i="2" s="1"/>
  <c r="K184" i="1"/>
  <c r="K184" i="2" s="1"/>
  <c r="L184" i="1"/>
  <c r="L184" i="2" s="1"/>
  <c r="M184" i="1"/>
  <c r="M184" i="2" s="1"/>
  <c r="N184" i="1"/>
  <c r="N184" i="2" s="1"/>
  <c r="O184" i="1"/>
  <c r="O184" i="2" s="1"/>
  <c r="P184" i="1"/>
  <c r="P184" i="2" s="1"/>
  <c r="Q184" i="1"/>
  <c r="Q184" i="2" s="1"/>
  <c r="R184" i="1"/>
  <c r="R184" i="2" s="1"/>
  <c r="S184" i="1"/>
  <c r="S184" i="2" s="1"/>
  <c r="T184" i="1"/>
  <c r="T184" i="2" s="1"/>
  <c r="U184" i="1"/>
  <c r="U184" i="2" s="1"/>
  <c r="V184" i="1"/>
  <c r="V184" i="2" s="1"/>
  <c r="W184" i="1"/>
  <c r="W184" i="2" s="1"/>
  <c r="X184" i="1"/>
  <c r="X184" i="2" s="1"/>
  <c r="Y184" i="1"/>
  <c r="Y184" i="2" s="1"/>
  <c r="Z184" i="1"/>
  <c r="Z184" i="2" s="1"/>
  <c r="AA184" i="1"/>
  <c r="AA184" i="2" s="1"/>
  <c r="AB184" i="1"/>
  <c r="AB184" i="2" s="1"/>
  <c r="AC184" i="1"/>
  <c r="AC184" i="2" s="1"/>
  <c r="AD184" i="1"/>
  <c r="AD184" i="2" s="1"/>
  <c r="AE184" i="1"/>
  <c r="AE184" i="2" s="1"/>
  <c r="AF184" i="1"/>
  <c r="AF184" i="2" s="1"/>
  <c r="AG184" i="1"/>
  <c r="AG184" i="2" s="1"/>
  <c r="AH184" i="1"/>
  <c r="AH184" i="2" s="1"/>
  <c r="AI184" i="1"/>
  <c r="AI184" i="2" s="1"/>
  <c r="AJ184" i="1"/>
  <c r="AJ184" i="2" s="1"/>
  <c r="AK184" i="1"/>
  <c r="AK184" i="2" s="1"/>
  <c r="AL184" i="1"/>
  <c r="AL184" i="2" s="1"/>
  <c r="AM184" i="1"/>
  <c r="AM184" i="2" s="1"/>
  <c r="J185" i="1"/>
  <c r="J185" i="2" s="1"/>
  <c r="K185" i="1"/>
  <c r="K185" i="2" s="1"/>
  <c r="L185" i="1"/>
  <c r="L185" i="2" s="1"/>
  <c r="M185" i="1"/>
  <c r="M185" i="2" s="1"/>
  <c r="N185" i="1"/>
  <c r="N185" i="2" s="1"/>
  <c r="O185" i="1"/>
  <c r="O185" i="2" s="1"/>
  <c r="P185" i="1"/>
  <c r="P185" i="2" s="1"/>
  <c r="Q185" i="1"/>
  <c r="Q185" i="2" s="1"/>
  <c r="R185" i="1"/>
  <c r="R185" i="2" s="1"/>
  <c r="S185" i="1"/>
  <c r="S185" i="2" s="1"/>
  <c r="T185" i="1"/>
  <c r="T185" i="2" s="1"/>
  <c r="U185" i="1"/>
  <c r="U185" i="2" s="1"/>
  <c r="V185" i="1"/>
  <c r="V185" i="2" s="1"/>
  <c r="W185" i="1"/>
  <c r="W185" i="2" s="1"/>
  <c r="X185" i="1"/>
  <c r="X185" i="2" s="1"/>
  <c r="Y185" i="1"/>
  <c r="Y185" i="2" s="1"/>
  <c r="Z185" i="1"/>
  <c r="Z185" i="2" s="1"/>
  <c r="AA185" i="1"/>
  <c r="AA185" i="2" s="1"/>
  <c r="AB185" i="1"/>
  <c r="AB185" i="2" s="1"/>
  <c r="AC185" i="1"/>
  <c r="AC185" i="2" s="1"/>
  <c r="AD185" i="1"/>
  <c r="AD185" i="2" s="1"/>
  <c r="AE185" i="1"/>
  <c r="AE185" i="2" s="1"/>
  <c r="AF185" i="1"/>
  <c r="AF185" i="2" s="1"/>
  <c r="AG185" i="1"/>
  <c r="AG185" i="2" s="1"/>
  <c r="AH185" i="1"/>
  <c r="AH185" i="2" s="1"/>
  <c r="AI185" i="1"/>
  <c r="AI185" i="2" s="1"/>
  <c r="AJ185" i="1"/>
  <c r="AJ185" i="2" s="1"/>
  <c r="AK185" i="1"/>
  <c r="AK185" i="2" s="1"/>
  <c r="AL185" i="1"/>
  <c r="AL185" i="2" s="1"/>
  <c r="AM185" i="1"/>
  <c r="AM185" i="2" s="1"/>
  <c r="J186" i="1"/>
  <c r="J186" i="2" s="1"/>
  <c r="K186" i="1"/>
  <c r="K186" i="2" s="1"/>
  <c r="L186" i="1"/>
  <c r="L186" i="2" s="1"/>
  <c r="M186" i="1"/>
  <c r="M186" i="2" s="1"/>
  <c r="N186" i="1"/>
  <c r="N186" i="2" s="1"/>
  <c r="O186" i="1"/>
  <c r="O186" i="2" s="1"/>
  <c r="P186" i="1"/>
  <c r="P186" i="2" s="1"/>
  <c r="Q186" i="1"/>
  <c r="Q186" i="2" s="1"/>
  <c r="R186" i="1"/>
  <c r="R186" i="2" s="1"/>
  <c r="S186" i="1"/>
  <c r="S186" i="2" s="1"/>
  <c r="T186" i="1"/>
  <c r="T186" i="2" s="1"/>
  <c r="U186" i="1"/>
  <c r="U186" i="2" s="1"/>
  <c r="V186" i="1"/>
  <c r="V186" i="2" s="1"/>
  <c r="W186" i="1"/>
  <c r="W186" i="2" s="1"/>
  <c r="X186" i="1"/>
  <c r="X186" i="2" s="1"/>
  <c r="Y186" i="1"/>
  <c r="Y186" i="2" s="1"/>
  <c r="Z186" i="1"/>
  <c r="Z186" i="2" s="1"/>
  <c r="AA186" i="1"/>
  <c r="AA186" i="2" s="1"/>
  <c r="AB186" i="1"/>
  <c r="AB186" i="2" s="1"/>
  <c r="AC186" i="1"/>
  <c r="AC186" i="2" s="1"/>
  <c r="AD186" i="1"/>
  <c r="AD186" i="2" s="1"/>
  <c r="AE186" i="1"/>
  <c r="AE186" i="2" s="1"/>
  <c r="AF186" i="1"/>
  <c r="AF186" i="2" s="1"/>
  <c r="AG186" i="1"/>
  <c r="AG186" i="2" s="1"/>
  <c r="AH186" i="1"/>
  <c r="AH186" i="2" s="1"/>
  <c r="AI186" i="1"/>
  <c r="AI186" i="2" s="1"/>
  <c r="AJ186" i="1"/>
  <c r="AJ186" i="2" s="1"/>
  <c r="AK186" i="1"/>
  <c r="AK186" i="2" s="1"/>
  <c r="AL186" i="1"/>
  <c r="AL186" i="2" s="1"/>
  <c r="AM186" i="1"/>
  <c r="AM186" i="2" s="1"/>
  <c r="J187" i="1"/>
  <c r="J187" i="2" s="1"/>
  <c r="K187" i="1"/>
  <c r="K187" i="2" s="1"/>
  <c r="L187" i="1"/>
  <c r="L187" i="2" s="1"/>
  <c r="M187" i="1"/>
  <c r="M187" i="2" s="1"/>
  <c r="N187" i="1"/>
  <c r="N187" i="2" s="1"/>
  <c r="O187" i="1"/>
  <c r="O187" i="2" s="1"/>
  <c r="P187" i="1"/>
  <c r="P187" i="2" s="1"/>
  <c r="Q187" i="1"/>
  <c r="Q187" i="2" s="1"/>
  <c r="R187" i="1"/>
  <c r="R187" i="2" s="1"/>
  <c r="S187" i="1"/>
  <c r="S187" i="2" s="1"/>
  <c r="T187" i="1"/>
  <c r="T187" i="2" s="1"/>
  <c r="U187" i="1"/>
  <c r="U187" i="2" s="1"/>
  <c r="V187" i="1"/>
  <c r="V187" i="2" s="1"/>
  <c r="W187" i="1"/>
  <c r="W187" i="2" s="1"/>
  <c r="X187" i="1"/>
  <c r="X187" i="2" s="1"/>
  <c r="Y187" i="1"/>
  <c r="Y187" i="2" s="1"/>
  <c r="Z187" i="1"/>
  <c r="Z187" i="2" s="1"/>
  <c r="AA187" i="1"/>
  <c r="AA187" i="2" s="1"/>
  <c r="AB187" i="1"/>
  <c r="AB187" i="2" s="1"/>
  <c r="AC187" i="1"/>
  <c r="AC187" i="2" s="1"/>
  <c r="AD187" i="1"/>
  <c r="AD187" i="2" s="1"/>
  <c r="AE187" i="1"/>
  <c r="AE187" i="2" s="1"/>
  <c r="AF187" i="1"/>
  <c r="AF187" i="2" s="1"/>
  <c r="AG187" i="1"/>
  <c r="AG187" i="2" s="1"/>
  <c r="AH187" i="1"/>
  <c r="AH187" i="2" s="1"/>
  <c r="AI187" i="1"/>
  <c r="AI187" i="2" s="1"/>
  <c r="AJ187" i="1"/>
  <c r="AJ187" i="2" s="1"/>
  <c r="AK187" i="1"/>
  <c r="AK187" i="2" s="1"/>
  <c r="AL187" i="1"/>
  <c r="AL187" i="2" s="1"/>
  <c r="AM187" i="1"/>
  <c r="AM187" i="2" s="1"/>
  <c r="J188" i="1"/>
  <c r="J188" i="2" s="1"/>
  <c r="K188" i="1"/>
  <c r="K188" i="2" s="1"/>
  <c r="L188" i="1"/>
  <c r="L188" i="2" s="1"/>
  <c r="M188" i="1"/>
  <c r="M188" i="2" s="1"/>
  <c r="N188" i="1"/>
  <c r="N188" i="2" s="1"/>
  <c r="O188" i="1"/>
  <c r="O188" i="2" s="1"/>
  <c r="P188" i="1"/>
  <c r="P188" i="2" s="1"/>
  <c r="Q188" i="1"/>
  <c r="Q188" i="2" s="1"/>
  <c r="R188" i="1"/>
  <c r="R188" i="2" s="1"/>
  <c r="S188" i="1"/>
  <c r="S188" i="2" s="1"/>
  <c r="T188" i="1"/>
  <c r="T188" i="2" s="1"/>
  <c r="U188" i="1"/>
  <c r="U188" i="2" s="1"/>
  <c r="V188" i="1"/>
  <c r="V188" i="2" s="1"/>
  <c r="W188" i="1"/>
  <c r="W188" i="2" s="1"/>
  <c r="X188" i="1"/>
  <c r="X188" i="2" s="1"/>
  <c r="Y188" i="1"/>
  <c r="Y188" i="2" s="1"/>
  <c r="Z188" i="1"/>
  <c r="Z188" i="2" s="1"/>
  <c r="AA188" i="1"/>
  <c r="AA188" i="2" s="1"/>
  <c r="AB188" i="1"/>
  <c r="AB188" i="2" s="1"/>
  <c r="AC188" i="1"/>
  <c r="AC188" i="2" s="1"/>
  <c r="AD188" i="1"/>
  <c r="AD188" i="2" s="1"/>
  <c r="AE188" i="1"/>
  <c r="AE188" i="2" s="1"/>
  <c r="AF188" i="1"/>
  <c r="AF188" i="2" s="1"/>
  <c r="AG188" i="1"/>
  <c r="AG188" i="2" s="1"/>
  <c r="AH188" i="1"/>
  <c r="AH188" i="2" s="1"/>
  <c r="AI188" i="1"/>
  <c r="AI188" i="2" s="1"/>
  <c r="AJ188" i="1"/>
  <c r="AJ188" i="2" s="1"/>
  <c r="AK188" i="1"/>
  <c r="AK188" i="2" s="1"/>
  <c r="AL188" i="1"/>
  <c r="AL188" i="2" s="1"/>
  <c r="AM188" i="1"/>
  <c r="AM188" i="2" s="1"/>
  <c r="J189" i="1"/>
  <c r="J189" i="2" s="1"/>
  <c r="K189" i="1"/>
  <c r="K189" i="2" s="1"/>
  <c r="L189" i="1"/>
  <c r="L189" i="2" s="1"/>
  <c r="M189" i="1"/>
  <c r="M189" i="2" s="1"/>
  <c r="N189" i="1"/>
  <c r="N189" i="2" s="1"/>
  <c r="O189" i="1"/>
  <c r="O189" i="2" s="1"/>
  <c r="P189" i="1"/>
  <c r="P189" i="2" s="1"/>
  <c r="Q189" i="1"/>
  <c r="Q189" i="2" s="1"/>
  <c r="R189" i="1"/>
  <c r="R189" i="2" s="1"/>
  <c r="S189" i="1"/>
  <c r="S189" i="2" s="1"/>
  <c r="T189" i="1"/>
  <c r="T189" i="2" s="1"/>
  <c r="U189" i="1"/>
  <c r="U189" i="2" s="1"/>
  <c r="V189" i="1"/>
  <c r="V189" i="2" s="1"/>
  <c r="W189" i="1"/>
  <c r="W189" i="2" s="1"/>
  <c r="X189" i="1"/>
  <c r="X189" i="2" s="1"/>
  <c r="Y189" i="1"/>
  <c r="Y189" i="2" s="1"/>
  <c r="Z189" i="1"/>
  <c r="Z189" i="2" s="1"/>
  <c r="AA189" i="1"/>
  <c r="AA189" i="2" s="1"/>
  <c r="AB189" i="1"/>
  <c r="AB189" i="2" s="1"/>
  <c r="AC189" i="1"/>
  <c r="AC189" i="2" s="1"/>
  <c r="AD189" i="1"/>
  <c r="AD189" i="2" s="1"/>
  <c r="AE189" i="1"/>
  <c r="AE189" i="2" s="1"/>
  <c r="AF189" i="1"/>
  <c r="AF189" i="2" s="1"/>
  <c r="AG189" i="1"/>
  <c r="AG189" i="2" s="1"/>
  <c r="AH189" i="1"/>
  <c r="AH189" i="2" s="1"/>
  <c r="AI189" i="1"/>
  <c r="AI189" i="2" s="1"/>
  <c r="AJ189" i="1"/>
  <c r="AJ189" i="2" s="1"/>
  <c r="AK189" i="1"/>
  <c r="AK189" i="2" s="1"/>
  <c r="AL189" i="1"/>
  <c r="AL189" i="2" s="1"/>
  <c r="AM189" i="1"/>
  <c r="AM189" i="2" s="1"/>
  <c r="J190" i="1"/>
  <c r="J190" i="2" s="1"/>
  <c r="K190" i="1"/>
  <c r="K190" i="2" s="1"/>
  <c r="L190" i="1"/>
  <c r="L190" i="2" s="1"/>
  <c r="M190" i="1"/>
  <c r="M190" i="2" s="1"/>
  <c r="N190" i="1"/>
  <c r="N190" i="2" s="1"/>
  <c r="O190" i="1"/>
  <c r="O190" i="2" s="1"/>
  <c r="P190" i="1"/>
  <c r="P190" i="2" s="1"/>
  <c r="Q190" i="1"/>
  <c r="Q190" i="2" s="1"/>
  <c r="R190" i="1"/>
  <c r="R190" i="2" s="1"/>
  <c r="S190" i="1"/>
  <c r="S190" i="2" s="1"/>
  <c r="T190" i="1"/>
  <c r="T190" i="2" s="1"/>
  <c r="U190" i="1"/>
  <c r="U190" i="2" s="1"/>
  <c r="V190" i="1"/>
  <c r="V190" i="2" s="1"/>
  <c r="W190" i="1"/>
  <c r="W190" i="2" s="1"/>
  <c r="X190" i="1"/>
  <c r="X190" i="2" s="1"/>
  <c r="Y190" i="1"/>
  <c r="Y190" i="2" s="1"/>
  <c r="Z190" i="1"/>
  <c r="Z190" i="2" s="1"/>
  <c r="AA190" i="1"/>
  <c r="AA190" i="2" s="1"/>
  <c r="AB190" i="1"/>
  <c r="AB190" i="2" s="1"/>
  <c r="AC190" i="1"/>
  <c r="AC190" i="2" s="1"/>
  <c r="AD190" i="1"/>
  <c r="AD190" i="2" s="1"/>
  <c r="AE190" i="1"/>
  <c r="AE190" i="2" s="1"/>
  <c r="AF190" i="1"/>
  <c r="AF190" i="2" s="1"/>
  <c r="AG190" i="1"/>
  <c r="AG190" i="2" s="1"/>
  <c r="AH190" i="1"/>
  <c r="AH190" i="2" s="1"/>
  <c r="AI190" i="1"/>
  <c r="AI190" i="2" s="1"/>
  <c r="AJ190" i="1"/>
  <c r="AJ190" i="2" s="1"/>
  <c r="AK190" i="1"/>
  <c r="AK190" i="2" s="1"/>
  <c r="AL190" i="1"/>
  <c r="AL190" i="2" s="1"/>
  <c r="AM190" i="1"/>
  <c r="AM190" i="2" s="1"/>
  <c r="J191" i="1"/>
  <c r="J191" i="2" s="1"/>
  <c r="K191" i="1"/>
  <c r="K191" i="2" s="1"/>
  <c r="L191" i="1"/>
  <c r="L191" i="2" s="1"/>
  <c r="M191" i="1"/>
  <c r="M191" i="2" s="1"/>
  <c r="N191" i="1"/>
  <c r="N191" i="2" s="1"/>
  <c r="O191" i="1"/>
  <c r="O191" i="2" s="1"/>
  <c r="P191" i="1"/>
  <c r="P191" i="2" s="1"/>
  <c r="Q191" i="1"/>
  <c r="Q191" i="2" s="1"/>
  <c r="R191" i="1"/>
  <c r="R191" i="2" s="1"/>
  <c r="S191" i="1"/>
  <c r="S191" i="2" s="1"/>
  <c r="T191" i="1"/>
  <c r="T191" i="2" s="1"/>
  <c r="U191" i="1"/>
  <c r="U191" i="2" s="1"/>
  <c r="V191" i="1"/>
  <c r="V191" i="2" s="1"/>
  <c r="W191" i="1"/>
  <c r="W191" i="2" s="1"/>
  <c r="X191" i="1"/>
  <c r="X191" i="2" s="1"/>
  <c r="Y191" i="1"/>
  <c r="Y191" i="2" s="1"/>
  <c r="Z191" i="1"/>
  <c r="Z191" i="2" s="1"/>
  <c r="AA191" i="1"/>
  <c r="AA191" i="2" s="1"/>
  <c r="AB191" i="1"/>
  <c r="AB191" i="2" s="1"/>
  <c r="AC191" i="1"/>
  <c r="AC191" i="2" s="1"/>
  <c r="AD191" i="1"/>
  <c r="AD191" i="2" s="1"/>
  <c r="AE191" i="1"/>
  <c r="AE191" i="2" s="1"/>
  <c r="AF191" i="1"/>
  <c r="AF191" i="2" s="1"/>
  <c r="AG191" i="1"/>
  <c r="AG191" i="2" s="1"/>
  <c r="AH191" i="1"/>
  <c r="AH191" i="2" s="1"/>
  <c r="AI191" i="1"/>
  <c r="AI191" i="2" s="1"/>
  <c r="AJ191" i="1"/>
  <c r="AJ191" i="2" s="1"/>
  <c r="AK191" i="1"/>
  <c r="AK191" i="2" s="1"/>
  <c r="AL191" i="1"/>
  <c r="AL191" i="2" s="1"/>
  <c r="AM191" i="1"/>
  <c r="AM191" i="2" s="1"/>
  <c r="J192" i="1"/>
  <c r="J192" i="2" s="1"/>
  <c r="K192" i="1"/>
  <c r="K192" i="2" s="1"/>
  <c r="L192" i="1"/>
  <c r="L192" i="2" s="1"/>
  <c r="M192" i="1"/>
  <c r="M192" i="2" s="1"/>
  <c r="N192" i="1"/>
  <c r="N192" i="2" s="1"/>
  <c r="O192" i="1"/>
  <c r="O192" i="2" s="1"/>
  <c r="P192" i="1"/>
  <c r="P192" i="2" s="1"/>
  <c r="Q192" i="1"/>
  <c r="Q192" i="2" s="1"/>
  <c r="R192" i="1"/>
  <c r="R192" i="2" s="1"/>
  <c r="S192" i="1"/>
  <c r="S192" i="2" s="1"/>
  <c r="T192" i="1"/>
  <c r="T192" i="2" s="1"/>
  <c r="U192" i="1"/>
  <c r="U192" i="2" s="1"/>
  <c r="V192" i="1"/>
  <c r="V192" i="2" s="1"/>
  <c r="W192" i="1"/>
  <c r="W192" i="2" s="1"/>
  <c r="X192" i="1"/>
  <c r="X192" i="2" s="1"/>
  <c r="Y192" i="1"/>
  <c r="Y192" i="2" s="1"/>
  <c r="Z192" i="1"/>
  <c r="Z192" i="2" s="1"/>
  <c r="AA192" i="1"/>
  <c r="AA192" i="2" s="1"/>
  <c r="AB192" i="1"/>
  <c r="AB192" i="2" s="1"/>
  <c r="AC192" i="1"/>
  <c r="AC192" i="2" s="1"/>
  <c r="AD192" i="1"/>
  <c r="AD192" i="2" s="1"/>
  <c r="AE192" i="1"/>
  <c r="AE192" i="2" s="1"/>
  <c r="AF192" i="1"/>
  <c r="AF192" i="2" s="1"/>
  <c r="AG192" i="1"/>
  <c r="AG192" i="2" s="1"/>
  <c r="AH192" i="1"/>
  <c r="AH192" i="2" s="1"/>
  <c r="AI192" i="1"/>
  <c r="AI192" i="2" s="1"/>
  <c r="AJ192" i="1"/>
  <c r="AJ192" i="2" s="1"/>
  <c r="AK192" i="1"/>
  <c r="AK192" i="2" s="1"/>
  <c r="AL192" i="1"/>
  <c r="AL192" i="2" s="1"/>
  <c r="AM192" i="1"/>
  <c r="AM192" i="2" s="1"/>
  <c r="J193" i="1"/>
  <c r="J193" i="2" s="1"/>
  <c r="K193" i="1"/>
  <c r="K193" i="2" s="1"/>
  <c r="L193" i="1"/>
  <c r="L193" i="2" s="1"/>
  <c r="M193" i="1"/>
  <c r="M193" i="2" s="1"/>
  <c r="N193" i="1"/>
  <c r="N193" i="2" s="1"/>
  <c r="O193" i="1"/>
  <c r="O193" i="2" s="1"/>
  <c r="P193" i="1"/>
  <c r="P193" i="2" s="1"/>
  <c r="Q193" i="1"/>
  <c r="Q193" i="2" s="1"/>
  <c r="R193" i="1"/>
  <c r="R193" i="2" s="1"/>
  <c r="S193" i="1"/>
  <c r="S193" i="2" s="1"/>
  <c r="T193" i="1"/>
  <c r="T193" i="2" s="1"/>
  <c r="U193" i="1"/>
  <c r="U193" i="2" s="1"/>
  <c r="V193" i="1"/>
  <c r="V193" i="2" s="1"/>
  <c r="W193" i="1"/>
  <c r="W193" i="2" s="1"/>
  <c r="X193" i="1"/>
  <c r="X193" i="2" s="1"/>
  <c r="Y193" i="1"/>
  <c r="Y193" i="2" s="1"/>
  <c r="Z193" i="1"/>
  <c r="Z193" i="2" s="1"/>
  <c r="AA193" i="1"/>
  <c r="AA193" i="2" s="1"/>
  <c r="AB193" i="1"/>
  <c r="AB193" i="2" s="1"/>
  <c r="AC193" i="1"/>
  <c r="AC193" i="2" s="1"/>
  <c r="AD193" i="1"/>
  <c r="AD193" i="2" s="1"/>
  <c r="AE193" i="1"/>
  <c r="AE193" i="2" s="1"/>
  <c r="AF193" i="1"/>
  <c r="AF193" i="2" s="1"/>
  <c r="AG193" i="1"/>
  <c r="AG193" i="2" s="1"/>
  <c r="AH193" i="1"/>
  <c r="AH193" i="2" s="1"/>
  <c r="AI193" i="1"/>
  <c r="AI193" i="2" s="1"/>
  <c r="AJ193" i="1"/>
  <c r="AJ193" i="2" s="1"/>
  <c r="AK193" i="1"/>
  <c r="AK193" i="2" s="1"/>
  <c r="AL193" i="1"/>
  <c r="AL193" i="2" s="1"/>
  <c r="AM193" i="1"/>
  <c r="AM193" i="2" s="1"/>
  <c r="J194" i="1"/>
  <c r="J194" i="2" s="1"/>
  <c r="K194" i="1"/>
  <c r="K194" i="2" s="1"/>
  <c r="L194" i="1"/>
  <c r="L194" i="2" s="1"/>
  <c r="M194" i="1"/>
  <c r="M194" i="2" s="1"/>
  <c r="N194" i="1"/>
  <c r="N194" i="2" s="1"/>
  <c r="O194" i="1"/>
  <c r="O194" i="2" s="1"/>
  <c r="P194" i="1"/>
  <c r="P194" i="2" s="1"/>
  <c r="Q194" i="1"/>
  <c r="Q194" i="2" s="1"/>
  <c r="R194" i="1"/>
  <c r="R194" i="2" s="1"/>
  <c r="S194" i="1"/>
  <c r="S194" i="2" s="1"/>
  <c r="T194" i="1"/>
  <c r="T194" i="2" s="1"/>
  <c r="U194" i="1"/>
  <c r="U194" i="2" s="1"/>
  <c r="V194" i="1"/>
  <c r="V194" i="2" s="1"/>
  <c r="W194" i="1"/>
  <c r="W194" i="2" s="1"/>
  <c r="X194" i="1"/>
  <c r="X194" i="2" s="1"/>
  <c r="Y194" i="1"/>
  <c r="Y194" i="2" s="1"/>
  <c r="Z194" i="1"/>
  <c r="Z194" i="2" s="1"/>
  <c r="AA194" i="1"/>
  <c r="AA194" i="2" s="1"/>
  <c r="AB194" i="1"/>
  <c r="AB194" i="2" s="1"/>
  <c r="AC194" i="1"/>
  <c r="AC194" i="2" s="1"/>
  <c r="AD194" i="1"/>
  <c r="AD194" i="2" s="1"/>
  <c r="AE194" i="1"/>
  <c r="AE194" i="2" s="1"/>
  <c r="AF194" i="1"/>
  <c r="AF194" i="2" s="1"/>
  <c r="AG194" i="1"/>
  <c r="AG194" i="2" s="1"/>
  <c r="AH194" i="1"/>
  <c r="AH194" i="2" s="1"/>
  <c r="AI194" i="1"/>
  <c r="AI194" i="2" s="1"/>
  <c r="AJ194" i="1"/>
  <c r="AJ194" i="2" s="1"/>
  <c r="AK194" i="1"/>
  <c r="AK194" i="2" s="1"/>
  <c r="AL194" i="1"/>
  <c r="AL194" i="2" s="1"/>
  <c r="AM194" i="1"/>
  <c r="AM194" i="2" s="1"/>
  <c r="J195" i="1"/>
  <c r="J195" i="2" s="1"/>
  <c r="K195" i="1"/>
  <c r="K195" i="2" s="1"/>
  <c r="L195" i="1"/>
  <c r="L195" i="2" s="1"/>
  <c r="M195" i="1"/>
  <c r="M195" i="2" s="1"/>
  <c r="N195" i="1"/>
  <c r="N195" i="2" s="1"/>
  <c r="O195" i="1"/>
  <c r="O195" i="2" s="1"/>
  <c r="P195" i="1"/>
  <c r="P195" i="2" s="1"/>
  <c r="Q195" i="1"/>
  <c r="Q195" i="2" s="1"/>
  <c r="R195" i="1"/>
  <c r="R195" i="2" s="1"/>
  <c r="S195" i="1"/>
  <c r="S195" i="2" s="1"/>
  <c r="T195" i="1"/>
  <c r="T195" i="2" s="1"/>
  <c r="U195" i="1"/>
  <c r="U195" i="2" s="1"/>
  <c r="V195" i="1"/>
  <c r="V195" i="2" s="1"/>
  <c r="W195" i="1"/>
  <c r="W195" i="2" s="1"/>
  <c r="X195" i="1"/>
  <c r="X195" i="2" s="1"/>
  <c r="Y195" i="1"/>
  <c r="Y195" i="2" s="1"/>
  <c r="Z195" i="1"/>
  <c r="Z195" i="2" s="1"/>
  <c r="AA195" i="1"/>
  <c r="AA195" i="2" s="1"/>
  <c r="AB195" i="1"/>
  <c r="AB195" i="2" s="1"/>
  <c r="AC195" i="1"/>
  <c r="AC195" i="2" s="1"/>
  <c r="AD195" i="1"/>
  <c r="AD195" i="2" s="1"/>
  <c r="AE195" i="1"/>
  <c r="AE195" i="2" s="1"/>
  <c r="AF195" i="1"/>
  <c r="AF195" i="2" s="1"/>
  <c r="AG195" i="1"/>
  <c r="AG195" i="2" s="1"/>
  <c r="AH195" i="1"/>
  <c r="AH195" i="2" s="1"/>
  <c r="AI195" i="1"/>
  <c r="AI195" i="2" s="1"/>
  <c r="AJ195" i="1"/>
  <c r="AJ195" i="2" s="1"/>
  <c r="AK195" i="1"/>
  <c r="AK195" i="2" s="1"/>
  <c r="AL195" i="1"/>
  <c r="AL195" i="2" s="1"/>
  <c r="AM195" i="1"/>
  <c r="AM195" i="2" s="1"/>
  <c r="J196" i="1"/>
  <c r="J196" i="2" s="1"/>
  <c r="K196" i="1"/>
  <c r="K196" i="2" s="1"/>
  <c r="L196" i="1"/>
  <c r="L196" i="2" s="1"/>
  <c r="M196" i="1"/>
  <c r="M196" i="2" s="1"/>
  <c r="N196" i="1"/>
  <c r="N196" i="2" s="1"/>
  <c r="O196" i="1"/>
  <c r="O196" i="2" s="1"/>
  <c r="P196" i="1"/>
  <c r="P196" i="2" s="1"/>
  <c r="Q196" i="1"/>
  <c r="Q196" i="2" s="1"/>
  <c r="R196" i="1"/>
  <c r="R196" i="2" s="1"/>
  <c r="S196" i="1"/>
  <c r="S196" i="2" s="1"/>
  <c r="T196" i="1"/>
  <c r="T196" i="2" s="1"/>
  <c r="U196" i="1"/>
  <c r="U196" i="2" s="1"/>
  <c r="V196" i="1"/>
  <c r="V196" i="2" s="1"/>
  <c r="W196" i="1"/>
  <c r="W196" i="2" s="1"/>
  <c r="X196" i="1"/>
  <c r="X196" i="2" s="1"/>
  <c r="Y196" i="1"/>
  <c r="Y196" i="2" s="1"/>
  <c r="Z196" i="1"/>
  <c r="Z196" i="2" s="1"/>
  <c r="AA196" i="1"/>
  <c r="AA196" i="2" s="1"/>
  <c r="AB196" i="1"/>
  <c r="AB196" i="2" s="1"/>
  <c r="AC196" i="1"/>
  <c r="AC196" i="2" s="1"/>
  <c r="AD196" i="1"/>
  <c r="AD196" i="2" s="1"/>
  <c r="AE196" i="1"/>
  <c r="AE196" i="2" s="1"/>
  <c r="AF196" i="1"/>
  <c r="AF196" i="2" s="1"/>
  <c r="AG196" i="1"/>
  <c r="AG196" i="2" s="1"/>
  <c r="AH196" i="1"/>
  <c r="AH196" i="2" s="1"/>
  <c r="AI196" i="1"/>
  <c r="AI196" i="2" s="1"/>
  <c r="AJ196" i="1"/>
  <c r="AJ196" i="2" s="1"/>
  <c r="AK196" i="1"/>
  <c r="AK196" i="2" s="1"/>
  <c r="AL196" i="1"/>
  <c r="AL196" i="2" s="1"/>
  <c r="AM196" i="1"/>
  <c r="AM196" i="2" s="1"/>
  <c r="J197" i="1"/>
  <c r="J197" i="2" s="1"/>
  <c r="K197" i="1"/>
  <c r="K197" i="2" s="1"/>
  <c r="L197" i="1"/>
  <c r="L197" i="2" s="1"/>
  <c r="M197" i="1"/>
  <c r="M197" i="2" s="1"/>
  <c r="N197" i="1"/>
  <c r="N197" i="2" s="1"/>
  <c r="O197" i="1"/>
  <c r="O197" i="2" s="1"/>
  <c r="P197" i="1"/>
  <c r="P197" i="2" s="1"/>
  <c r="Q197" i="1"/>
  <c r="Q197" i="2" s="1"/>
  <c r="R197" i="1"/>
  <c r="R197" i="2" s="1"/>
  <c r="S197" i="1"/>
  <c r="S197" i="2" s="1"/>
  <c r="T197" i="1"/>
  <c r="T197" i="2" s="1"/>
  <c r="U197" i="1"/>
  <c r="U197" i="2" s="1"/>
  <c r="V197" i="1"/>
  <c r="V197" i="2" s="1"/>
  <c r="W197" i="1"/>
  <c r="W197" i="2" s="1"/>
  <c r="X197" i="1"/>
  <c r="X197" i="2" s="1"/>
  <c r="Y197" i="1"/>
  <c r="Y197" i="2" s="1"/>
  <c r="Z197" i="1"/>
  <c r="Z197" i="2" s="1"/>
  <c r="AA197" i="1"/>
  <c r="AA197" i="2" s="1"/>
  <c r="AB197" i="1"/>
  <c r="AB197" i="2" s="1"/>
  <c r="AC197" i="1"/>
  <c r="AC197" i="2" s="1"/>
  <c r="AD197" i="1"/>
  <c r="AD197" i="2" s="1"/>
  <c r="AE197" i="1"/>
  <c r="AE197" i="2" s="1"/>
  <c r="AF197" i="1"/>
  <c r="AF197" i="2" s="1"/>
  <c r="AG197" i="1"/>
  <c r="AG197" i="2" s="1"/>
  <c r="AH197" i="1"/>
  <c r="AH197" i="2" s="1"/>
  <c r="AI197" i="1"/>
  <c r="AI197" i="2" s="1"/>
  <c r="AJ197" i="1"/>
  <c r="AJ197" i="2" s="1"/>
  <c r="AK197" i="1"/>
  <c r="AK197" i="2" s="1"/>
  <c r="AL197" i="1"/>
  <c r="AL197" i="2" s="1"/>
  <c r="AM197" i="1"/>
  <c r="AM197" i="2" s="1"/>
  <c r="J198" i="1"/>
  <c r="J198" i="2" s="1"/>
  <c r="K198" i="1"/>
  <c r="K198" i="2" s="1"/>
  <c r="L198" i="1"/>
  <c r="L198" i="2" s="1"/>
  <c r="M198" i="1"/>
  <c r="M198" i="2" s="1"/>
  <c r="N198" i="1"/>
  <c r="N198" i="2" s="1"/>
  <c r="O198" i="1"/>
  <c r="O198" i="2" s="1"/>
  <c r="P198" i="1"/>
  <c r="P198" i="2" s="1"/>
  <c r="Q198" i="1"/>
  <c r="Q198" i="2" s="1"/>
  <c r="R198" i="1"/>
  <c r="R198" i="2" s="1"/>
  <c r="S198" i="1"/>
  <c r="S198" i="2" s="1"/>
  <c r="T198" i="1"/>
  <c r="T198" i="2" s="1"/>
  <c r="U198" i="1"/>
  <c r="U198" i="2" s="1"/>
  <c r="V198" i="1"/>
  <c r="V198" i="2" s="1"/>
  <c r="W198" i="1"/>
  <c r="W198" i="2" s="1"/>
  <c r="X198" i="1"/>
  <c r="X198" i="2" s="1"/>
  <c r="Y198" i="1"/>
  <c r="Y198" i="2" s="1"/>
  <c r="Z198" i="1"/>
  <c r="Z198" i="2" s="1"/>
  <c r="AA198" i="1"/>
  <c r="AA198" i="2" s="1"/>
  <c r="AB198" i="1"/>
  <c r="AB198" i="2" s="1"/>
  <c r="AC198" i="1"/>
  <c r="AC198" i="2" s="1"/>
  <c r="AD198" i="1"/>
  <c r="AD198" i="2" s="1"/>
  <c r="AE198" i="1"/>
  <c r="AE198" i="2" s="1"/>
  <c r="AF198" i="1"/>
  <c r="AF198" i="2" s="1"/>
  <c r="AG198" i="1"/>
  <c r="AG198" i="2" s="1"/>
  <c r="AH198" i="1"/>
  <c r="AH198" i="2" s="1"/>
  <c r="AI198" i="1"/>
  <c r="AI198" i="2" s="1"/>
  <c r="AJ198" i="1"/>
  <c r="AJ198" i="2" s="1"/>
  <c r="AK198" i="1"/>
  <c r="AK198" i="2" s="1"/>
  <c r="AL198" i="1"/>
  <c r="AL198" i="2" s="1"/>
  <c r="AM198" i="1"/>
  <c r="AM198" i="2" s="1"/>
  <c r="J199" i="1"/>
  <c r="J199" i="2" s="1"/>
  <c r="K199" i="1"/>
  <c r="K199" i="2" s="1"/>
  <c r="L199" i="1"/>
  <c r="L199" i="2" s="1"/>
  <c r="M199" i="1"/>
  <c r="M199" i="2" s="1"/>
  <c r="N199" i="1"/>
  <c r="N199" i="2" s="1"/>
  <c r="O199" i="1"/>
  <c r="O199" i="2" s="1"/>
  <c r="P199" i="1"/>
  <c r="P199" i="2" s="1"/>
  <c r="Q199" i="1"/>
  <c r="Q199" i="2" s="1"/>
  <c r="R199" i="1"/>
  <c r="R199" i="2" s="1"/>
  <c r="S199" i="1"/>
  <c r="S199" i="2" s="1"/>
  <c r="T199" i="1"/>
  <c r="T199" i="2" s="1"/>
  <c r="U199" i="1"/>
  <c r="U199" i="2" s="1"/>
  <c r="V199" i="1"/>
  <c r="V199" i="2" s="1"/>
  <c r="W199" i="1"/>
  <c r="W199" i="2" s="1"/>
  <c r="X199" i="1"/>
  <c r="X199" i="2" s="1"/>
  <c r="Y199" i="1"/>
  <c r="Y199" i="2" s="1"/>
  <c r="Z199" i="1"/>
  <c r="Z199" i="2" s="1"/>
  <c r="AA199" i="1"/>
  <c r="AA199" i="2" s="1"/>
  <c r="AB199" i="1"/>
  <c r="AB199" i="2" s="1"/>
  <c r="AC199" i="1"/>
  <c r="AC199" i="2" s="1"/>
  <c r="AD199" i="1"/>
  <c r="AD199" i="2" s="1"/>
  <c r="AE199" i="1"/>
  <c r="AE199" i="2" s="1"/>
  <c r="AF199" i="1"/>
  <c r="AF199" i="2" s="1"/>
  <c r="AG199" i="1"/>
  <c r="AG199" i="2" s="1"/>
  <c r="AH199" i="1"/>
  <c r="AH199" i="2" s="1"/>
  <c r="AI199" i="1"/>
  <c r="AI199" i="2" s="1"/>
  <c r="AJ199" i="1"/>
  <c r="AJ199" i="2" s="1"/>
  <c r="AK199" i="1"/>
  <c r="AK199" i="2" s="1"/>
  <c r="AL199" i="1"/>
  <c r="AL199" i="2" s="1"/>
  <c r="AM199" i="1"/>
  <c r="AM199" i="2" s="1"/>
  <c r="J200" i="1"/>
  <c r="J200" i="2" s="1"/>
  <c r="K200" i="1"/>
  <c r="K200" i="2" s="1"/>
  <c r="L200" i="1"/>
  <c r="L200" i="2" s="1"/>
  <c r="M200" i="1"/>
  <c r="M200" i="2" s="1"/>
  <c r="N200" i="1"/>
  <c r="N200" i="2" s="1"/>
  <c r="O200" i="1"/>
  <c r="O200" i="2" s="1"/>
  <c r="P200" i="1"/>
  <c r="P200" i="2" s="1"/>
  <c r="Q200" i="1"/>
  <c r="Q200" i="2" s="1"/>
  <c r="R200" i="1"/>
  <c r="R200" i="2" s="1"/>
  <c r="S200" i="1"/>
  <c r="S200" i="2" s="1"/>
  <c r="T200" i="1"/>
  <c r="T200" i="2" s="1"/>
  <c r="U200" i="1"/>
  <c r="U200" i="2" s="1"/>
  <c r="V200" i="1"/>
  <c r="V200" i="2" s="1"/>
  <c r="W200" i="1"/>
  <c r="W200" i="2" s="1"/>
  <c r="X200" i="1"/>
  <c r="X200" i="2" s="1"/>
  <c r="Y200" i="1"/>
  <c r="Y200" i="2" s="1"/>
  <c r="Z200" i="1"/>
  <c r="Z200" i="2" s="1"/>
  <c r="AA200" i="1"/>
  <c r="AA200" i="2" s="1"/>
  <c r="AB200" i="1"/>
  <c r="AB200" i="2" s="1"/>
  <c r="AC200" i="1"/>
  <c r="AC200" i="2" s="1"/>
  <c r="AD200" i="1"/>
  <c r="AD200" i="2" s="1"/>
  <c r="AE200" i="1"/>
  <c r="AE200" i="2" s="1"/>
  <c r="AF200" i="1"/>
  <c r="AF200" i="2" s="1"/>
  <c r="AG200" i="1"/>
  <c r="AG200" i="2" s="1"/>
  <c r="AH200" i="1"/>
  <c r="AH200" i="2" s="1"/>
  <c r="AI200" i="1"/>
  <c r="AI200" i="2" s="1"/>
  <c r="AJ200" i="1"/>
  <c r="AJ200" i="2" s="1"/>
  <c r="AK200" i="1"/>
  <c r="AK200" i="2" s="1"/>
  <c r="AL200" i="1"/>
  <c r="AL200" i="2" s="1"/>
  <c r="AM200" i="1"/>
  <c r="AM200" i="2" s="1"/>
  <c r="I3" i="1"/>
  <c r="I3" i="2" s="1"/>
  <c r="I4" i="1"/>
  <c r="I4" i="2" s="1"/>
  <c r="I5" i="1"/>
  <c r="I5" i="2" s="1"/>
  <c r="I6" i="1"/>
  <c r="I6" i="2" s="1"/>
  <c r="I7" i="1"/>
  <c r="I7" i="2" s="1"/>
  <c r="I8" i="1"/>
  <c r="I8" i="2" s="1"/>
  <c r="I9" i="1"/>
  <c r="I9" i="2" s="1"/>
  <c r="I10" i="1"/>
  <c r="I10" i="2" s="1"/>
  <c r="I11" i="1"/>
  <c r="I11" i="2" s="1"/>
  <c r="I12" i="1"/>
  <c r="I12" i="2" s="1"/>
  <c r="I13" i="1"/>
  <c r="I13" i="2" s="1"/>
  <c r="I14" i="1"/>
  <c r="I14" i="2" s="1"/>
  <c r="I15" i="1"/>
  <c r="I15" i="2" s="1"/>
  <c r="I16" i="1"/>
  <c r="I16" i="2" s="1"/>
  <c r="I17" i="1"/>
  <c r="I17" i="2" s="1"/>
  <c r="I18" i="1"/>
  <c r="I18" i="2" s="1"/>
  <c r="I19" i="1"/>
  <c r="I19" i="2" s="1"/>
  <c r="I20" i="1"/>
  <c r="I20" i="2" s="1"/>
  <c r="I21" i="1"/>
  <c r="I21" i="2" s="1"/>
  <c r="I22" i="1"/>
  <c r="I22" i="2" s="1"/>
  <c r="I23" i="1"/>
  <c r="I23" i="2" s="1"/>
  <c r="I24" i="1"/>
  <c r="I24" i="2" s="1"/>
  <c r="I25" i="1"/>
  <c r="I25" i="2" s="1"/>
  <c r="I26" i="1"/>
  <c r="I26" i="2" s="1"/>
  <c r="I27" i="1"/>
  <c r="I27" i="2" s="1"/>
  <c r="I28" i="1"/>
  <c r="I28" i="2" s="1"/>
  <c r="I29" i="1"/>
  <c r="I29" i="2" s="1"/>
  <c r="I30" i="1"/>
  <c r="I30" i="2" s="1"/>
  <c r="I31" i="1"/>
  <c r="I31" i="2" s="1"/>
  <c r="I32" i="1"/>
  <c r="I32" i="2" s="1"/>
  <c r="I33" i="1"/>
  <c r="I33" i="2" s="1"/>
  <c r="I34" i="1"/>
  <c r="I34" i="2" s="1"/>
  <c r="I35" i="1"/>
  <c r="I35" i="2" s="1"/>
  <c r="I36" i="1"/>
  <c r="I36" i="2" s="1"/>
  <c r="I37" i="1"/>
  <c r="I37" i="2" s="1"/>
  <c r="I38" i="1"/>
  <c r="I38" i="2" s="1"/>
  <c r="I39" i="1"/>
  <c r="I39" i="2" s="1"/>
  <c r="I40" i="1"/>
  <c r="I40" i="2" s="1"/>
  <c r="I41" i="1"/>
  <c r="I41" i="2" s="1"/>
  <c r="I42" i="1"/>
  <c r="I42" i="2" s="1"/>
  <c r="I43" i="1"/>
  <c r="I43" i="2" s="1"/>
  <c r="I44" i="1"/>
  <c r="I44" i="2" s="1"/>
  <c r="I45" i="1"/>
  <c r="I45" i="2" s="1"/>
  <c r="I46" i="1"/>
  <c r="I46" i="2" s="1"/>
  <c r="I47" i="1"/>
  <c r="I47" i="2" s="1"/>
  <c r="I48" i="1"/>
  <c r="I48" i="2" s="1"/>
  <c r="I49" i="1"/>
  <c r="I49" i="2" s="1"/>
  <c r="I50" i="1"/>
  <c r="I50" i="2" s="1"/>
  <c r="I51" i="1"/>
  <c r="I51" i="2" s="1"/>
  <c r="I52" i="1"/>
  <c r="I52" i="2" s="1"/>
  <c r="I53" i="1"/>
  <c r="I53" i="2" s="1"/>
  <c r="I54" i="1"/>
  <c r="I54" i="2" s="1"/>
  <c r="I55" i="1"/>
  <c r="I55" i="2" s="1"/>
  <c r="I56" i="1"/>
  <c r="I56" i="2" s="1"/>
  <c r="I57" i="1"/>
  <c r="I57" i="2" s="1"/>
  <c r="I58" i="1"/>
  <c r="I58" i="2" s="1"/>
  <c r="I59" i="1"/>
  <c r="I59" i="2" s="1"/>
  <c r="I60" i="1"/>
  <c r="I60" i="2" s="1"/>
  <c r="I61" i="1"/>
  <c r="I61" i="2" s="1"/>
  <c r="I62" i="1"/>
  <c r="I62" i="2" s="1"/>
  <c r="I63" i="1"/>
  <c r="I63" i="2" s="1"/>
  <c r="I64" i="1"/>
  <c r="I64" i="2" s="1"/>
  <c r="I65" i="1"/>
  <c r="I65" i="2" s="1"/>
  <c r="I66" i="1"/>
  <c r="I66" i="2" s="1"/>
  <c r="I67" i="1"/>
  <c r="I67" i="2" s="1"/>
  <c r="I68" i="1"/>
  <c r="I68" i="2" s="1"/>
  <c r="I69" i="1"/>
  <c r="I69" i="2" s="1"/>
  <c r="I70" i="1"/>
  <c r="I70" i="2" s="1"/>
  <c r="I71" i="1"/>
  <c r="I71" i="2" s="1"/>
  <c r="I72" i="1"/>
  <c r="I72" i="2" s="1"/>
  <c r="I73" i="1"/>
  <c r="I73" i="2" s="1"/>
  <c r="I74" i="1"/>
  <c r="I74" i="2" s="1"/>
  <c r="I75" i="1"/>
  <c r="I75" i="2" s="1"/>
  <c r="I76" i="1"/>
  <c r="I76" i="2" s="1"/>
  <c r="I77" i="1"/>
  <c r="I77" i="2" s="1"/>
  <c r="I78" i="1"/>
  <c r="I78" i="2" s="1"/>
  <c r="I79" i="1"/>
  <c r="I79" i="2" s="1"/>
  <c r="I80" i="1"/>
  <c r="I80" i="2" s="1"/>
  <c r="I81" i="1"/>
  <c r="I81" i="2" s="1"/>
  <c r="I82" i="1"/>
  <c r="I82" i="2" s="1"/>
  <c r="I83" i="1"/>
  <c r="I83" i="2" s="1"/>
  <c r="I84" i="1"/>
  <c r="I84" i="2" s="1"/>
  <c r="I85" i="1"/>
  <c r="I85" i="2" s="1"/>
  <c r="I86" i="1"/>
  <c r="I86" i="2" s="1"/>
  <c r="I87" i="1"/>
  <c r="I87" i="2" s="1"/>
  <c r="I88" i="1"/>
  <c r="I88" i="2" s="1"/>
  <c r="I89" i="1"/>
  <c r="I89" i="2" s="1"/>
  <c r="I90" i="1"/>
  <c r="I90" i="2" s="1"/>
  <c r="I91" i="1"/>
  <c r="I91" i="2" s="1"/>
  <c r="I92" i="1"/>
  <c r="I92" i="2" s="1"/>
  <c r="I93" i="1"/>
  <c r="I93" i="2" s="1"/>
  <c r="I94" i="1"/>
  <c r="I94" i="2" s="1"/>
  <c r="I95" i="1"/>
  <c r="I95" i="2" s="1"/>
  <c r="I96" i="1"/>
  <c r="I96" i="2" s="1"/>
  <c r="I97" i="1"/>
  <c r="I97" i="2" s="1"/>
  <c r="I98" i="1"/>
  <c r="I98" i="2" s="1"/>
  <c r="I99" i="1"/>
  <c r="I99" i="2" s="1"/>
  <c r="I100" i="1"/>
  <c r="I100" i="2" s="1"/>
  <c r="I101" i="1"/>
  <c r="I101" i="2" s="1"/>
  <c r="I102" i="1"/>
  <c r="I102" i="2" s="1"/>
  <c r="I103" i="1"/>
  <c r="I103" i="2" s="1"/>
  <c r="I104" i="1"/>
  <c r="I104" i="2" s="1"/>
  <c r="I105" i="1"/>
  <c r="I105" i="2" s="1"/>
  <c r="I106" i="1"/>
  <c r="I106" i="2" s="1"/>
  <c r="I107" i="1"/>
  <c r="I107" i="2" s="1"/>
  <c r="I108" i="1"/>
  <c r="I108" i="2" s="1"/>
  <c r="I109" i="1"/>
  <c r="I109" i="2" s="1"/>
  <c r="I110" i="1"/>
  <c r="I110" i="2" s="1"/>
  <c r="I111" i="1"/>
  <c r="I111" i="2" s="1"/>
  <c r="I112" i="1"/>
  <c r="I112" i="2" s="1"/>
  <c r="I113" i="1"/>
  <c r="I113" i="2" s="1"/>
  <c r="I114" i="1"/>
  <c r="I114" i="2" s="1"/>
  <c r="I115" i="1"/>
  <c r="I115" i="2" s="1"/>
  <c r="I116" i="1"/>
  <c r="I116" i="2" s="1"/>
  <c r="I117" i="1"/>
  <c r="I117" i="2" s="1"/>
  <c r="I118" i="1"/>
  <c r="I118" i="2" s="1"/>
  <c r="I119" i="1"/>
  <c r="I119" i="2" s="1"/>
  <c r="I120" i="1"/>
  <c r="I120" i="2" s="1"/>
  <c r="I121" i="1"/>
  <c r="I121" i="2" s="1"/>
  <c r="I122" i="1"/>
  <c r="I122" i="2" s="1"/>
  <c r="I123" i="1"/>
  <c r="I123" i="2" s="1"/>
  <c r="I124" i="1"/>
  <c r="I124" i="2" s="1"/>
  <c r="I125" i="1"/>
  <c r="I125" i="2" s="1"/>
  <c r="I126" i="1"/>
  <c r="I126" i="2" s="1"/>
  <c r="I127" i="1"/>
  <c r="I127" i="2" s="1"/>
  <c r="I128" i="1"/>
  <c r="I128" i="2" s="1"/>
  <c r="I129" i="1"/>
  <c r="I129" i="2" s="1"/>
  <c r="I130" i="1"/>
  <c r="I130" i="2" s="1"/>
  <c r="I131" i="1"/>
  <c r="I131" i="2" s="1"/>
  <c r="I132" i="1"/>
  <c r="I132" i="2" s="1"/>
  <c r="I133" i="1"/>
  <c r="I133" i="2" s="1"/>
  <c r="I134" i="1"/>
  <c r="I134" i="2" s="1"/>
  <c r="I135" i="1"/>
  <c r="I135" i="2" s="1"/>
  <c r="I136" i="1"/>
  <c r="I136" i="2" s="1"/>
  <c r="I137" i="1"/>
  <c r="I137" i="2" s="1"/>
  <c r="I138" i="1"/>
  <c r="I138" i="2" s="1"/>
  <c r="I139" i="1"/>
  <c r="I139" i="2" s="1"/>
  <c r="I140" i="1"/>
  <c r="I140" i="2" s="1"/>
  <c r="I141" i="1"/>
  <c r="I141" i="2" s="1"/>
  <c r="I142" i="1"/>
  <c r="I142" i="2" s="1"/>
  <c r="I143" i="1"/>
  <c r="I143" i="2" s="1"/>
  <c r="I144" i="1"/>
  <c r="I144" i="2" s="1"/>
  <c r="I145" i="1"/>
  <c r="I145" i="2" s="1"/>
  <c r="I146" i="1"/>
  <c r="I146" i="2" s="1"/>
  <c r="I147" i="1"/>
  <c r="I147" i="2" s="1"/>
  <c r="I148" i="1"/>
  <c r="I148" i="2" s="1"/>
  <c r="I149" i="1"/>
  <c r="I149" i="2" s="1"/>
  <c r="I150" i="1"/>
  <c r="I150" i="2" s="1"/>
  <c r="I151" i="1"/>
  <c r="I151" i="2" s="1"/>
  <c r="I152" i="1"/>
  <c r="I152" i="2" s="1"/>
  <c r="I153" i="1"/>
  <c r="I153" i="2" s="1"/>
  <c r="I154" i="1"/>
  <c r="I154" i="2" s="1"/>
  <c r="I155" i="1"/>
  <c r="I155" i="2" s="1"/>
  <c r="I156" i="1"/>
  <c r="I156" i="2" s="1"/>
  <c r="I157" i="1"/>
  <c r="I157" i="2" s="1"/>
  <c r="I158" i="1"/>
  <c r="I158" i="2" s="1"/>
  <c r="I159" i="1"/>
  <c r="I159" i="2" s="1"/>
  <c r="I160" i="1"/>
  <c r="I160" i="2" s="1"/>
  <c r="I161" i="1"/>
  <c r="I161" i="2" s="1"/>
  <c r="I162" i="1"/>
  <c r="I162" i="2" s="1"/>
  <c r="I163" i="1"/>
  <c r="I163" i="2" s="1"/>
  <c r="I164" i="1"/>
  <c r="I164" i="2" s="1"/>
  <c r="I165" i="1"/>
  <c r="I165" i="2" s="1"/>
  <c r="I166" i="1"/>
  <c r="I166" i="2" s="1"/>
  <c r="I167" i="1"/>
  <c r="I167" i="2" s="1"/>
  <c r="I168" i="1"/>
  <c r="I168" i="2" s="1"/>
  <c r="I169" i="1"/>
  <c r="I169" i="2" s="1"/>
  <c r="I170" i="1"/>
  <c r="I170" i="2" s="1"/>
  <c r="I171" i="1"/>
  <c r="I171" i="2" s="1"/>
  <c r="I172" i="1"/>
  <c r="I172" i="2" s="1"/>
  <c r="I173" i="1"/>
  <c r="I173" i="2" s="1"/>
  <c r="I174" i="1"/>
  <c r="I174" i="2" s="1"/>
  <c r="I175" i="1"/>
  <c r="I175" i="2" s="1"/>
  <c r="I176" i="1"/>
  <c r="I176" i="2" s="1"/>
  <c r="I177" i="1"/>
  <c r="I177" i="2" s="1"/>
  <c r="I178" i="1"/>
  <c r="I178" i="2" s="1"/>
  <c r="I179" i="1"/>
  <c r="I179" i="2" s="1"/>
  <c r="I180" i="1"/>
  <c r="I180" i="2" s="1"/>
  <c r="I181" i="1"/>
  <c r="I181" i="2" s="1"/>
  <c r="I182" i="1"/>
  <c r="I182" i="2" s="1"/>
  <c r="I183" i="1"/>
  <c r="I183" i="2" s="1"/>
  <c r="I184" i="1"/>
  <c r="I184" i="2" s="1"/>
  <c r="I185" i="1"/>
  <c r="I185" i="2" s="1"/>
  <c r="I186" i="1"/>
  <c r="I186" i="2" s="1"/>
  <c r="I187" i="1"/>
  <c r="I187" i="2" s="1"/>
  <c r="I188" i="1"/>
  <c r="I188" i="2" s="1"/>
  <c r="I189" i="1"/>
  <c r="I189" i="2" s="1"/>
  <c r="I190" i="1"/>
  <c r="I190" i="2" s="1"/>
  <c r="I191" i="1"/>
  <c r="I191" i="2" s="1"/>
  <c r="I192" i="1"/>
  <c r="I192" i="2" s="1"/>
  <c r="I193" i="1"/>
  <c r="I193" i="2" s="1"/>
  <c r="I194" i="1"/>
  <c r="I194" i="2" s="1"/>
  <c r="I195" i="1"/>
  <c r="I195" i="2" s="1"/>
  <c r="I196" i="1"/>
  <c r="I196" i="2" s="1"/>
  <c r="I197" i="1"/>
  <c r="I197" i="2" s="1"/>
  <c r="I198" i="1"/>
  <c r="I198" i="2" s="1"/>
  <c r="I199" i="1"/>
  <c r="I199" i="2" s="1"/>
  <c r="I200" i="1"/>
  <c r="I200" i="2" s="1"/>
  <c r="I2" i="1"/>
  <c r="I2" i="2" s="1"/>
</calcChain>
</file>

<file path=xl/sharedStrings.xml><?xml version="1.0" encoding="utf-8"?>
<sst xmlns="http://schemas.openxmlformats.org/spreadsheetml/2006/main" count="4018" uniqueCount="447">
  <si>
    <t>Model</t>
  </si>
  <si>
    <t>Scenario</t>
  </si>
  <si>
    <t>Region</t>
  </si>
  <si>
    <t>Variable</t>
  </si>
  <si>
    <t>Unit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</si>
  <si>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</si>
  <si>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</si>
  <si>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</si>
  <si>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</si>
  <si>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</si>
  <si>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</si>
  <si>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</si>
  <si>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</si>
  <si>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</si>
  <si>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</si>
  <si>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</si>
  <si>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</si>
  <si>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</si>
  <si>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</si>
  <si>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</si>
  <si>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</si>
  <si>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</si>
  <si>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</si>
  <si>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</si>
  <si>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</si>
  <si>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</si>
  <si>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</si>
  <si>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</si>
  <si>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</si>
  <si>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</si>
  <si>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IIASA-WiC POP 2023</t>
  </si>
  <si>
    <t>SSP2</t>
  </si>
  <si>
    <t>Aruba</t>
  </si>
  <si>
    <t>Population</t>
  </si>
  <si>
    <t>million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</si>
  <si>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</si>
  <si>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</si>
  <si>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</si>
  <si>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</si>
  <si>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</si>
  <si>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</si>
  <si>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</si>
  <si>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</si>
  <si>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</si>
  <si>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</si>
  <si>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</si>
  <si>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</si>
  <si>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</si>
  <si>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</si>
  <si>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</si>
  <si>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</si>
  <si>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</si>
  <si>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</si>
  <si>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</si>
  <si>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</si>
  <si>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</si>
  <si>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</si>
  <si>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</si>
  <si>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</si>
  <si>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</si>
  <si>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</si>
  <si>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</si>
  <si>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</si>
  <si>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</si>
  <si>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</si>
  <si>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</si>
  <si>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C?te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</si>
  <si>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</si>
  <si>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</si>
  <si>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</si>
  <si>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</si>
  <si>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</si>
  <si>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</si>
  <si>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</si>
  <si>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</si>
  <si>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</si>
  <si>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</si>
  <si>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</si>
  <si>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</si>
  <si>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</si>
  <si>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</si>
  <si>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</si>
  <si>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</si>
  <si>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</si>
  <si>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</si>
  <si>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</si>
  <si>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</si>
  <si>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</si>
  <si>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</si>
  <si>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</si>
  <si>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</si>
  <si>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</si>
  <si>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</si>
  <si>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</si>
  <si>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</si>
  <si>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</si>
  <si>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</si>
  <si>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</si>
  <si>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</si>
  <si>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</si>
  <si>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</si>
  <si>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</si>
  <si>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</si>
  <si>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</si>
  <si>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</si>
  <si>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</si>
  <si>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</si>
  <si>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</si>
  <si>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</si>
  <si>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</si>
  <si>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</si>
  <si>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</si>
  <si>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</si>
  <si>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</si>
  <si>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</si>
  <si>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</si>
  <si>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</si>
  <si>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</si>
  <si>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</si>
  <si>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</si>
  <si>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</si>
  <si>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</si>
  <si>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</si>
  <si>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</si>
  <si>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</si>
  <si>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</si>
  <si>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</si>
  <si>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</si>
  <si>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</si>
  <si>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</si>
  <si>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</si>
  <si>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</si>
  <si>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</si>
  <si>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</si>
  <si>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</si>
  <si>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</si>
  <si>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</si>
  <si>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</si>
  <si>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</si>
  <si>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</si>
  <si>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</si>
  <si>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</si>
  <si>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</si>
  <si>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</si>
  <si>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</si>
  <si>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</si>
  <si>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</si>
  <si>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</si>
  <si>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</si>
  <si>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</si>
  <si>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</si>
  <si>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</si>
  <si>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</si>
  <si>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</si>
  <si>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</si>
  <si>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</si>
  <si>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</si>
  <si>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</si>
  <si>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</si>
  <si>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</si>
  <si>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</si>
  <si>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</si>
  <si>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</si>
  <si>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</si>
  <si>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</si>
  <si>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</si>
  <si>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</si>
  <si>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</si>
  <si>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</si>
  <si>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</si>
  <si>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</si>
  <si>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</si>
  <si>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</si>
  <si>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</si>
  <si>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</si>
  <si>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</si>
  <si>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</si>
  <si>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</si>
  <si>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</si>
  <si>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</si>
  <si>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</si>
  <si>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</si>
  <si>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</si>
  <si>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R?union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</si>
  <si>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</si>
  <si>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</si>
  <si>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</si>
  <si>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</si>
  <si>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</si>
  <si>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</si>
  <si>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</si>
  <si>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</si>
  <si>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</si>
  <si>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</si>
  <si>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</si>
  <si>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</si>
  <si>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</si>
  <si>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</si>
  <si>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</si>
  <si>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</si>
  <si>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</si>
  <si>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</si>
  <si>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</si>
  <si>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</si>
  <si>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</si>
  <si>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</si>
  <si>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</si>
  <si>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</si>
  <si>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</si>
  <si>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</si>
  <si>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</si>
  <si>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</si>
  <si>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</si>
  <si>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</si>
  <si>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</si>
  <si>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</si>
  <si>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</si>
  <si>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</si>
  <si>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</si>
  <si>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</si>
  <si>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</si>
  <si>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</si>
  <si>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</si>
  <si>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</si>
  <si>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</si>
  <si>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</si>
  <si>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</si>
  <si>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</si>
  <si>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</si>
  <si>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</si>
  <si>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</si>
  <si>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</si>
  <si>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OECD ENV-Growth 2023</t>
  </si>
  <si>
    <t>GDP|PPP</t>
  </si>
  <si>
    <t>billion USD_2017/yr</t>
  </si>
  <si>
    <t>IMAGE</t>
  </si>
  <si>
    <t>Central America</t>
  </si>
  <si>
    <t>Central Europe</t>
  </si>
  <si>
    <t>USA</t>
  </si>
  <si>
    <t>Vietnam</t>
  </si>
  <si>
    <t>Russia</t>
  </si>
  <si>
    <t>Reunion</t>
  </si>
  <si>
    <t>Southeastern Asia</t>
  </si>
  <si>
    <t>Rest of South Asia</t>
  </si>
  <si>
    <t>Cote d'Ivoire</t>
  </si>
  <si>
    <t>Western Africa</t>
  </si>
  <si>
    <t>Eastern Africa</t>
  </si>
  <si>
    <t>Curacao</t>
  </si>
  <si>
    <t>Rest of South America</t>
  </si>
  <si>
    <t>Northern Africa</t>
  </si>
  <si>
    <t>Oceania</t>
  </si>
  <si>
    <t>Western Europe</t>
  </si>
  <si>
    <t/>
  </si>
  <si>
    <t>Rest of Southern Africa</t>
  </si>
  <si>
    <t>Russia region</t>
  </si>
  <si>
    <t>ISO-3code</t>
  </si>
  <si>
    <t>Bahamas, The</t>
  </si>
  <si>
    <t>Congo, Dem. Rep.</t>
  </si>
  <si>
    <t>Congo, Rep.</t>
  </si>
  <si>
    <t>EGY</t>
  </si>
  <si>
    <t>GMB</t>
  </si>
  <si>
    <t>IRN</t>
  </si>
  <si>
    <t>KGZ</t>
  </si>
  <si>
    <t>KOR</t>
  </si>
  <si>
    <t>LAO</t>
  </si>
  <si>
    <t>LCA</t>
  </si>
  <si>
    <t>PRK</t>
  </si>
  <si>
    <t>SVK</t>
  </si>
  <si>
    <t>SYR</t>
  </si>
  <si>
    <t>PSE</t>
  </si>
  <si>
    <t>TUR</t>
  </si>
  <si>
    <t>VEN</t>
  </si>
  <si>
    <t>VIR</t>
  </si>
  <si>
    <t>VNM</t>
  </si>
  <si>
    <t>YEM</t>
  </si>
  <si>
    <t>ABW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</si>
  <si>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</si>
  <si>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</si>
  <si>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</si>
  <si>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</si>
  <si>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</si>
  <si>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</si>
  <si>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</si>
  <si>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</si>
  <si>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</si>
  <si>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</si>
  <si>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</si>
  <si>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</si>
  <si>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</si>
  <si>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</si>
  <si>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</si>
  <si>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</si>
  <si>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</si>
  <si>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</si>
  <si>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</si>
  <si>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</si>
  <si>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</si>
  <si>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</si>
  <si>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</si>
  <si>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</si>
  <si>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</si>
  <si>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</si>
  <si>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</si>
  <si>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</si>
  <si>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</si>
  <si>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</si>
  <si>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</si>
  <si>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</si>
  <si>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</si>
  <si>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</si>
  <si>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</si>
  <si>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</si>
  <si>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</si>
  <si>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</si>
  <si>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</si>
  <si>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</si>
  <si>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</si>
  <si>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CYP</t>
  </si>
  <si>
    <t>CZE</t>
  </si>
  <si>
    <t>DEU</t>
  </si>
  <si>
    <t>DJI</t>
  </si>
  <si>
    <t>DNK</t>
  </si>
  <si>
    <t>DOM</t>
  </si>
  <si>
    <t>DZA</t>
  </si>
  <si>
    <t>ECU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</si>
  <si>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</si>
  <si>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</si>
  <si>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</si>
  <si>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</si>
  <si>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</si>
  <si>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</si>
  <si>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</si>
  <si>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</si>
  <si>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</si>
  <si>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</si>
  <si>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</si>
  <si>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</si>
  <si>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GNB</t>
  </si>
  <si>
    <t>GNQ</t>
  </si>
  <si>
    <t>GRC</t>
  </si>
  <si>
    <t>GRD</t>
  </si>
  <si>
    <t>GTM</t>
  </si>
  <si>
    <t>GUM</t>
  </si>
  <si>
    <t>GUY</t>
  </si>
  <si>
    <t>HND</t>
  </si>
  <si>
    <t>HRV</t>
  </si>
  <si>
    <t>HTI</t>
  </si>
  <si>
    <t>HUN</t>
  </si>
  <si>
    <t>IDN</t>
  </si>
  <si>
    <t>IND</t>
  </si>
  <si>
    <t>IRL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</si>
  <si>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</si>
  <si>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</si>
  <si>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</si>
  <si>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</si>
  <si>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</si>
  <si>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</si>
  <si>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</si>
  <si>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</si>
  <si>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</si>
  <si>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KHM</t>
  </si>
  <si>
    <t>KIR</t>
  </si>
  <si>
    <t>KWT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</si>
  <si>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</si>
  <si>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</si>
  <si>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</si>
  <si>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</si>
  <si>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</si>
  <si>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</si>
  <si>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</si>
  <si>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</si>
  <si>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</si>
  <si>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</si>
  <si>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</si>
  <si>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</si>
  <si>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</si>
  <si>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</si>
  <si>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</si>
  <si>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</si>
  <si>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</si>
  <si>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</si>
  <si>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</si>
  <si>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</si>
  <si>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</si>
  <si>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</si>
  <si>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</si>
  <si>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</si>
  <si>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</si>
  <si>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</si>
  <si>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</si>
  <si>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</si>
  <si>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</si>
  <si>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</si>
  <si>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</si>
  <si>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</si>
  <si>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</si>
  <si>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</si>
  <si>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</si>
  <si>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</si>
  <si>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</si>
  <si>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</si>
  <si>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</si>
  <si>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</si>
  <si>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</si>
  <si>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</si>
  <si>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</si>
  <si>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</si>
  <si>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</si>
  <si>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</si>
  <si>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</si>
  <si>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</si>
  <si>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</si>
  <si>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</si>
  <si>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</si>
  <si>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</si>
  <si>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</si>
  <si>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</si>
  <si>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</si>
  <si>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</si>
  <si>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</si>
  <si>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</si>
  <si>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</si>
  <si>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</si>
  <si>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SVN</t>
  </si>
  <si>
    <t>SWE</t>
  </si>
  <si>
    <t>SWZ</t>
  </si>
  <si>
    <t>SYC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</si>
  <si>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</si>
  <si>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</si>
  <si>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</si>
  <si>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</si>
  <si>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</si>
  <si>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</si>
  <si>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</si>
  <si>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</si>
  <si>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</si>
  <si>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TZA</t>
  </si>
  <si>
    <t>UGA</t>
  </si>
  <si>
    <t>UKR</t>
  </si>
  <si>
    <t>URY</t>
  </si>
  <si>
    <t>UZB</t>
  </si>
  <si>
    <t>VUT</t>
  </si>
  <si>
    <t>WSM</t>
  </si>
  <si>
    <t>ZAF</t>
  </si>
  <si>
    <t>ZMB</t>
  </si>
  <si>
    <t>ZWE</t>
  </si>
  <si>
    <t>ISO-2code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</si>
</sst>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197.xlsx" TargetMode="External"/><Relationship Id="rId1" Type="http://schemas.openxmlformats.org/officeDocument/2006/relationships/externalLinkPath" Target="/Users/MvEng/Downloads/ssp_snapshot_173205019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066.xlsx" TargetMode="External"/><Relationship Id="rId1" Type="http://schemas.openxmlformats.org/officeDocument/2006/relationships/externalLinkPath" Target="/Users/MvEng/Downloads/ssp_snapshot_173205006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0.%20Layers\strict\Country.xlsx" TargetMode="External"/><Relationship Id="rId1" Type="http://schemas.openxmlformats.org/officeDocument/2006/relationships/externalLinkPath" Target="/Academic/Chapter2/0.%20Layers/strict/Count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254.xlsx" TargetMode="External"/><Relationship Id="rId1" Type="http://schemas.openxmlformats.org/officeDocument/2006/relationships/externalLinkPath" Target="/Users/MvEng/Downloads/ssp_snapshot_173205025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Infrastructure\Country-Base-info-Missing-OSM.xlsx" TargetMode="External"/><Relationship Id="rId1" Type="http://schemas.openxmlformats.org/officeDocument/2006/relationships/externalLinkPath" Target="/Academic/Infrastructure/Country-Base-info-Missing-OSM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countries-codes.xlsx" TargetMode="External"/><Relationship Id="rId1" Type="http://schemas.openxmlformats.org/officeDocument/2006/relationships/externalLinkPath" Target="/Users/MvEng/Downloads/countries-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C2" t="str">
            <v>Aruba</v>
          </cell>
          <cell r="F2">
            <v>3.8122999999999997E-2</v>
          </cell>
          <cell r="G2">
            <v>4.5654000000000007E-2</v>
          </cell>
          <cell r="H2">
            <v>5.3859999999999998E-2</v>
          </cell>
          <cell r="I2">
            <v>5.8504E-2</v>
          </cell>
          <cell r="J2">
            <v>5.9240000000000001E-2</v>
          </cell>
          <cell r="K2">
            <v>6.0374999999999998E-2</v>
          </cell>
          <cell r="L2">
            <v>6.2137999999999999E-2</v>
          </cell>
          <cell r="M2">
            <v>6.4382999999999996E-2</v>
          </cell>
          <cell r="N2">
            <v>6.4894999999999994E-2</v>
          </cell>
          <cell r="O2">
            <v>7.5884000000000007E-2</v>
          </cell>
          <cell r="P2">
            <v>8.8122000000000006E-2</v>
          </cell>
          <cell r="Q2">
            <v>9.3938000000000008E-2</v>
          </cell>
          <cell r="R2">
            <v>9.9821000000000007E-2</v>
          </cell>
          <cell r="S2">
            <v>0.103937</v>
          </cell>
          <cell r="T2">
            <v>0.10666400000000001</v>
          </cell>
          <cell r="U2">
            <v>0.10877299999999999</v>
          </cell>
          <cell r="V2">
            <v>0.11108000000000001</v>
          </cell>
          <cell r="W2">
            <v>0.113276</v>
          </cell>
          <cell r="X2">
            <v>0.115413</v>
          </cell>
          <cell r="Y2">
            <v>0.117422</v>
          </cell>
          <cell r="Z2">
            <v>0.11927399999999999</v>
          </cell>
          <cell r="AA2">
            <v>0.12113000000000002</v>
          </cell>
          <cell r="AB2">
            <v>0.12320600000000001</v>
          </cell>
          <cell r="AC2">
            <v>0.125164</v>
          </cell>
          <cell r="AD2">
            <v>0.126975</v>
          </cell>
          <cell r="AE2">
            <v>0.128472</v>
          </cell>
          <cell r="AF2">
            <v>0.129443</v>
          </cell>
          <cell r="AG2">
            <v>0.12985300000000002</v>
          </cell>
          <cell r="AH2">
            <v>0.12968100000000002</v>
          </cell>
          <cell r="AI2">
            <v>0.128913</v>
          </cell>
          <cell r="AJ2">
            <v>0.127495</v>
          </cell>
        </row>
        <row r="3">
          <cell r="C3" t="str">
            <v>Afghanistan</v>
          </cell>
          <cell r="L3">
            <v>12.917355000000001</v>
          </cell>
          <cell r="M3">
            <v>10.50657</v>
          </cell>
          <cell r="N3">
            <v>10.845924000000002</v>
          </cell>
          <cell r="O3">
            <v>16.071789000000003</v>
          </cell>
          <cell r="P3">
            <v>19.669913000000001</v>
          </cell>
          <cell r="Q3">
            <v>23.856141000000001</v>
          </cell>
          <cell r="R3">
            <v>27.803169999999998</v>
          </cell>
          <cell r="S3">
            <v>33.360820000000004</v>
          </cell>
          <cell r="T3">
            <v>38.326031</v>
          </cell>
          <cell r="U3">
            <v>44.165117000000002</v>
          </cell>
          <cell r="V3">
            <v>50.402282</v>
          </cell>
          <cell r="W3">
            <v>56.790519000000003</v>
          </cell>
          <cell r="X3">
            <v>63.199314000000001</v>
          </cell>
          <cell r="Y3">
            <v>69.513278999999997</v>
          </cell>
          <cell r="Z3">
            <v>75.620094000000094</v>
          </cell>
          <cell r="AA3">
            <v>81.388007999999999</v>
          </cell>
          <cell r="AB3">
            <v>86.71659600000001</v>
          </cell>
          <cell r="AC3">
            <v>91.547884999999994</v>
          </cell>
          <cell r="AD3">
            <v>95.727592000000115</v>
          </cell>
          <cell r="AE3">
            <v>99.212786999999892</v>
          </cell>
          <cell r="AF3">
            <v>101.86582399999999</v>
          </cell>
          <cell r="AG3">
            <v>103.700568</v>
          </cell>
          <cell r="AH3">
            <v>104.968886</v>
          </cell>
          <cell r="AI3">
            <v>105.77567200000001</v>
          </cell>
          <cell r="AJ3">
            <v>106.116831</v>
          </cell>
        </row>
        <row r="4">
          <cell r="C4" t="str">
            <v>Angola</v>
          </cell>
          <cell r="F4">
            <v>4.432912</v>
          </cell>
          <cell r="G4">
            <v>4.8953639999999998</v>
          </cell>
          <cell r="H4">
            <v>5.3135249999999994</v>
          </cell>
          <cell r="I4">
            <v>5.7077439999999999</v>
          </cell>
          <cell r="J4">
            <v>5.9667000000000003</v>
          </cell>
          <cell r="K4">
            <v>6.9165959999999993</v>
          </cell>
          <cell r="L4">
            <v>8.1823139999999999</v>
          </cell>
          <cell r="M4">
            <v>9.7911610000000007</v>
          </cell>
          <cell r="N4">
            <v>11.631523</v>
          </cell>
          <cell r="O4">
            <v>13.680908000000001</v>
          </cell>
          <cell r="P4">
            <v>16.126967</v>
          </cell>
          <cell r="Q4">
            <v>19.103826000000002</v>
          </cell>
          <cell r="R4">
            <v>22.925082</v>
          </cell>
          <cell r="S4">
            <v>27.624320000000001</v>
          </cell>
          <cell r="T4">
            <v>32.899002000000003</v>
          </cell>
          <cell r="U4">
            <v>38.359026</v>
          </cell>
          <cell r="V4">
            <v>44.109038999999996</v>
          </cell>
          <cell r="W4">
            <v>50.164672000000003</v>
          </cell>
          <cell r="X4">
            <v>56.447913999999997</v>
          </cell>
          <cell r="Y4">
            <v>62.758739999999996</v>
          </cell>
          <cell r="Z4">
            <v>68.996304000000009</v>
          </cell>
          <cell r="AA4">
            <v>75.030294000000097</v>
          </cell>
          <cell r="AB4">
            <v>80.844842</v>
          </cell>
          <cell r="AC4">
            <v>86.254989000000009</v>
          </cell>
          <cell r="AD4">
            <v>91.113124999999997</v>
          </cell>
          <cell r="AE4">
            <v>95.404472999999996</v>
          </cell>
          <cell r="AF4">
            <v>98.970686000000001</v>
          </cell>
          <cell r="AG4">
            <v>101.727378</v>
          </cell>
          <cell r="AH4">
            <v>103.61931200000001</v>
          </cell>
          <cell r="AI4">
            <v>104.90878599999999</v>
          </cell>
          <cell r="AJ4">
            <v>105.655693</v>
          </cell>
        </row>
        <row r="5">
          <cell r="C5" t="str">
            <v>Albania</v>
          </cell>
          <cell r="F5">
            <v>1.2344739999999998</v>
          </cell>
          <cell r="G5">
            <v>1.4307729999999999</v>
          </cell>
          <cell r="H5">
            <v>1.6826570000000001</v>
          </cell>
          <cell r="I5">
            <v>1.9794500000000002</v>
          </cell>
          <cell r="J5">
            <v>2.2923010000000001</v>
          </cell>
          <cell r="K5">
            <v>2.6179099999999997</v>
          </cell>
          <cell r="L5">
            <v>2.9157030000000002</v>
          </cell>
          <cell r="M5">
            <v>3.1528100000000001</v>
          </cell>
          <cell r="N5">
            <v>3.2900619999999998</v>
          </cell>
          <cell r="O5">
            <v>3.2899600000000002</v>
          </cell>
          <cell r="P5">
            <v>3.1957130000000005</v>
          </cell>
          <cell r="Q5">
            <v>3.047469</v>
          </cell>
          <cell r="R5">
            <v>2.9208970000000001</v>
          </cell>
          <cell r="S5">
            <v>2.8831560000000001</v>
          </cell>
          <cell r="T5">
            <v>2.8721300000000003</v>
          </cell>
          <cell r="U5">
            <v>2.7928919999999993</v>
          </cell>
          <cell r="V5">
            <v>2.71529</v>
          </cell>
          <cell r="W5">
            <v>2.6154630000000001</v>
          </cell>
          <cell r="X5">
            <v>2.5029810000000001</v>
          </cell>
          <cell r="Y5">
            <v>2.3854569999999988</v>
          </cell>
          <cell r="Z5">
            <v>2.2678820000000002</v>
          </cell>
          <cell r="AA5">
            <v>2.152949</v>
          </cell>
          <cell r="AB5">
            <v>2.0422639999999999</v>
          </cell>
          <cell r="AC5">
            <v>1.9430959999999999</v>
          </cell>
          <cell r="AD5">
            <v>1.8540049999999999</v>
          </cell>
          <cell r="AE5">
            <v>1.7723389999999992</v>
          </cell>
          <cell r="AF5">
            <v>1.695654</v>
          </cell>
          <cell r="AG5">
            <v>1.6226559999999992</v>
          </cell>
          <cell r="AH5">
            <v>1.5528620000000002</v>
          </cell>
          <cell r="AI5">
            <v>1.489053</v>
          </cell>
          <cell r="AJ5">
            <v>1.434299</v>
          </cell>
        </row>
        <row r="6">
          <cell r="C6" t="str">
            <v>United Arab Emirates</v>
          </cell>
          <cell r="F6">
            <v>7.2048000000000001E-2</v>
          </cell>
          <cell r="G6">
            <v>9.8947000000000007E-2</v>
          </cell>
          <cell r="H6">
            <v>0.12974100000000002</v>
          </cell>
          <cell r="I6">
            <v>0.16949600000000001</v>
          </cell>
          <cell r="J6">
            <v>0.27524400000000004</v>
          </cell>
          <cell r="K6">
            <v>0.517455</v>
          </cell>
          <cell r="L6">
            <v>0.96114100000000002</v>
          </cell>
          <cell r="M6">
            <v>1.343826</v>
          </cell>
          <cell r="N6">
            <v>1.8459860000000001</v>
          </cell>
          <cell r="O6">
            <v>2.3814920000000002</v>
          </cell>
          <cell r="P6">
            <v>3.186118</v>
          </cell>
          <cell r="Q6">
            <v>4.0832540000000002</v>
          </cell>
          <cell r="R6">
            <v>8.4339910000000007</v>
          </cell>
          <cell r="S6">
            <v>8.8772880000000001</v>
          </cell>
          <cell r="T6">
            <v>9.2475540000000009</v>
          </cell>
          <cell r="U6">
            <v>9.792072000000001</v>
          </cell>
          <cell r="V6">
            <v>10.293678</v>
          </cell>
          <cell r="W6">
            <v>10.718208000000001</v>
          </cell>
          <cell r="X6">
            <v>11.07734</v>
          </cell>
          <cell r="Y6">
            <v>11.401145000000001</v>
          </cell>
          <cell r="Z6">
            <v>11.694125</v>
          </cell>
          <cell r="AA6">
            <v>11.916954</v>
          </cell>
          <cell r="AB6">
            <v>12.033813</v>
          </cell>
          <cell r="AC6">
            <v>11.994423000000001</v>
          </cell>
          <cell r="AD6">
            <v>11.802186000000001</v>
          </cell>
          <cell r="AE6">
            <v>11.482985000000001</v>
          </cell>
          <cell r="AF6">
            <v>11.086581000000001</v>
          </cell>
          <cell r="AG6">
            <v>10.672362999999999</v>
          </cell>
          <cell r="AH6">
            <v>10.285696</v>
          </cell>
          <cell r="AI6">
            <v>9.9515249999999913</v>
          </cell>
          <cell r="AJ6">
            <v>9.6472500000000085</v>
          </cell>
        </row>
        <row r="7">
          <cell r="C7" t="str">
            <v>Argentina</v>
          </cell>
          <cell r="F7">
            <v>16.849682000000001</v>
          </cell>
          <cell r="G7">
            <v>18.537299999999998</v>
          </cell>
          <cell r="H7">
            <v>20.187607</v>
          </cell>
          <cell r="I7">
            <v>21.880234000000002</v>
          </cell>
          <cell r="J7">
            <v>23.652996999999999</v>
          </cell>
          <cell r="K7">
            <v>25.669772000000002</v>
          </cell>
          <cell r="L7">
            <v>27.804417000000001</v>
          </cell>
          <cell r="M7">
            <v>30.058261999999999</v>
          </cell>
          <cell r="N7">
            <v>32.402162000000004</v>
          </cell>
          <cell r="O7">
            <v>34.721108999999998</v>
          </cell>
          <cell r="P7">
            <v>36.864000000000004</v>
          </cell>
          <cell r="Q7">
            <v>38.867883999999997</v>
          </cell>
          <cell r="R7">
            <v>40.892778</v>
          </cell>
          <cell r="S7">
            <v>43.042286999999995</v>
          </cell>
          <cell r="T7">
            <v>44.908440999999996</v>
          </cell>
          <cell r="U7">
            <v>46.046193000000002</v>
          </cell>
          <cell r="V7">
            <v>47.225774000000001</v>
          </cell>
          <cell r="W7">
            <v>48.320108999999995</v>
          </cell>
          <cell r="X7">
            <v>49.298656999999999</v>
          </cell>
          <cell r="Y7">
            <v>50.120031000000004</v>
          </cell>
          <cell r="Z7">
            <v>50.764316000000001</v>
          </cell>
          <cell r="AA7">
            <v>51.224476000000003</v>
          </cell>
          <cell r="AB7">
            <v>51.456343000000004</v>
          </cell>
          <cell r="AC7">
            <v>51.493465</v>
          </cell>
          <cell r="AD7">
            <v>51.364513000000002</v>
          </cell>
          <cell r="AE7">
            <v>51.083100000000002</v>
          </cell>
          <cell r="AF7">
            <v>50.655860000000004</v>
          </cell>
          <cell r="AG7">
            <v>50.092879000000003</v>
          </cell>
          <cell r="AH7">
            <v>49.413353999999998</v>
          </cell>
          <cell r="AI7">
            <v>48.637900000000002</v>
          </cell>
          <cell r="AJ7">
            <v>47.798228999999999</v>
          </cell>
        </row>
        <row r="8">
          <cell r="C8" t="str">
            <v>Armenia</v>
          </cell>
          <cell r="F8">
            <v>1.3660809999999999</v>
          </cell>
          <cell r="G8">
            <v>1.578846</v>
          </cell>
          <cell r="H8">
            <v>1.8707760000000002</v>
          </cell>
          <cell r="I8">
            <v>2.2029270000000003</v>
          </cell>
          <cell r="J8">
            <v>2.505973</v>
          </cell>
          <cell r="K8">
            <v>2.7986219999999999</v>
          </cell>
          <cell r="L8">
            <v>3.1190690000000001</v>
          </cell>
          <cell r="M8">
            <v>3.2870690000000002</v>
          </cell>
          <cell r="N8">
            <v>3.5257830000000001</v>
          </cell>
          <cell r="O8">
            <v>3.3338730000000001</v>
          </cell>
          <cell r="P8">
            <v>3.1876920000000002</v>
          </cell>
          <cell r="Q8">
            <v>3.0564490000000002</v>
          </cell>
          <cell r="R8">
            <v>2.9556080000000002</v>
          </cell>
          <cell r="S8">
            <v>2.8849580000000001</v>
          </cell>
          <cell r="T8">
            <v>2.812494</v>
          </cell>
          <cell r="U8">
            <v>2.7619859999999998</v>
          </cell>
          <cell r="V8">
            <v>2.7188539999999999</v>
          </cell>
          <cell r="W8">
            <v>2.6655199999999999</v>
          </cell>
          <cell r="X8">
            <v>2.6117249999999999</v>
          </cell>
          <cell r="Y8">
            <v>2.5610870000000001</v>
          </cell>
          <cell r="Z8">
            <v>2.5112920000000001</v>
          </cell>
          <cell r="AA8">
            <v>2.4610319999999999</v>
          </cell>
          <cell r="AB8">
            <v>2.4102999999999999</v>
          </cell>
          <cell r="AC8">
            <v>2.3641890000000001</v>
          </cell>
          <cell r="AD8">
            <v>2.321901</v>
          </cell>
          <cell r="AE8">
            <v>2.2819370000000001</v>
          </cell>
          <cell r="AF8">
            <v>2.2430569999999999</v>
          </cell>
          <cell r="AG8">
            <v>2.2063410000000001</v>
          </cell>
          <cell r="AH8">
            <v>2.175424</v>
          </cell>
          <cell r="AI8">
            <v>2.1523210000000002</v>
          </cell>
          <cell r="AJ8">
            <v>2.135211</v>
          </cell>
        </row>
        <row r="9">
          <cell r="C9" t="str">
            <v>Antigua and Barbuda</v>
          </cell>
          <cell r="F9">
            <v>4.4948000000000002E-2</v>
          </cell>
          <cell r="G9">
            <v>4.9770000000000002E-2</v>
          </cell>
          <cell r="H9">
            <v>5.4820000000000001E-2</v>
          </cell>
          <cell r="I9">
            <v>5.9161999999999999E-2</v>
          </cell>
          <cell r="J9">
            <v>6.4296000000000006E-2</v>
          </cell>
          <cell r="K9">
            <v>6.4101000000000005E-2</v>
          </cell>
          <cell r="L9">
            <v>6.4781999999999992E-2</v>
          </cell>
          <cell r="M9">
            <v>6.5212000000000006E-2</v>
          </cell>
          <cell r="N9">
            <v>6.3473000000000002E-2</v>
          </cell>
          <cell r="O9">
            <v>6.7709999999999992E-2</v>
          </cell>
          <cell r="P9">
            <v>7.4423000000000003E-2</v>
          </cell>
          <cell r="Q9">
            <v>7.9379999999999992E-2</v>
          </cell>
          <cell r="R9">
            <v>8.5163000000000003E-2</v>
          </cell>
          <cell r="S9">
            <v>8.9594999999999994E-2</v>
          </cell>
          <cell r="T9">
            <v>9.2374999999999999E-2</v>
          </cell>
          <cell r="U9">
            <v>9.5452000000000009E-2</v>
          </cell>
          <cell r="V9">
            <v>9.8112999999999992E-2</v>
          </cell>
          <cell r="W9">
            <v>0.10031100000000001</v>
          </cell>
          <cell r="X9">
            <v>0.10198399999999901</v>
          </cell>
          <cell r="Y9">
            <v>0.103085</v>
          </cell>
          <cell r="Z9">
            <v>0.103738</v>
          </cell>
          <cell r="AA9">
            <v>0.10400899999999999</v>
          </cell>
          <cell r="AB9">
            <v>0.10405700000000001</v>
          </cell>
          <cell r="AC9">
            <v>0.10379200000000001</v>
          </cell>
          <cell r="AD9">
            <v>0.103223</v>
          </cell>
          <cell r="AE9">
            <v>0.10234900000000001</v>
          </cell>
          <cell r="AF9">
            <v>0.10111000000000001</v>
          </cell>
          <cell r="AG9">
            <v>9.9476000000000009E-2</v>
          </cell>
          <cell r="AH9">
            <v>9.7457999999999989E-2</v>
          </cell>
          <cell r="AI9">
            <v>9.5124E-2</v>
          </cell>
          <cell r="AJ9">
            <v>9.2468000000000009E-2</v>
          </cell>
        </row>
        <row r="10">
          <cell r="C10" t="str">
            <v>Australia</v>
          </cell>
          <cell r="F10">
            <v>8.0488999999999997</v>
          </cell>
          <cell r="G10">
            <v>9.0997710000000005</v>
          </cell>
          <cell r="H10">
            <v>10.173755</v>
          </cell>
          <cell r="I10">
            <v>11.240012</v>
          </cell>
          <cell r="J10">
            <v>12.393915999999999</v>
          </cell>
          <cell r="K10">
            <v>13.809241</v>
          </cell>
          <cell r="L10">
            <v>14.604481</v>
          </cell>
          <cell r="M10">
            <v>15.677747</v>
          </cell>
          <cell r="N10">
            <v>16.928885999999999</v>
          </cell>
          <cell r="O10">
            <v>17.897943999999999</v>
          </cell>
          <cell r="P10">
            <v>18.903312999999997</v>
          </cell>
          <cell r="Q10">
            <v>20.040130000000001</v>
          </cell>
          <cell r="R10">
            <v>21.856964999999999</v>
          </cell>
          <cell r="S10">
            <v>23.641437999999997</v>
          </cell>
          <cell r="T10">
            <v>25.544183</v>
          </cell>
          <cell r="U10">
            <v>26.566333</v>
          </cell>
          <cell r="V10">
            <v>27.552490000000002</v>
          </cell>
          <cell r="W10">
            <v>28.470407999999999</v>
          </cell>
          <cell r="X10">
            <v>29.338964000000001</v>
          </cell>
          <cell r="Y10">
            <v>30.196575000000003</v>
          </cell>
          <cell r="Z10">
            <v>31.068777999999998</v>
          </cell>
          <cell r="AA10">
            <v>31.882165000000001</v>
          </cell>
          <cell r="AB10">
            <v>32.636666000000005</v>
          </cell>
          <cell r="AC10">
            <v>33.290315</v>
          </cell>
          <cell r="AD10">
            <v>33.854980000000005</v>
          </cell>
          <cell r="AE10">
            <v>34.329252999999994</v>
          </cell>
          <cell r="AF10">
            <v>34.697285000000001</v>
          </cell>
          <cell r="AG10">
            <v>34.930597999999996</v>
          </cell>
          <cell r="AH10">
            <v>35.026830000000004</v>
          </cell>
          <cell r="AI10">
            <v>35.013540999999996</v>
          </cell>
          <cell r="AJ10">
            <v>34.921482000000005</v>
          </cell>
        </row>
        <row r="11">
          <cell r="C11" t="str">
            <v>Austria</v>
          </cell>
          <cell r="F11">
            <v>6.9378090000000006</v>
          </cell>
          <cell r="G11">
            <v>6.9439320000000002</v>
          </cell>
          <cell r="H11">
            <v>7.0293660000000004</v>
          </cell>
          <cell r="I11">
            <v>7.2468710000000005</v>
          </cell>
          <cell r="J11">
            <v>7.4533680000000002</v>
          </cell>
          <cell r="K11">
            <v>7.5903220000000005</v>
          </cell>
          <cell r="L11">
            <v>7.5436870000000003</v>
          </cell>
          <cell r="M11">
            <v>7.5602860000000005</v>
          </cell>
          <cell r="N11">
            <v>7.6454629999999995</v>
          </cell>
          <cell r="O11">
            <v>7.9425270000000001</v>
          </cell>
          <cell r="P11">
            <v>8.0011969999999994</v>
          </cell>
          <cell r="Q11">
            <v>8.2006180000000004</v>
          </cell>
          <cell r="R11">
            <v>8.3509760000000011</v>
          </cell>
          <cell r="S11">
            <v>8.5846090000000004</v>
          </cell>
          <cell r="T11">
            <v>8.9010999999999889</v>
          </cell>
          <cell r="U11">
            <v>9.044760000000009</v>
          </cell>
          <cell r="V11">
            <v>9.1057489999999994</v>
          </cell>
          <cell r="W11">
            <v>9.1516730000000006</v>
          </cell>
          <cell r="X11">
            <v>9.1896100000000001</v>
          </cell>
          <cell r="Y11">
            <v>9.2300240000000002</v>
          </cell>
          <cell r="Z11">
            <v>9.2659489999999991</v>
          </cell>
          <cell r="AA11">
            <v>9.2806780000000106</v>
          </cell>
          <cell r="AB11">
            <v>9.277235000000001</v>
          </cell>
          <cell r="AC11">
            <v>9.2567420000000009</v>
          </cell>
          <cell r="AD11">
            <v>9.2335599999999989</v>
          </cell>
          <cell r="AE11">
            <v>9.2036100000000012</v>
          </cell>
          <cell r="AF11">
            <v>9.1524340000000102</v>
          </cell>
          <cell r="AG11">
            <v>9.0726900000000015</v>
          </cell>
          <cell r="AH11">
            <v>8.9691179999999999</v>
          </cell>
          <cell r="AI11">
            <v>8.8501219999999989</v>
          </cell>
          <cell r="AJ11">
            <v>8.7211100000000012</v>
          </cell>
        </row>
        <row r="12">
          <cell r="C12" t="str">
            <v>Azerbaijan</v>
          </cell>
          <cell r="F12">
            <v>3.1269819999999999</v>
          </cell>
          <cell r="G12">
            <v>3.5021120000000003</v>
          </cell>
          <cell r="H12">
            <v>4.0636580000000002</v>
          </cell>
          <cell r="I12">
            <v>4.7703850000000001</v>
          </cell>
          <cell r="J12">
            <v>5.3726490000000009</v>
          </cell>
          <cell r="K12">
            <v>5.8760900000000005</v>
          </cell>
          <cell r="L12">
            <v>6.3396920000000003</v>
          </cell>
          <cell r="M12">
            <v>6.8328590000000009</v>
          </cell>
          <cell r="N12">
            <v>7.3719849999999996</v>
          </cell>
          <cell r="O12">
            <v>7.8573740000000001</v>
          </cell>
          <cell r="P12">
            <v>8.1439140000000005</v>
          </cell>
          <cell r="Q12">
            <v>8.6046530000000008</v>
          </cell>
          <cell r="R12">
            <v>9.1777990000000003</v>
          </cell>
          <cell r="S12">
            <v>9.8045329999999993</v>
          </cell>
          <cell r="T12">
            <v>10.273527</v>
          </cell>
          <cell r="U12">
            <v>10.492207000000001</v>
          </cell>
          <cell r="V12">
            <v>10.728569999999999</v>
          </cell>
          <cell r="W12">
            <v>10.942531000000001</v>
          </cell>
          <cell r="X12">
            <v>11.101501000000001</v>
          </cell>
          <cell r="Y12">
            <v>11.172021000000001</v>
          </cell>
          <cell r="Z12">
            <v>11.165343999999999</v>
          </cell>
          <cell r="AA12">
            <v>11.110897000000001</v>
          </cell>
          <cell r="AB12">
            <v>11.032795</v>
          </cell>
          <cell r="AC12">
            <v>10.931863999999999</v>
          </cell>
          <cell r="AD12">
            <v>10.801252</v>
          </cell>
          <cell r="AE12">
            <v>10.639155000000001</v>
          </cell>
          <cell r="AF12">
            <v>10.450946</v>
          </cell>
          <cell r="AG12">
            <v>10.254524</v>
          </cell>
          <cell r="AH12">
            <v>10.059084</v>
          </cell>
          <cell r="AI12">
            <v>9.8684919999999998</v>
          </cell>
          <cell r="AJ12">
            <v>9.6734740000000095</v>
          </cell>
        </row>
        <row r="13">
          <cell r="C13" t="str">
            <v>Burundi</v>
          </cell>
          <cell r="F13">
            <v>2.2293220000000002</v>
          </cell>
          <cell r="G13">
            <v>2.4707939999999997</v>
          </cell>
          <cell r="H13">
            <v>2.7197330000000002</v>
          </cell>
          <cell r="I13">
            <v>3.086551</v>
          </cell>
          <cell r="J13">
            <v>3.4560100000000005</v>
          </cell>
          <cell r="K13">
            <v>3.711071</v>
          </cell>
          <cell r="L13">
            <v>4.176526</v>
          </cell>
          <cell r="M13">
            <v>4.9037240000000004</v>
          </cell>
          <cell r="N13">
            <v>5.4281649999999999</v>
          </cell>
          <cell r="O13">
            <v>5.8983119999999998</v>
          </cell>
          <cell r="P13">
            <v>6.2436450000000008</v>
          </cell>
          <cell r="Q13">
            <v>7.2573920000000003</v>
          </cell>
          <cell r="R13">
            <v>8.9557109999999991</v>
          </cell>
          <cell r="S13">
            <v>10.667662</v>
          </cell>
          <cell r="T13">
            <v>12.053895000000001</v>
          </cell>
          <cell r="U13">
            <v>13.674714999999999</v>
          </cell>
          <cell r="V13">
            <v>15.345504000000002</v>
          </cell>
          <cell r="W13">
            <v>17.092855</v>
          </cell>
          <cell r="X13">
            <v>18.884931000000002</v>
          </cell>
          <cell r="Y13">
            <v>20.644617</v>
          </cell>
          <cell r="Z13">
            <v>22.312141</v>
          </cell>
          <cell r="AA13">
            <v>23.830484000000002</v>
          </cell>
          <cell r="AB13">
            <v>25.184777999999998</v>
          </cell>
          <cell r="AC13">
            <v>26.400351000000001</v>
          </cell>
          <cell r="AD13">
            <v>27.462038</v>
          </cell>
          <cell r="AE13">
            <v>28.367764000000001</v>
          </cell>
          <cell r="AF13">
            <v>29.082452</v>
          </cell>
          <cell r="AG13">
            <v>29.589759999999998</v>
          </cell>
          <cell r="AH13">
            <v>29.935214999999999</v>
          </cell>
          <cell r="AI13">
            <v>30.146453000000001</v>
          </cell>
          <cell r="AJ13">
            <v>30.243984000000001</v>
          </cell>
        </row>
        <row r="14">
          <cell r="C14" t="str">
            <v>Belgium</v>
          </cell>
          <cell r="F14">
            <v>8.5971440000000001</v>
          </cell>
          <cell r="G14">
            <v>8.8115360000000003</v>
          </cell>
          <cell r="H14">
            <v>9.0818899999999996</v>
          </cell>
          <cell r="I14">
            <v>9.3837690000000009</v>
          </cell>
          <cell r="J14">
            <v>9.6103269999999998</v>
          </cell>
          <cell r="K14">
            <v>9.7584</v>
          </cell>
          <cell r="L14">
            <v>9.8219940000000001</v>
          </cell>
          <cell r="M14">
            <v>9.8776139999999995</v>
          </cell>
          <cell r="N14">
            <v>9.9466180000000008</v>
          </cell>
          <cell r="O14">
            <v>10.08216</v>
          </cell>
          <cell r="P14">
            <v>10.242888000000001</v>
          </cell>
          <cell r="Q14">
            <v>10.485647000000002</v>
          </cell>
          <cell r="R14">
            <v>10.839032999999999</v>
          </cell>
          <cell r="S14">
            <v>11.214585999999999</v>
          </cell>
          <cell r="T14">
            <v>11.541270000000001</v>
          </cell>
          <cell r="U14">
            <v>11.693097999999999</v>
          </cell>
          <cell r="V14">
            <v>11.812400999999999</v>
          </cell>
          <cell r="W14">
            <v>11.938724000000001</v>
          </cell>
          <cell r="X14">
            <v>12.073326</v>
          </cell>
          <cell r="Y14">
            <v>12.209279</v>
          </cell>
          <cell r="Z14">
            <v>12.342674000000001</v>
          </cell>
          <cell r="AA14">
            <v>12.444478</v>
          </cell>
          <cell r="AB14">
            <v>12.529361000000002</v>
          </cell>
          <cell r="AC14">
            <v>12.600789000000001</v>
          </cell>
          <cell r="AD14">
            <v>12.667786</v>
          </cell>
          <cell r="AE14">
            <v>12.727955</v>
          </cell>
          <cell r="AF14">
            <v>12.7667</v>
          </cell>
          <cell r="AG14">
            <v>12.771939</v>
          </cell>
          <cell r="AH14">
            <v>12.742308999999999</v>
          </cell>
          <cell r="AI14">
            <v>12.686045</v>
          </cell>
          <cell r="AJ14">
            <v>12.607799000000002</v>
          </cell>
        </row>
        <row r="15">
          <cell r="C15" t="str">
            <v>Benin</v>
          </cell>
          <cell r="F15">
            <v>2.256437</v>
          </cell>
          <cell r="G15">
            <v>2.3481510000000001</v>
          </cell>
          <cell r="H15">
            <v>2.493735</v>
          </cell>
          <cell r="I15">
            <v>2.7100770000000001</v>
          </cell>
          <cell r="J15">
            <v>2.9916999999999998</v>
          </cell>
          <cell r="K15">
            <v>3.339035</v>
          </cell>
          <cell r="L15">
            <v>3.781555</v>
          </cell>
          <cell r="M15">
            <v>4.3550409999999999</v>
          </cell>
          <cell r="N15">
            <v>5.0549849999999994</v>
          </cell>
          <cell r="O15">
            <v>5.9757449999999999</v>
          </cell>
          <cell r="P15">
            <v>6.8924200000000004</v>
          </cell>
          <cell r="Q15">
            <v>8.0138040000000004</v>
          </cell>
          <cell r="R15">
            <v>9.307385</v>
          </cell>
          <cell r="S15">
            <v>10.771656999999999</v>
          </cell>
          <cell r="T15">
            <v>12.466822000000001</v>
          </cell>
          <cell r="U15">
            <v>14.282402000000001</v>
          </cell>
          <cell r="V15">
            <v>16.188293999999999</v>
          </cell>
          <cell r="W15">
            <v>18.149674000000001</v>
          </cell>
          <cell r="X15">
            <v>20.150897000000001</v>
          </cell>
          <cell r="Y15">
            <v>22.150926999999999</v>
          </cell>
          <cell r="Z15">
            <v>24.124734</v>
          </cell>
          <cell r="AA15">
            <v>26.018254000000002</v>
          </cell>
          <cell r="AB15">
            <v>27.777822</v>
          </cell>
          <cell r="AC15">
            <v>29.437378000000002</v>
          </cell>
          <cell r="AD15">
            <v>30.944002000000001</v>
          </cell>
          <cell r="AE15">
            <v>32.301940999999999</v>
          </cell>
          <cell r="AF15">
            <v>33.436750999999994</v>
          </cell>
          <cell r="AG15">
            <v>34.368729000000002</v>
          </cell>
          <cell r="AH15">
            <v>35.077351999999898</v>
          </cell>
          <cell r="AI15">
            <v>35.614165999999997</v>
          </cell>
          <cell r="AJ15">
            <v>36.006835000000002</v>
          </cell>
        </row>
        <row r="16">
          <cell r="C16" t="str">
            <v>Burkina Faso</v>
          </cell>
          <cell r="F16">
            <v>4.1904919999999999</v>
          </cell>
          <cell r="G16">
            <v>4.4443320000000002</v>
          </cell>
          <cell r="H16">
            <v>4.7489560000000006</v>
          </cell>
          <cell r="I16">
            <v>5.1157719999999998</v>
          </cell>
          <cell r="J16">
            <v>5.5629720000000002</v>
          </cell>
          <cell r="K16">
            <v>6.0761390000000004</v>
          </cell>
          <cell r="L16">
            <v>6.8386769999999997</v>
          </cell>
          <cell r="M16">
            <v>7.8640129999999999</v>
          </cell>
          <cell r="N16">
            <v>9.0117209999999996</v>
          </cell>
          <cell r="O16">
            <v>10.220343999999999</v>
          </cell>
          <cell r="P16">
            <v>11.703448</v>
          </cell>
          <cell r="Q16">
            <v>13.658109000000001</v>
          </cell>
          <cell r="R16">
            <v>15.880023</v>
          </cell>
          <cell r="S16">
            <v>18.442699000000001</v>
          </cell>
          <cell r="T16">
            <v>21.23189</v>
          </cell>
          <cell r="U16">
            <v>24.190355</v>
          </cell>
          <cell r="V16">
            <v>27.353587000000001</v>
          </cell>
          <cell r="W16">
            <v>30.679949000000001</v>
          </cell>
          <cell r="X16">
            <v>34.126978000000001</v>
          </cell>
          <cell r="Y16">
            <v>37.596482000000002</v>
          </cell>
          <cell r="Z16">
            <v>40.991427000000002</v>
          </cell>
          <cell r="AA16">
            <v>44.182561</v>
          </cell>
          <cell r="AB16">
            <v>47.167851999999897</v>
          </cell>
          <cell r="AC16">
            <v>49.968755000000002</v>
          </cell>
          <cell r="AD16">
            <v>52.568110000000004</v>
          </cell>
          <cell r="AE16">
            <v>54.936993000000001</v>
          </cell>
          <cell r="AF16">
            <v>56.997398000000004</v>
          </cell>
          <cell r="AG16">
            <v>58.685699999999997</v>
          </cell>
          <cell r="AH16">
            <v>60.014636000000003</v>
          </cell>
          <cell r="AI16">
            <v>61.079608</v>
          </cell>
          <cell r="AJ16">
            <v>61.969979000000002</v>
          </cell>
        </row>
        <row r="17">
          <cell r="C17" t="str">
            <v>Bangladesh</v>
          </cell>
          <cell r="F17">
            <v>39.336196999999999</v>
          </cell>
          <cell r="G17">
            <v>43.782969000000001</v>
          </cell>
          <cell r="H17">
            <v>49.678182</v>
          </cell>
          <cell r="I17">
            <v>57.633160000000004</v>
          </cell>
          <cell r="J17">
            <v>66.788126999999989</v>
          </cell>
          <cell r="K17">
            <v>73.842574999999997</v>
          </cell>
          <cell r="L17">
            <v>82.874730999999997</v>
          </cell>
          <cell r="M17">
            <v>94.763320000000007</v>
          </cell>
          <cell r="N17">
            <v>106.00157799999999</v>
          </cell>
          <cell r="O17">
            <v>116.744529</v>
          </cell>
          <cell r="P17">
            <v>127.97556900000001</v>
          </cell>
          <cell r="Q17">
            <v>139.922808</v>
          </cell>
          <cell r="R17">
            <v>147.487561</v>
          </cell>
          <cell r="S17">
            <v>156.916324</v>
          </cell>
          <cell r="T17">
            <v>166.42699100000002</v>
          </cell>
          <cell r="U17">
            <v>175.52800099999999</v>
          </cell>
          <cell r="V17">
            <v>183.373437</v>
          </cell>
          <cell r="W17">
            <v>189.54784400000003</v>
          </cell>
          <cell r="X17">
            <v>194.161517</v>
          </cell>
          <cell r="Y17">
            <v>197.34885800000001</v>
          </cell>
          <cell r="Z17">
            <v>199.28341900000001</v>
          </cell>
          <cell r="AA17">
            <v>200.108812</v>
          </cell>
          <cell r="AB17">
            <v>199.77168499999999</v>
          </cell>
          <cell r="AC17">
            <v>198.396591</v>
          </cell>
          <cell r="AD17">
            <v>196.09223300000002</v>
          </cell>
          <cell r="AE17">
            <v>193.032804</v>
          </cell>
          <cell r="AF17">
            <v>189.393574</v>
          </cell>
          <cell r="AG17">
            <v>185.26263299999999</v>
          </cell>
          <cell r="AH17">
            <v>180.753927</v>
          </cell>
          <cell r="AI17">
            <v>176.005054</v>
          </cell>
          <cell r="AJ17">
            <v>171.29729399999999</v>
          </cell>
        </row>
        <row r="18">
          <cell r="C18" t="str">
            <v>Bulgaria</v>
          </cell>
          <cell r="F18">
            <v>7.1207450000000003</v>
          </cell>
          <cell r="G18">
            <v>7.4777670000000001</v>
          </cell>
          <cell r="H18">
            <v>7.8528250000000002</v>
          </cell>
          <cell r="I18">
            <v>8.2126820000000009</v>
          </cell>
          <cell r="J18">
            <v>8.5485969999999991</v>
          </cell>
          <cell r="K18">
            <v>8.8394619999999993</v>
          </cell>
          <cell r="L18">
            <v>8.9807559999999995</v>
          </cell>
          <cell r="M18">
            <v>8.9307170000000013</v>
          </cell>
          <cell r="N18">
            <v>8.7879770000000015</v>
          </cell>
          <cell r="O18">
            <v>8.5151990000000009</v>
          </cell>
          <cell r="P18">
            <v>8.1298870000000001</v>
          </cell>
          <cell r="Q18">
            <v>7.8405490000000002</v>
          </cell>
          <cell r="R18">
            <v>7.6155379999999999</v>
          </cell>
          <cell r="S18">
            <v>7.3413829999999995</v>
          </cell>
          <cell r="T18">
            <v>7.0202390000000099</v>
          </cell>
          <cell r="U18">
            <v>6.6780090000000003</v>
          </cell>
          <cell r="V18">
            <v>6.4238759999999999</v>
          </cell>
          <cell r="W18">
            <v>6.1828710000000102</v>
          </cell>
          <cell r="X18">
            <v>5.9570619999999996</v>
          </cell>
          <cell r="Y18">
            <v>5.7479420000000001</v>
          </cell>
          <cell r="Z18">
            <v>5.5581379999999996</v>
          </cell>
          <cell r="AA18">
            <v>5.3806079999999996</v>
          </cell>
          <cell r="AB18">
            <v>5.2097179999999996</v>
          </cell>
          <cell r="AC18">
            <v>5.0428480000000002</v>
          </cell>
          <cell r="AD18">
            <v>4.881818</v>
          </cell>
          <cell r="AE18">
            <v>4.7293880000000001</v>
          </cell>
          <cell r="AF18">
            <v>4.5927360000000004</v>
          </cell>
          <cell r="AG18">
            <v>4.4738360000000004</v>
          </cell>
          <cell r="AH18">
            <v>4.3731310000000008</v>
          </cell>
          <cell r="AI18">
            <v>4.28454300000001</v>
          </cell>
          <cell r="AJ18">
            <v>4.1963350000000004</v>
          </cell>
        </row>
        <row r="19">
          <cell r="C19" t="str">
            <v>Bahrain</v>
          </cell>
          <cell r="F19">
            <v>0.11557100000000001</v>
          </cell>
          <cell r="G19">
            <v>0.13280799999999998</v>
          </cell>
          <cell r="H19">
            <v>0.15759299999999998</v>
          </cell>
          <cell r="I19">
            <v>0.18996000000000002</v>
          </cell>
          <cell r="J19">
            <v>0.21964700000000001</v>
          </cell>
          <cell r="K19">
            <v>0.277756</v>
          </cell>
          <cell r="L19">
            <v>0.35463299999999998</v>
          </cell>
          <cell r="M19">
            <v>0.426622</v>
          </cell>
          <cell r="N19">
            <v>0.50889200000000001</v>
          </cell>
          <cell r="O19">
            <v>0.60305200000000003</v>
          </cell>
          <cell r="P19">
            <v>0.70188699999999993</v>
          </cell>
          <cell r="Q19">
            <v>0.86752099999999999</v>
          </cell>
          <cell r="R19">
            <v>1.2136420000000001</v>
          </cell>
          <cell r="S19">
            <v>1.338295</v>
          </cell>
          <cell r="T19">
            <v>1.494035</v>
          </cell>
          <cell r="U19">
            <v>1.6241099999999999</v>
          </cell>
          <cell r="V19">
            <v>1.744216</v>
          </cell>
          <cell r="W19">
            <v>1.8560270000000001</v>
          </cell>
          <cell r="X19">
            <v>1.9622169999999999</v>
          </cell>
          <cell r="Y19">
            <v>2.0610010000000001</v>
          </cell>
          <cell r="Z19">
            <v>2.1489829999999999</v>
          </cell>
          <cell r="AA19">
            <v>2.2206799999999989</v>
          </cell>
          <cell r="AB19">
            <v>2.2742019999999998</v>
          </cell>
          <cell r="AC19">
            <v>2.3024580000000001</v>
          </cell>
          <cell r="AD19">
            <v>2.3068930000000001</v>
          </cell>
          <cell r="AE19">
            <v>2.290422</v>
          </cell>
          <cell r="AF19">
            <v>2.2576689999999999</v>
          </cell>
          <cell r="AG19">
            <v>2.2156129999999998</v>
          </cell>
          <cell r="AH19">
            <v>2.1705950000000001</v>
          </cell>
          <cell r="AI19">
            <v>2.124603</v>
          </cell>
          <cell r="AJ19">
            <v>2.07402</v>
          </cell>
        </row>
        <row r="20">
          <cell r="C20" t="str">
            <v>Bahamas</v>
          </cell>
          <cell r="F20">
            <v>8.1120000000000012E-2</v>
          </cell>
          <cell r="G20">
            <v>9.0782000000000002E-2</v>
          </cell>
          <cell r="H20">
            <v>0.11175700000000001</v>
          </cell>
          <cell r="I20">
            <v>0.141711</v>
          </cell>
          <cell r="J20">
            <v>0.176314</v>
          </cell>
          <cell r="K20">
            <v>0.19984399999999999</v>
          </cell>
          <cell r="L20">
            <v>0.22161400000000001</v>
          </cell>
          <cell r="M20">
            <v>0.24349299999999999</v>
          </cell>
          <cell r="N20">
            <v>0.26808800000000005</v>
          </cell>
          <cell r="O20">
            <v>0.29676400000000003</v>
          </cell>
          <cell r="P20">
            <v>0.32256699999999999</v>
          </cell>
          <cell r="Q20">
            <v>0.34541100000000002</v>
          </cell>
          <cell r="R20">
            <v>0.370724</v>
          </cell>
          <cell r="S20">
            <v>0.39100400000000002</v>
          </cell>
          <cell r="T20">
            <v>0.40576899999999999</v>
          </cell>
          <cell r="U20">
            <v>0.41547799999999996</v>
          </cell>
          <cell r="V20">
            <v>0.42528899999999997</v>
          </cell>
          <cell r="W20">
            <v>0.43385199999999902</v>
          </cell>
          <cell r="X20">
            <v>0.44039499999999998</v>
          </cell>
          <cell r="Y20">
            <v>0.444828</v>
          </cell>
          <cell r="Z20">
            <v>0.44723700000000005</v>
          </cell>
          <cell r="AA20">
            <v>0.44786099999999995</v>
          </cell>
          <cell r="AB20">
            <v>0.44717599999999996</v>
          </cell>
          <cell r="AC20">
            <v>0.44526099999999996</v>
          </cell>
          <cell r="AD20">
            <v>0.44236799999999998</v>
          </cell>
          <cell r="AE20">
            <v>0.43844299999999903</v>
          </cell>
          <cell r="AF20">
            <v>0.433284</v>
          </cell>
          <cell r="AG20">
            <v>0.42679899999999998</v>
          </cell>
          <cell r="AH20">
            <v>0.419049</v>
          </cell>
          <cell r="AI20">
            <v>0.4103</v>
          </cell>
          <cell r="AJ20">
            <v>0.400918</v>
          </cell>
        </row>
        <row r="21">
          <cell r="C21" t="str">
            <v>Bosnia and Herzegovina</v>
          </cell>
          <cell r="F21">
            <v>2.6708440000000002</v>
          </cell>
          <cell r="G21">
            <v>2.9285939999999999</v>
          </cell>
          <cell r="H21">
            <v>3.2310889999999999</v>
          </cell>
          <cell r="I21">
            <v>3.5371990000000002</v>
          </cell>
          <cell r="J21">
            <v>3.7934920000000001</v>
          </cell>
          <cell r="K21">
            <v>4.002758</v>
          </cell>
          <cell r="L21">
            <v>4.1823549999999994</v>
          </cell>
          <cell r="M21">
            <v>4.3675240000000004</v>
          </cell>
          <cell r="N21">
            <v>4.4887569999999997</v>
          </cell>
          <cell r="O21">
            <v>3.6852499999999999</v>
          </cell>
          <cell r="P21">
            <v>4.1717089999999999</v>
          </cell>
          <cell r="Q21">
            <v>4.1121530000000002</v>
          </cell>
          <cell r="R21">
            <v>3.844738</v>
          </cell>
          <cell r="S21">
            <v>3.5469209999999998</v>
          </cell>
          <cell r="T21">
            <v>3.3409770000000001</v>
          </cell>
          <cell r="U21">
            <v>3.1807919999999998</v>
          </cell>
          <cell r="V21">
            <v>3.0628760000000002</v>
          </cell>
          <cell r="W21">
            <v>2.9369449999999997</v>
          </cell>
          <cell r="X21">
            <v>2.806279</v>
          </cell>
          <cell r="Y21">
            <v>2.6762420000000002</v>
          </cell>
          <cell r="Z21">
            <v>2.5510929999999998</v>
          </cell>
          <cell r="AA21">
            <v>2.4335309999999999</v>
          </cell>
          <cell r="AB21">
            <v>2.3236289999999999</v>
          </cell>
          <cell r="AC21">
            <v>2.2237390000000001</v>
          </cell>
          <cell r="AD21">
            <v>2.132193</v>
          </cell>
          <cell r="AE21">
            <v>2.047539</v>
          </cell>
          <cell r="AF21">
            <v>1.9700989999999998</v>
          </cell>
          <cell r="AG21">
            <v>1.8995570000000002</v>
          </cell>
          <cell r="AH21">
            <v>1.835761</v>
          </cell>
          <cell r="AI21">
            <v>1.777366</v>
          </cell>
          <cell r="AJ21">
            <v>1.7225359999999998</v>
          </cell>
        </row>
        <row r="22">
          <cell r="C22" t="str">
            <v>Belarus</v>
          </cell>
          <cell r="F22">
            <v>7.9267790000000007</v>
          </cell>
          <cell r="G22">
            <v>7.9487009999999998</v>
          </cell>
          <cell r="H22">
            <v>8.3365120000000008</v>
          </cell>
          <cell r="I22">
            <v>8.8195939999999986</v>
          </cell>
          <cell r="J22">
            <v>9.1387140000000002</v>
          </cell>
          <cell r="K22">
            <v>9.4692410000000002</v>
          </cell>
          <cell r="L22">
            <v>9.7870969999999993</v>
          </cell>
          <cell r="M22">
            <v>10.101637</v>
          </cell>
          <cell r="N22">
            <v>10.410923</v>
          </cell>
          <cell r="O22">
            <v>10.472531000000002</v>
          </cell>
          <cell r="P22">
            <v>10.281424000000001</v>
          </cell>
          <cell r="Q22">
            <v>9.967568</v>
          </cell>
          <cell r="R22">
            <v>9.7450939999999999</v>
          </cell>
          <cell r="S22">
            <v>9.6965009999999996</v>
          </cell>
          <cell r="T22">
            <v>9.6610390000000006</v>
          </cell>
          <cell r="U22">
            <v>9.3936470000000014</v>
          </cell>
          <cell r="V22">
            <v>9.2168209999999995</v>
          </cell>
          <cell r="W22">
            <v>9.0487190000000108</v>
          </cell>
          <cell r="X22">
            <v>8.8998729999999995</v>
          </cell>
          <cell r="Y22">
            <v>8.7721910000000101</v>
          </cell>
          <cell r="Z22">
            <v>8.6517250000000008</v>
          </cell>
          <cell r="AA22">
            <v>8.5223999999999993</v>
          </cell>
          <cell r="AB22">
            <v>8.3868220000000004</v>
          </cell>
          <cell r="AC22">
            <v>8.2465010000000003</v>
          </cell>
          <cell r="AD22">
            <v>8.1079159999999995</v>
          </cell>
          <cell r="AE22">
            <v>7.9719939999999996</v>
          </cell>
          <cell r="AF22">
            <v>7.8367040000000001</v>
          </cell>
          <cell r="AG22">
            <v>7.7025110000000003</v>
          </cell>
          <cell r="AH22">
            <v>7.5707209999999998</v>
          </cell>
          <cell r="AI22">
            <v>7.4378159999999998</v>
          </cell>
          <cell r="AJ22">
            <v>7.2937250000000002</v>
          </cell>
        </row>
        <row r="23">
          <cell r="C23" t="str">
            <v>Belize</v>
          </cell>
          <cell r="F23">
            <v>6.8155000000000007E-2</v>
          </cell>
          <cell r="G23">
            <v>7.8889000000000001E-2</v>
          </cell>
          <cell r="H23">
            <v>9.0222999999999998E-2</v>
          </cell>
          <cell r="I23">
            <v>0.10326399999999999</v>
          </cell>
          <cell r="J23">
            <v>0.11974899999999999</v>
          </cell>
          <cell r="K23">
            <v>0.12947700000000001</v>
          </cell>
          <cell r="L23">
            <v>0.14333000000000001</v>
          </cell>
          <cell r="M23">
            <v>0.16156200000000001</v>
          </cell>
          <cell r="N23">
            <v>0.180642</v>
          </cell>
          <cell r="O23">
            <v>0.20069200000000001</v>
          </cell>
          <cell r="P23">
            <v>0.236627</v>
          </cell>
          <cell r="Q23">
            <v>0.27622099999999999</v>
          </cell>
          <cell r="R23">
            <v>0.318415</v>
          </cell>
          <cell r="S23">
            <v>0.35613600000000001</v>
          </cell>
          <cell r="T23">
            <v>0.392424</v>
          </cell>
          <cell r="U23">
            <v>0.42380299999999999</v>
          </cell>
          <cell r="V23">
            <v>0.45470900000000003</v>
          </cell>
          <cell r="W23">
            <v>0.48236000000000007</v>
          </cell>
          <cell r="X23">
            <v>0.50659599999999994</v>
          </cell>
          <cell r="Y23">
            <v>0.52819899999999997</v>
          </cell>
          <cell r="Z23">
            <v>0.54759400000000003</v>
          </cell>
          <cell r="AA23">
            <v>0.564693</v>
          </cell>
          <cell r="AB23">
            <v>0.57945099999999994</v>
          </cell>
          <cell r="AC23">
            <v>0.59121099999999993</v>
          </cell>
          <cell r="AD23">
            <v>0.59985199999999905</v>
          </cell>
          <cell r="AE23">
            <v>0.60515399999999997</v>
          </cell>
          <cell r="AF23">
            <v>0.60760700000000001</v>
          </cell>
          <cell r="AG23">
            <v>0.60742999999999903</v>
          </cell>
          <cell r="AH23">
            <v>0.60498700000000105</v>
          </cell>
          <cell r="AI23">
            <v>0.60063699999999998</v>
          </cell>
          <cell r="AJ23">
            <v>0.59458100000000003</v>
          </cell>
        </row>
        <row r="24">
          <cell r="C24" t="str">
            <v>Bolivia</v>
          </cell>
          <cell r="F24">
            <v>3.0670839999999999</v>
          </cell>
          <cell r="G24">
            <v>3.326908</v>
          </cell>
          <cell r="H24">
            <v>3.6694160000000005</v>
          </cell>
          <cell r="I24">
            <v>4.0718930000000002</v>
          </cell>
          <cell r="J24">
            <v>4.5352319999999997</v>
          </cell>
          <cell r="K24">
            <v>5.0702600000000002</v>
          </cell>
          <cell r="L24">
            <v>5.6729099999999999</v>
          </cell>
          <cell r="M24">
            <v>6.3181340000000006</v>
          </cell>
          <cell r="N24">
            <v>7.0221610000000005</v>
          </cell>
          <cell r="O24">
            <v>7.7677500000000004</v>
          </cell>
          <cell r="P24">
            <v>8.5159470000000006</v>
          </cell>
          <cell r="Q24">
            <v>9.2961649999999896</v>
          </cell>
          <cell r="R24">
            <v>10.137039000000001</v>
          </cell>
          <cell r="S24">
            <v>11.003680000000001</v>
          </cell>
          <cell r="T24">
            <v>11.862352000000001</v>
          </cell>
          <cell r="U24">
            <v>12.619884000000001</v>
          </cell>
          <cell r="V24">
            <v>13.441895000000001</v>
          </cell>
          <cell r="W24">
            <v>14.2089</v>
          </cell>
          <cell r="X24">
            <v>14.887058000000001</v>
          </cell>
          <cell r="Y24">
            <v>15.478812</v>
          </cell>
          <cell r="Z24">
            <v>15.959772000000001</v>
          </cell>
          <cell r="AA24">
            <v>16.323379000000003</v>
          </cell>
          <cell r="AB24">
            <v>16.587175999999999</v>
          </cell>
          <cell r="AC24">
            <v>16.776150000000001</v>
          </cell>
          <cell r="AD24">
            <v>16.894955999999997</v>
          </cell>
          <cell r="AE24">
            <v>16.950125</v>
          </cell>
          <cell r="AF24">
            <v>16.929754000000003</v>
          </cell>
          <cell r="AG24">
            <v>16.847473000000001</v>
          </cell>
          <cell r="AH24">
            <v>16.713304000000001</v>
          </cell>
          <cell r="AI24">
            <v>16.540170999999997</v>
          </cell>
          <cell r="AJ24">
            <v>16.335509999999999</v>
          </cell>
        </row>
        <row r="25">
          <cell r="C25" t="str">
            <v>Brazil</v>
          </cell>
          <cell r="F25">
            <v>53.151900000000005</v>
          </cell>
          <cell r="G25">
            <v>61.747203999999996</v>
          </cell>
          <cell r="H25">
            <v>71.976656000000006</v>
          </cell>
          <cell r="I25">
            <v>83.441271</v>
          </cell>
          <cell r="J25">
            <v>95.176504000000008</v>
          </cell>
          <cell r="K25">
            <v>107.420393</v>
          </cell>
          <cell r="L25">
            <v>120.85324300000001</v>
          </cell>
          <cell r="M25">
            <v>135.34040200000001</v>
          </cell>
          <cell r="N25">
            <v>149.370653</v>
          </cell>
          <cell r="O25">
            <v>162.250123</v>
          </cell>
          <cell r="P25">
            <v>174.692656</v>
          </cell>
          <cell r="Q25">
            <v>185.76992100000001</v>
          </cell>
          <cell r="R25">
            <v>195.43275</v>
          </cell>
          <cell r="S25">
            <v>204.33481</v>
          </cell>
          <cell r="T25">
            <v>212.56493800000001</v>
          </cell>
          <cell r="U25">
            <v>217.56195099999999</v>
          </cell>
          <cell r="V25">
            <v>222.22066800000002</v>
          </cell>
          <cell r="W25">
            <v>225.60292200000001</v>
          </cell>
          <cell r="X25">
            <v>227.64379099999999</v>
          </cell>
          <cell r="Y25">
            <v>228.382237</v>
          </cell>
          <cell r="Z25">
            <v>227.81337100000002</v>
          </cell>
          <cell r="AA25">
            <v>226.154079</v>
          </cell>
          <cell r="AB25">
            <v>223.52748600000001</v>
          </cell>
          <cell r="AC25">
            <v>219.98680999999999</v>
          </cell>
          <cell r="AD25">
            <v>215.66239400000001</v>
          </cell>
          <cell r="AE25">
            <v>210.670582</v>
          </cell>
          <cell r="AF25">
            <v>205.11503200000001</v>
          </cell>
          <cell r="AG25">
            <v>199.30997500000001</v>
          </cell>
          <cell r="AH25">
            <v>193.42709500000001</v>
          </cell>
          <cell r="AI25">
            <v>187.625721</v>
          </cell>
          <cell r="AJ25">
            <v>182.011177</v>
          </cell>
        </row>
        <row r="26">
          <cell r="C26" t="str">
            <v>Barbados</v>
          </cell>
          <cell r="F26">
            <v>0.20789099999999999</v>
          </cell>
          <cell r="G26">
            <v>0.22644</v>
          </cell>
          <cell r="H26">
            <v>0.231992</v>
          </cell>
          <cell r="I26">
            <v>0.23728800000000003</v>
          </cell>
          <cell r="J26">
            <v>0.24096600000000001</v>
          </cell>
          <cell r="K26">
            <v>0.24646199999999999</v>
          </cell>
          <cell r="L26">
            <v>0.25297599999999998</v>
          </cell>
          <cell r="M26">
            <v>0.25763799999999998</v>
          </cell>
          <cell r="N26">
            <v>0.258747</v>
          </cell>
          <cell r="O26">
            <v>0.262042</v>
          </cell>
          <cell r="P26">
            <v>0.26448300000000002</v>
          </cell>
          <cell r="Q26">
            <v>0.26900000000000002</v>
          </cell>
          <cell r="R26">
            <v>0.27430300000000002</v>
          </cell>
          <cell r="S26">
            <v>0.27779700000000002</v>
          </cell>
          <cell r="T26">
            <v>0.28042600000000001</v>
          </cell>
          <cell r="U26">
            <v>0.28256900000000001</v>
          </cell>
          <cell r="V26">
            <v>0.284049</v>
          </cell>
          <cell r="W26">
            <v>0.28454599999999997</v>
          </cell>
          <cell r="X26">
            <v>0.28390499999999902</v>
          </cell>
          <cell r="Y26">
            <v>0.28239300000000001</v>
          </cell>
          <cell r="Z26">
            <v>0.280221</v>
          </cell>
          <cell r="AA26">
            <v>0.27793200000000001</v>
          </cell>
          <cell r="AB26">
            <v>0.27592899999999998</v>
          </cell>
          <cell r="AC26">
            <v>0.27400399999999997</v>
          </cell>
          <cell r="AD26">
            <v>0.27208000000000004</v>
          </cell>
          <cell r="AE26">
            <v>0.27009699999999998</v>
          </cell>
          <cell r="AF26">
            <v>0.26797599999999999</v>
          </cell>
          <cell r="AG26">
            <v>0.265513</v>
          </cell>
          <cell r="AH26">
            <v>0.26277800000000001</v>
          </cell>
          <cell r="AI26">
            <v>0.25977</v>
          </cell>
          <cell r="AJ26">
            <v>0.25630500000000001</v>
          </cell>
        </row>
        <row r="27">
          <cell r="C27" t="str">
            <v>Brunei Darussalam</v>
          </cell>
          <cell r="F27">
            <v>4.6859000000000005E-2</v>
          </cell>
          <cell r="G27">
            <v>6.2363999999999996E-2</v>
          </cell>
          <cell r="H27">
            <v>8.3230999999999999E-2</v>
          </cell>
          <cell r="I27">
            <v>0.10526600000000001</v>
          </cell>
          <cell r="J27">
            <v>0.130664</v>
          </cell>
          <cell r="K27">
            <v>0.15696000000000002</v>
          </cell>
          <cell r="L27">
            <v>0.184888</v>
          </cell>
          <cell r="M27">
            <v>0.218333</v>
          </cell>
          <cell r="N27">
            <v>0.257882</v>
          </cell>
          <cell r="O27">
            <v>0.29552899999999999</v>
          </cell>
          <cell r="P27">
            <v>0.33048700000000003</v>
          </cell>
          <cell r="Q27">
            <v>0.36362700000000003</v>
          </cell>
          <cell r="R27">
            <v>0.393175</v>
          </cell>
          <cell r="S27">
            <v>0.41909300000000005</v>
          </cell>
          <cell r="T27">
            <v>0.43989400000000001</v>
          </cell>
          <cell r="U27">
            <v>0.46132199999999995</v>
          </cell>
          <cell r="V27">
            <v>0.48020199999999996</v>
          </cell>
          <cell r="W27">
            <v>0.49661099999999997</v>
          </cell>
          <cell r="X27">
            <v>0.51081699999999997</v>
          </cell>
          <cell r="Y27">
            <v>0.52283000000000002</v>
          </cell>
          <cell r="Z27">
            <v>0.53241499999999997</v>
          </cell>
          <cell r="AA27">
            <v>0.53933599999999993</v>
          </cell>
          <cell r="AB27">
            <v>0.54388700000000001</v>
          </cell>
          <cell r="AC27">
            <v>0.54582499999999901</v>
          </cell>
          <cell r="AD27">
            <v>0.54584599999999994</v>
          </cell>
          <cell r="AE27">
            <v>0.54455699999999907</v>
          </cell>
          <cell r="AF27">
            <v>0.54235299999999997</v>
          </cell>
          <cell r="AG27">
            <v>0.53946799999999995</v>
          </cell>
          <cell r="AH27">
            <v>0.53612000000000004</v>
          </cell>
          <cell r="AI27">
            <v>0.53231899999999999</v>
          </cell>
          <cell r="AJ27">
            <v>0.527779</v>
          </cell>
        </row>
        <row r="28">
          <cell r="C28" t="str">
            <v>Bhutan</v>
          </cell>
          <cell r="F28">
            <v>0.17471100000000001</v>
          </cell>
          <cell r="G28">
            <v>0.19376099999999999</v>
          </cell>
          <cell r="H28">
            <v>0.21845100000000001</v>
          </cell>
          <cell r="I28">
            <v>0.25112600000000002</v>
          </cell>
          <cell r="J28">
            <v>0.29400900000000002</v>
          </cell>
          <cell r="K28">
            <v>0.34644999999999998</v>
          </cell>
          <cell r="L28">
            <v>0.40860700000000005</v>
          </cell>
          <cell r="M28">
            <v>0.47729199999999999</v>
          </cell>
          <cell r="N28">
            <v>0.55183199999999999</v>
          </cell>
          <cell r="O28">
            <v>0.52236300000000002</v>
          </cell>
          <cell r="P28">
            <v>0.57914599999999994</v>
          </cell>
          <cell r="Q28">
            <v>0.65762399999999999</v>
          </cell>
          <cell r="R28">
            <v>0.70161099999999998</v>
          </cell>
          <cell r="S28">
            <v>0.73998900000000001</v>
          </cell>
          <cell r="T28">
            <v>0.76999699999999904</v>
          </cell>
          <cell r="U28">
            <v>0.79772799999999999</v>
          </cell>
          <cell r="V28">
            <v>0.82262599999999997</v>
          </cell>
          <cell r="W28">
            <v>0.84341399999999911</v>
          </cell>
          <cell r="X28">
            <v>0.85899300000000012</v>
          </cell>
          <cell r="Y28">
            <v>0.86865499999999995</v>
          </cell>
          <cell r="Z28">
            <v>0.87234699999999998</v>
          </cell>
          <cell r="AA28">
            <v>0.87057399999999996</v>
          </cell>
          <cell r="AB28">
            <v>0.86376599999999992</v>
          </cell>
          <cell r="AC28">
            <v>0.85150000000000003</v>
          </cell>
          <cell r="AD28">
            <v>0.83371600000000001</v>
          </cell>
          <cell r="AE28">
            <v>0.81092300000000006</v>
          </cell>
          <cell r="AF28">
            <v>0.78433800000000109</v>
          </cell>
          <cell r="AG28">
            <v>0.75533900000000009</v>
          </cell>
          <cell r="AH28">
            <v>0.72580799999999901</v>
          </cell>
          <cell r="AI28">
            <v>0.69654800000000006</v>
          </cell>
          <cell r="AJ28">
            <v>0.66801599999999905</v>
          </cell>
        </row>
        <row r="29">
          <cell r="C29" t="str">
            <v>Botswana</v>
          </cell>
          <cell r="F29">
            <v>0.408831</v>
          </cell>
          <cell r="G29">
            <v>0.45710200000000001</v>
          </cell>
          <cell r="H29">
            <v>0.50722400000000001</v>
          </cell>
          <cell r="I29">
            <v>0.56902300000000006</v>
          </cell>
          <cell r="J29">
            <v>0.58882899999999994</v>
          </cell>
          <cell r="K29">
            <v>0.70923000000000003</v>
          </cell>
          <cell r="L29">
            <v>0.91592799999999996</v>
          </cell>
          <cell r="M29">
            <v>1.1186579999999999</v>
          </cell>
          <cell r="N29">
            <v>1.321744</v>
          </cell>
          <cell r="O29">
            <v>1.523992</v>
          </cell>
          <cell r="P29">
            <v>1.709362</v>
          </cell>
          <cell r="Q29">
            <v>1.875451</v>
          </cell>
          <cell r="R29">
            <v>2.0700639999999999</v>
          </cell>
          <cell r="S29">
            <v>2.2822370000000003</v>
          </cell>
          <cell r="T29">
            <v>2.5235509999999999</v>
          </cell>
          <cell r="U29">
            <v>2.7333410000000002</v>
          </cell>
          <cell r="V29">
            <v>2.932169</v>
          </cell>
          <cell r="W29">
            <v>3.1148829999999998</v>
          </cell>
          <cell r="X29">
            <v>3.276831</v>
          </cell>
          <cell r="Y29">
            <v>3.4152109999999989</v>
          </cell>
          <cell r="Z29">
            <v>3.5209589999999999</v>
          </cell>
          <cell r="AA29">
            <v>3.5928930000000001</v>
          </cell>
          <cell r="AB29">
            <v>3.6385839999999998</v>
          </cell>
          <cell r="AC29">
            <v>3.6612689999999999</v>
          </cell>
          <cell r="AD29">
            <v>3.6634979999999997</v>
          </cell>
          <cell r="AE29">
            <v>3.64825</v>
          </cell>
          <cell r="AF29">
            <v>3.6135799999999998</v>
          </cell>
          <cell r="AG29">
            <v>3.5639210000000001</v>
          </cell>
          <cell r="AH29">
            <v>3.497433</v>
          </cell>
          <cell r="AI29">
            <v>3.4192529999999999</v>
          </cell>
          <cell r="AJ29">
            <v>3.3313649999999999</v>
          </cell>
        </row>
        <row r="30">
          <cell r="C30" t="str">
            <v>Central African Republic</v>
          </cell>
          <cell r="F30">
            <v>1.4265150000000002</v>
          </cell>
          <cell r="G30">
            <v>1.5338630000000002</v>
          </cell>
          <cell r="H30">
            <v>1.6647660000000002</v>
          </cell>
          <cell r="I30">
            <v>1.8299259999999999</v>
          </cell>
          <cell r="J30">
            <v>2.0449570000000001</v>
          </cell>
          <cell r="K30">
            <v>2.2613349999999999</v>
          </cell>
          <cell r="L30">
            <v>2.4026619999999999</v>
          </cell>
          <cell r="M30">
            <v>2.5380210000000001</v>
          </cell>
          <cell r="N30">
            <v>2.7658040000000002</v>
          </cell>
          <cell r="O30">
            <v>3.237384</v>
          </cell>
          <cell r="P30">
            <v>3.7064250000000003</v>
          </cell>
          <cell r="Q30">
            <v>4.1602589999999999</v>
          </cell>
          <cell r="R30">
            <v>4.6144570000000007</v>
          </cell>
          <cell r="S30">
            <v>4.780856</v>
          </cell>
          <cell r="T30">
            <v>5.272024</v>
          </cell>
          <cell r="U30">
            <v>6.0996969999999999</v>
          </cell>
          <cell r="V30">
            <v>7.0401149999999904</v>
          </cell>
          <cell r="W30">
            <v>8.0395020000000006</v>
          </cell>
          <cell r="X30">
            <v>9.0564159999999987</v>
          </cell>
          <cell r="Y30">
            <v>10.071138000000001</v>
          </cell>
          <cell r="Z30">
            <v>11.083715</v>
          </cell>
          <cell r="AA30">
            <v>12.067404000000002</v>
          </cell>
          <cell r="AB30">
            <v>13.008604999999999</v>
          </cell>
          <cell r="AC30">
            <v>13.905094</v>
          </cell>
          <cell r="AD30">
            <v>14.745262</v>
          </cell>
          <cell r="AE30">
            <v>15.514895000000001</v>
          </cell>
          <cell r="AF30">
            <v>16.202266000000002</v>
          </cell>
          <cell r="AG30">
            <v>16.804812000000002</v>
          </cell>
          <cell r="AH30">
            <v>17.302789000000001</v>
          </cell>
          <cell r="AI30">
            <v>17.703282999999999</v>
          </cell>
          <cell r="AJ30">
            <v>18.035757</v>
          </cell>
        </row>
        <row r="31">
          <cell r="C31" t="str">
            <v>Canada</v>
          </cell>
          <cell r="F31">
            <v>13.593591</v>
          </cell>
          <cell r="G31">
            <v>15.535941999999999</v>
          </cell>
          <cell r="H31">
            <v>17.720946999999999</v>
          </cell>
          <cell r="I31">
            <v>19.505728000000001</v>
          </cell>
          <cell r="J31">
            <v>21.181539000000001</v>
          </cell>
          <cell r="K31">
            <v>22.975505000000002</v>
          </cell>
          <cell r="L31">
            <v>24.356256000000002</v>
          </cell>
          <cell r="M31">
            <v>25.720924</v>
          </cell>
          <cell r="N31">
            <v>27.467238000000002</v>
          </cell>
          <cell r="O31">
            <v>29.136975</v>
          </cell>
          <cell r="P31">
            <v>30.529607000000002</v>
          </cell>
          <cell r="Q31">
            <v>32.060726000000003</v>
          </cell>
          <cell r="R31">
            <v>33.783042000000002</v>
          </cell>
          <cell r="S31">
            <v>35.562311999999999</v>
          </cell>
          <cell r="T31">
            <v>37.758235999999997</v>
          </cell>
          <cell r="U31">
            <v>38.643509000000002</v>
          </cell>
          <cell r="V31">
            <v>39.443004000000002</v>
          </cell>
          <cell r="W31">
            <v>40.185866000000004</v>
          </cell>
          <cell r="X31">
            <v>40.862898000000001</v>
          </cell>
          <cell r="Y31">
            <v>41.505006000000002</v>
          </cell>
          <cell r="Z31">
            <v>42.171046000000004</v>
          </cell>
          <cell r="AA31">
            <v>42.738773999999999</v>
          </cell>
          <cell r="AB31">
            <v>43.273856000000002</v>
          </cell>
          <cell r="AC31">
            <v>43.765387000000004</v>
          </cell>
          <cell r="AD31">
            <v>44.224156999999998</v>
          </cell>
          <cell r="AE31">
            <v>44.601110999999996</v>
          </cell>
          <cell r="AF31">
            <v>44.846438000000006</v>
          </cell>
          <cell r="AG31">
            <v>44.926912999999999</v>
          </cell>
          <cell r="AH31">
            <v>44.839692999999997</v>
          </cell>
          <cell r="AI31">
            <v>44.615118000000002</v>
          </cell>
          <cell r="AJ31">
            <v>44.290476000000005</v>
          </cell>
        </row>
        <row r="32">
          <cell r="C32" t="str">
            <v>Switzerland</v>
          </cell>
          <cell r="F32">
            <v>4.668088</v>
          </cell>
          <cell r="G32">
            <v>4.9707059999999998</v>
          </cell>
          <cell r="H32">
            <v>5.2960519999999995</v>
          </cell>
          <cell r="I32">
            <v>5.8297129999999999</v>
          </cell>
          <cell r="J32">
            <v>6.1690800000000001</v>
          </cell>
          <cell r="K32">
            <v>6.3559750000000008</v>
          </cell>
          <cell r="L32">
            <v>6.3034030000000003</v>
          </cell>
          <cell r="M32">
            <v>6.4554020000000003</v>
          </cell>
          <cell r="N32">
            <v>6.6731679999999995</v>
          </cell>
          <cell r="O32">
            <v>7.0166230000000001</v>
          </cell>
          <cell r="P32">
            <v>7.1625370000000004</v>
          </cell>
          <cell r="Q32">
            <v>7.4065789999999998</v>
          </cell>
          <cell r="R32">
            <v>7.7763109999999998</v>
          </cell>
          <cell r="S32">
            <v>8.2369199999999996</v>
          </cell>
          <cell r="T32">
            <v>8.606425999999999</v>
          </cell>
          <cell r="U32">
            <v>8.8487790000000004</v>
          </cell>
          <cell r="V32">
            <v>9.0183860000000013</v>
          </cell>
          <cell r="W32">
            <v>9.1734279999999995</v>
          </cell>
          <cell r="X32">
            <v>9.3261030000000105</v>
          </cell>
          <cell r="Y32">
            <v>9.4905679999999997</v>
          </cell>
          <cell r="Z32">
            <v>9.6734920000000102</v>
          </cell>
          <cell r="AA32">
            <v>9.8376120000000107</v>
          </cell>
          <cell r="AB32">
            <v>9.9769050000000004</v>
          </cell>
          <cell r="AC32">
            <v>10.084758000000001</v>
          </cell>
          <cell r="AD32">
            <v>10.178735000000001</v>
          </cell>
          <cell r="AE32">
            <v>10.263333000000001</v>
          </cell>
          <cell r="AF32">
            <v>10.331051</v>
          </cell>
          <cell r="AG32">
            <v>10.373222999999999</v>
          </cell>
          <cell r="AH32">
            <v>10.387667</v>
          </cell>
          <cell r="AI32">
            <v>10.376593999999999</v>
          </cell>
          <cell r="AJ32">
            <v>10.341987</v>
          </cell>
        </row>
        <row r="33">
          <cell r="C33" t="str">
            <v>Chile</v>
          </cell>
          <cell r="F33">
            <v>6.5638940000000003</v>
          </cell>
          <cell r="G33">
            <v>7.2465240000000009</v>
          </cell>
          <cell r="H33">
            <v>8.0563819999999993</v>
          </cell>
          <cell r="I33">
            <v>8.9105070000000115</v>
          </cell>
          <cell r="J33">
            <v>9.7381970000000102</v>
          </cell>
          <cell r="K33">
            <v>10.555343000000001</v>
          </cell>
          <cell r="L33">
            <v>11.386865999999999</v>
          </cell>
          <cell r="M33">
            <v>12.234871999999999</v>
          </cell>
          <cell r="N33">
            <v>13.234942</v>
          </cell>
          <cell r="O33">
            <v>14.316073000000001</v>
          </cell>
          <cell r="P33">
            <v>15.264469</v>
          </cell>
          <cell r="Q33">
            <v>16.096458999999999</v>
          </cell>
          <cell r="R33">
            <v>16.920062000000001</v>
          </cell>
          <cell r="S33">
            <v>17.779025000000001</v>
          </cell>
          <cell r="T33">
            <v>19.206692</v>
          </cell>
          <cell r="U33">
            <v>19.581016999999999</v>
          </cell>
          <cell r="V33">
            <v>19.949888999999999</v>
          </cell>
          <cell r="W33">
            <v>20.227035000000001</v>
          </cell>
          <cell r="X33">
            <v>20.394901000000001</v>
          </cell>
          <cell r="Y33">
            <v>20.457771000000001</v>
          </cell>
          <cell r="Z33">
            <v>20.438798999999999</v>
          </cell>
          <cell r="AA33">
            <v>20.329918000000003</v>
          </cell>
          <cell r="AB33">
            <v>20.131602999999998</v>
          </cell>
          <cell r="AC33">
            <v>19.854625000000002</v>
          </cell>
          <cell r="AD33">
            <v>19.514106999999999</v>
          </cell>
          <cell r="AE33">
            <v>19.111552</v>
          </cell>
          <cell r="AF33">
            <v>18.652048999999998</v>
          </cell>
          <cell r="AG33">
            <v>18.140830000000001</v>
          </cell>
          <cell r="AH33">
            <v>17.592383999999999</v>
          </cell>
          <cell r="AI33">
            <v>17.030712000000001</v>
          </cell>
          <cell r="AJ33">
            <v>16.482444000000001</v>
          </cell>
        </row>
        <row r="34">
          <cell r="C34" t="str">
            <v>China</v>
          </cell>
          <cell r="F34">
            <v>539.19000500000004</v>
          </cell>
          <cell r="G34">
            <v>596.56417299999998</v>
          </cell>
          <cell r="H34">
            <v>654.29135199999996</v>
          </cell>
          <cell r="I34">
            <v>714.13899900000001</v>
          </cell>
          <cell r="J34">
            <v>811.78718000000003</v>
          </cell>
          <cell r="K34">
            <v>907.82279799999992</v>
          </cell>
          <cell r="L34">
            <v>975.15739500000007</v>
          </cell>
          <cell r="M34">
            <v>1051.9254450000001</v>
          </cell>
          <cell r="N34">
            <v>1143.766993</v>
          </cell>
          <cell r="O34">
            <v>1212.8781839999999</v>
          </cell>
          <cell r="P34">
            <v>1259.6101550000001</v>
          </cell>
          <cell r="Q34">
            <v>1300.8477500000001</v>
          </cell>
          <cell r="R34">
            <v>1343.697578</v>
          </cell>
          <cell r="S34">
            <v>1389.7945549999999</v>
          </cell>
          <cell r="T34">
            <v>1423.9980170000001</v>
          </cell>
          <cell r="U34">
            <v>1426.3704339999999</v>
          </cell>
          <cell r="V34">
            <v>1416.2727170000001</v>
          </cell>
          <cell r="W34">
            <v>1398.8560230000001</v>
          </cell>
          <cell r="X34">
            <v>1375.7024120000001</v>
          </cell>
          <cell r="Y34">
            <v>1345.324433</v>
          </cell>
          <cell r="Z34">
            <v>1306.025392</v>
          </cell>
          <cell r="AA34">
            <v>1257.592713</v>
          </cell>
          <cell r="AB34">
            <v>1203.2158140000001</v>
          </cell>
          <cell r="AC34">
            <v>1146.749636</v>
          </cell>
          <cell r="AD34">
            <v>1091.65903</v>
          </cell>
          <cell r="AE34">
            <v>1038.7091399999999</v>
          </cell>
          <cell r="AF34">
            <v>986.64711399999999</v>
          </cell>
          <cell r="AG34">
            <v>935.60494299999903</v>
          </cell>
          <cell r="AH34">
            <v>887.40868700000101</v>
          </cell>
          <cell r="AI34">
            <v>842.783736000001</v>
          </cell>
          <cell r="AJ34">
            <v>800.21580900000106</v>
          </cell>
        </row>
        <row r="35">
          <cell r="C35" t="str">
            <v>C?te d'Ivoire</v>
          </cell>
          <cell r="F35">
            <v>2.6985140000000003</v>
          </cell>
          <cell r="G35">
            <v>3.1073840000000001</v>
          </cell>
          <cell r="H35">
            <v>3.6415440000000001</v>
          </cell>
          <cell r="I35">
            <v>4.4055100000000005</v>
          </cell>
          <cell r="J35">
            <v>5.3613390000000001</v>
          </cell>
          <cell r="K35">
            <v>6.6981700000000002</v>
          </cell>
          <cell r="L35">
            <v>8.147316</v>
          </cell>
          <cell r="M35">
            <v>9.7920059999999989</v>
          </cell>
          <cell r="N35">
            <v>11.683761000000001</v>
          </cell>
          <cell r="O35">
            <v>14.047083000000001</v>
          </cell>
          <cell r="P35">
            <v>16.575192999999999</v>
          </cell>
          <cell r="Q35">
            <v>18.757906999999999</v>
          </cell>
          <cell r="R35">
            <v>20.896434000000003</v>
          </cell>
          <cell r="S35">
            <v>23.291820999999999</v>
          </cell>
          <cell r="T35">
            <v>26.477572000000002</v>
          </cell>
          <cell r="U35">
            <v>29.761586000000001</v>
          </cell>
          <cell r="V35">
            <v>33.078738000000001</v>
          </cell>
          <cell r="W35">
            <v>36.366531000000002</v>
          </cell>
          <cell r="X35">
            <v>39.543984999999999</v>
          </cell>
          <cell r="Y35">
            <v>42.554585000000003</v>
          </cell>
          <cell r="Z35">
            <v>45.332577000000001</v>
          </cell>
          <cell r="AA35">
            <v>47.861013</v>
          </cell>
          <cell r="AB35">
            <v>50.080730000000003</v>
          </cell>
          <cell r="AC35">
            <v>52.020463000000007</v>
          </cell>
          <cell r="AD35">
            <v>53.670863999999902</v>
          </cell>
          <cell r="AE35">
            <v>54.986078999999997</v>
          </cell>
          <cell r="AF35">
            <v>55.948571000000001</v>
          </cell>
          <cell r="AG35">
            <v>56.671343999999998</v>
          </cell>
          <cell r="AH35">
            <v>57.207692999999999</v>
          </cell>
          <cell r="AI35">
            <v>57.565195000000003</v>
          </cell>
          <cell r="AJ35">
            <v>57.730669999999996</v>
          </cell>
        </row>
        <row r="36">
          <cell r="C36" t="str">
            <v>Cameroon</v>
          </cell>
          <cell r="F36">
            <v>4.2830469999999998</v>
          </cell>
          <cell r="G36">
            <v>4.6302129999999995</v>
          </cell>
          <cell r="H36">
            <v>5.0778419999999995</v>
          </cell>
          <cell r="I36">
            <v>5.6217420000000002</v>
          </cell>
          <cell r="J36">
            <v>6.3675230000000003</v>
          </cell>
          <cell r="K36">
            <v>7.2943040000000003</v>
          </cell>
          <cell r="L36">
            <v>8.3583210000000001</v>
          </cell>
          <cell r="M36">
            <v>9.6531359999999999</v>
          </cell>
          <cell r="N36">
            <v>11.257056</v>
          </cell>
          <cell r="O36">
            <v>13.029933000000002</v>
          </cell>
          <cell r="P36">
            <v>14.893825999999999</v>
          </cell>
          <cell r="Q36">
            <v>17.041084999999999</v>
          </cell>
          <cell r="R36">
            <v>19.594708999999998</v>
          </cell>
          <cell r="S36">
            <v>22.662455999999999</v>
          </cell>
          <cell r="T36">
            <v>26.137122000000002</v>
          </cell>
          <cell r="U36">
            <v>29.624645000000001</v>
          </cell>
          <cell r="V36">
            <v>33.201022999999999</v>
          </cell>
          <cell r="W36">
            <v>36.782300999999997</v>
          </cell>
          <cell r="X36">
            <v>40.324686999999905</v>
          </cell>
          <cell r="Y36">
            <v>43.795730000000006</v>
          </cell>
          <cell r="Z36">
            <v>47.105848000000002</v>
          </cell>
          <cell r="AA36">
            <v>50.198556999999902</v>
          </cell>
          <cell r="AB36">
            <v>52.968344999999999</v>
          </cell>
          <cell r="AC36">
            <v>55.413944999999998</v>
          </cell>
          <cell r="AD36">
            <v>57.536364000000006</v>
          </cell>
          <cell r="AE36">
            <v>59.190071000000003</v>
          </cell>
          <cell r="AF36">
            <v>60.455875999999996</v>
          </cell>
          <cell r="AG36">
            <v>61.305911999999999</v>
          </cell>
          <cell r="AH36">
            <v>61.814446000000004</v>
          </cell>
          <cell r="AI36">
            <v>62.043666000000002</v>
          </cell>
          <cell r="AJ36">
            <v>62.014443</v>
          </cell>
        </row>
        <row r="37">
          <cell r="C37" t="str">
            <v>Democratic Republic of the Congo</v>
          </cell>
          <cell r="F37">
            <v>12.174049000000002</v>
          </cell>
          <cell r="G37">
            <v>13.491282</v>
          </cell>
          <cell r="H37">
            <v>15.08151</v>
          </cell>
          <cell r="I37">
            <v>17.192926</v>
          </cell>
          <cell r="J37">
            <v>19.864961999999998</v>
          </cell>
          <cell r="K37">
            <v>22.748437000000003</v>
          </cell>
          <cell r="L37">
            <v>26.334923</v>
          </cell>
          <cell r="M37">
            <v>30.354676999999999</v>
          </cell>
          <cell r="N37">
            <v>35.371988999999999</v>
          </cell>
          <cell r="O37">
            <v>42.740354000000004</v>
          </cell>
          <cell r="P37">
            <v>47.901635000000006</v>
          </cell>
          <cell r="Q37">
            <v>55.661763000000001</v>
          </cell>
          <cell r="R37">
            <v>65.295328999999995</v>
          </cell>
          <cell r="S37">
            <v>77.325520999999995</v>
          </cell>
          <cell r="T37">
            <v>91.331955000000107</v>
          </cell>
          <cell r="U37">
            <v>107.545141</v>
          </cell>
          <cell r="V37">
            <v>125.550613</v>
          </cell>
          <cell r="W37">
            <v>144.87502900000001</v>
          </cell>
          <cell r="X37">
            <v>165.357483</v>
          </cell>
          <cell r="Y37">
            <v>186.686544</v>
          </cell>
          <cell r="Z37">
            <v>208.41627700000001</v>
          </cell>
          <cell r="AA37">
            <v>230.056603</v>
          </cell>
          <cell r="AB37">
            <v>251.27372399999999</v>
          </cell>
          <cell r="AC37">
            <v>271.61503700000003</v>
          </cell>
          <cell r="AD37">
            <v>290.858518</v>
          </cell>
          <cell r="AE37">
            <v>308.709722</v>
          </cell>
          <cell r="AF37">
            <v>324.72992800000003</v>
          </cell>
          <cell r="AG37">
            <v>338.71074300000004</v>
          </cell>
          <cell r="AH37">
            <v>349.97354200000001</v>
          </cell>
          <cell r="AI37">
            <v>358.57795600000003</v>
          </cell>
          <cell r="AJ37">
            <v>364.55468999999999</v>
          </cell>
        </row>
        <row r="38">
          <cell r="C38" t="str">
            <v>Congo</v>
          </cell>
          <cell r="F38">
            <v>0.82623900000000006</v>
          </cell>
          <cell r="G38">
            <v>0.9225270000000001</v>
          </cell>
          <cell r="H38">
            <v>1.0421050000000001</v>
          </cell>
          <cell r="I38">
            <v>1.190453</v>
          </cell>
          <cell r="J38">
            <v>1.3759020000000002</v>
          </cell>
          <cell r="K38">
            <v>1.6047280000000002</v>
          </cell>
          <cell r="L38">
            <v>1.808691</v>
          </cell>
          <cell r="M38">
            <v>2.0317880000000001</v>
          </cell>
          <cell r="N38">
            <v>2.3525839999999998</v>
          </cell>
          <cell r="O38">
            <v>2.704958</v>
          </cell>
          <cell r="P38">
            <v>3.0555279999999998</v>
          </cell>
          <cell r="Q38">
            <v>3.603364</v>
          </cell>
          <cell r="R38">
            <v>4.3635820000000001</v>
          </cell>
          <cell r="S38">
            <v>5.003857</v>
          </cell>
          <cell r="T38">
            <v>5.6352880000000001</v>
          </cell>
          <cell r="U38">
            <v>6.3430730000000004</v>
          </cell>
          <cell r="V38">
            <v>7.0732030000000004</v>
          </cell>
          <cell r="W38">
            <v>7.8196259999999995</v>
          </cell>
          <cell r="X38">
            <v>8.5608610000000009</v>
          </cell>
          <cell r="Y38">
            <v>9.2744920000000004</v>
          </cell>
          <cell r="Z38">
            <v>9.9509060000000016</v>
          </cell>
          <cell r="AA38">
            <v>10.571254000000001</v>
          </cell>
          <cell r="AB38">
            <v>11.124508000000001</v>
          </cell>
          <cell r="AC38">
            <v>11.621461</v>
          </cell>
          <cell r="AD38">
            <v>12.045011000000001</v>
          </cell>
          <cell r="AE38">
            <v>12.376665000000001</v>
          </cell>
          <cell r="AF38">
            <v>12.622091000000001</v>
          </cell>
          <cell r="AG38">
            <v>12.796559</v>
          </cell>
          <cell r="AH38">
            <v>12.905469</v>
          </cell>
          <cell r="AI38">
            <v>12.950438</v>
          </cell>
          <cell r="AJ38">
            <v>12.934565000000001</v>
          </cell>
        </row>
        <row r="39">
          <cell r="C39" t="str">
            <v>Colombia</v>
          </cell>
          <cell r="F39">
            <v>11.614844</v>
          </cell>
          <cell r="G39">
            <v>13.317298000000001</v>
          </cell>
          <cell r="H39">
            <v>15.444401000000001</v>
          </cell>
          <cell r="I39">
            <v>18.006307</v>
          </cell>
          <cell r="J39">
            <v>20.64995</v>
          </cell>
          <cell r="K39">
            <v>23.148948000000001</v>
          </cell>
          <cell r="L39">
            <v>25.871790000000001</v>
          </cell>
          <cell r="M39">
            <v>29.012428</v>
          </cell>
          <cell r="N39">
            <v>32.258764999999997</v>
          </cell>
          <cell r="O39">
            <v>35.638294999999999</v>
          </cell>
          <cell r="P39">
            <v>38.901889000000004</v>
          </cell>
          <cell r="Q39">
            <v>41.941894999999995</v>
          </cell>
          <cell r="R39">
            <v>44.564536999999994</v>
          </cell>
          <cell r="S39">
            <v>46.894748</v>
          </cell>
          <cell r="T39">
            <v>50.617025999999996</v>
          </cell>
          <cell r="U39">
            <v>52.418803000000004</v>
          </cell>
          <cell r="V39">
            <v>54.193535000000004</v>
          </cell>
          <cell r="W39">
            <v>55.597123000000003</v>
          </cell>
          <cell r="X39">
            <v>56.625133000000005</v>
          </cell>
          <cell r="Y39">
            <v>57.273481000000004</v>
          </cell>
          <cell r="Z39">
            <v>57.593308</v>
          </cell>
          <cell r="AA39">
            <v>57.636127000000002</v>
          </cell>
          <cell r="AB39">
            <v>57.435913999999997</v>
          </cell>
          <cell r="AC39">
            <v>57.018611</v>
          </cell>
          <cell r="AD39">
            <v>56.394002</v>
          </cell>
          <cell r="AE39">
            <v>55.572196000000005</v>
          </cell>
          <cell r="AF39">
            <v>54.532819000000003</v>
          </cell>
          <cell r="AG39">
            <v>53.348143</v>
          </cell>
          <cell r="AH39">
            <v>52.086930000000002</v>
          </cell>
          <cell r="AI39">
            <v>50.818419999999996</v>
          </cell>
          <cell r="AJ39">
            <v>49.607447000000001</v>
          </cell>
        </row>
        <row r="40">
          <cell r="C40" t="str">
            <v>Comoros</v>
          </cell>
          <cell r="F40">
            <v>0.15995900000000002</v>
          </cell>
          <cell r="G40">
            <v>0.176371</v>
          </cell>
          <cell r="H40">
            <v>0.19301300000000002</v>
          </cell>
          <cell r="I40">
            <v>0.212751</v>
          </cell>
          <cell r="J40">
            <v>0.23909200000000003</v>
          </cell>
          <cell r="K40">
            <v>0.27583100000000005</v>
          </cell>
          <cell r="L40">
            <v>0.323295</v>
          </cell>
          <cell r="M40">
            <v>0.37055100000000002</v>
          </cell>
          <cell r="N40">
            <v>0.42541699999999999</v>
          </cell>
          <cell r="O40">
            <v>0.47856700000000002</v>
          </cell>
          <cell r="P40">
            <v>0.53141400000000005</v>
          </cell>
          <cell r="Q40">
            <v>0.58675999999999995</v>
          </cell>
          <cell r="R40">
            <v>0.64913699999999996</v>
          </cell>
          <cell r="S40">
            <v>0.72231400000000001</v>
          </cell>
          <cell r="T40">
            <v>0.79832700000000001</v>
          </cell>
          <cell r="U40">
            <v>0.88090900000000105</v>
          </cell>
          <cell r="V40">
            <v>0.96335100000000007</v>
          </cell>
          <cell r="W40">
            <v>1.0433950000000001</v>
          </cell>
          <cell r="X40">
            <v>1.120933</v>
          </cell>
          <cell r="Y40">
            <v>1.194869</v>
          </cell>
          <cell r="Z40">
            <v>1.2635989999999999</v>
          </cell>
          <cell r="AA40">
            <v>1.324686</v>
          </cell>
          <cell r="AB40">
            <v>1.376028</v>
          </cell>
          <cell r="AC40">
            <v>1.419503</v>
          </cell>
          <cell r="AD40">
            <v>1.4526829999999999</v>
          </cell>
          <cell r="AE40">
            <v>1.477546</v>
          </cell>
          <cell r="AF40">
            <v>1.493277</v>
          </cell>
          <cell r="AG40">
            <v>1.502721</v>
          </cell>
          <cell r="AH40">
            <v>1.5071489999999992</v>
          </cell>
          <cell r="AI40">
            <v>1.506713</v>
          </cell>
          <cell r="AJ40">
            <v>1.501228</v>
          </cell>
        </row>
        <row r="41">
          <cell r="C41" t="str">
            <v>Cabo Verde</v>
          </cell>
          <cell r="F41">
            <v>0.183891</v>
          </cell>
          <cell r="G41">
            <v>0.19441800000000001</v>
          </cell>
          <cell r="H41">
            <v>0.20799000000000001</v>
          </cell>
          <cell r="I41">
            <v>0.24019499999999999</v>
          </cell>
          <cell r="J41">
            <v>0.28317200000000003</v>
          </cell>
          <cell r="K41">
            <v>0.30296000000000001</v>
          </cell>
          <cell r="L41">
            <v>0.31516000000000005</v>
          </cell>
          <cell r="M41">
            <v>0.33768300000000001</v>
          </cell>
          <cell r="N41">
            <v>0.360794</v>
          </cell>
          <cell r="O41">
            <v>0.40659600000000001</v>
          </cell>
          <cell r="P41">
            <v>0.45428600000000002</v>
          </cell>
          <cell r="Q41">
            <v>0.48975000000000002</v>
          </cell>
          <cell r="R41">
            <v>0.51820600000000006</v>
          </cell>
          <cell r="S41">
            <v>0.54917600000000011</v>
          </cell>
          <cell r="T41">
            <v>0.57992900000000003</v>
          </cell>
          <cell r="U41">
            <v>0.60809799999999903</v>
          </cell>
          <cell r="V41">
            <v>0.63416699999999993</v>
          </cell>
          <cell r="W41">
            <v>0.65539799999999993</v>
          </cell>
          <cell r="X41">
            <v>0.672566</v>
          </cell>
          <cell r="Y41">
            <v>0.6853219999999991</v>
          </cell>
          <cell r="Z41">
            <v>0.69384899999999994</v>
          </cell>
          <cell r="AA41">
            <v>0.69807900000000001</v>
          </cell>
          <cell r="AB41">
            <v>0.69844500000000009</v>
          </cell>
          <cell r="AC41">
            <v>0.69584799999999902</v>
          </cell>
          <cell r="AD41">
            <v>0.69038199999999905</v>
          </cell>
          <cell r="AE41">
            <v>0.68198799999999993</v>
          </cell>
          <cell r="AF41">
            <v>0.67125699999999999</v>
          </cell>
          <cell r="AG41">
            <v>0.65859600000000007</v>
          </cell>
          <cell r="AH41">
            <v>0.64502499999999996</v>
          </cell>
          <cell r="AI41">
            <v>0.63176100000000002</v>
          </cell>
          <cell r="AJ41">
            <v>0.61952000000000007</v>
          </cell>
        </row>
        <row r="42">
          <cell r="C42" t="str">
            <v>Costa Rica</v>
          </cell>
          <cell r="F42">
            <v>0.93332100000000007</v>
          </cell>
          <cell r="G42">
            <v>1.104136</v>
          </cell>
          <cell r="H42">
            <v>1.3217129999999999</v>
          </cell>
          <cell r="I42">
            <v>1.576721</v>
          </cell>
          <cell r="J42">
            <v>1.830908</v>
          </cell>
          <cell r="K42">
            <v>2.0845859999999998</v>
          </cell>
          <cell r="L42">
            <v>2.3813800000000001</v>
          </cell>
          <cell r="M42">
            <v>2.7334520000000002</v>
          </cell>
          <cell r="N42">
            <v>3.1180460000000001</v>
          </cell>
          <cell r="O42">
            <v>3.5310709999999998</v>
          </cell>
          <cell r="P42">
            <v>3.941033</v>
          </cell>
          <cell r="Q42">
            <v>4.2845310000000003</v>
          </cell>
          <cell r="R42">
            <v>4.5933510000000002</v>
          </cell>
          <cell r="S42">
            <v>4.8699930000000009</v>
          </cell>
          <cell r="T42">
            <v>5.1053610000000003</v>
          </cell>
          <cell r="U42">
            <v>5.2566540000000002</v>
          </cell>
          <cell r="V42">
            <v>5.4090670000000101</v>
          </cell>
          <cell r="W42">
            <v>5.5377460000000003</v>
          </cell>
          <cell r="X42">
            <v>5.6394920000000006</v>
          </cell>
          <cell r="Y42">
            <v>5.7116790000000002</v>
          </cell>
          <cell r="Z42">
            <v>5.7510380000000101</v>
          </cell>
          <cell r="AA42">
            <v>5.7618940000000007</v>
          </cell>
          <cell r="AB42">
            <v>5.7491310000000002</v>
          </cell>
          <cell r="AC42">
            <v>5.7146809999999997</v>
          </cell>
          <cell r="AD42">
            <v>5.6593950000000008</v>
          </cell>
          <cell r="AE42">
            <v>5.5797780000000001</v>
          </cell>
          <cell r="AF42">
            <v>5.4762080000000086</v>
          </cell>
          <cell r="AG42">
            <v>5.3517549999999998</v>
          </cell>
          <cell r="AH42">
            <v>5.2143600000000001</v>
          </cell>
          <cell r="AI42">
            <v>5.0714759999999997</v>
          </cell>
          <cell r="AJ42">
            <v>4.9278310000000101</v>
          </cell>
        </row>
        <row r="43">
          <cell r="C43" t="str">
            <v>Cuba</v>
          </cell>
          <cell r="F43">
            <v>5.8659030000000003</v>
          </cell>
          <cell r="G43">
            <v>6.4923250000000001</v>
          </cell>
          <cell r="H43">
            <v>7.1925720000000002</v>
          </cell>
          <cell r="I43">
            <v>7.9855780000000003</v>
          </cell>
          <cell r="J43">
            <v>8.7894860000000108</v>
          </cell>
          <cell r="K43">
            <v>9.4673090000000002</v>
          </cell>
          <cell r="L43">
            <v>9.794118000000001</v>
          </cell>
          <cell r="M43">
            <v>10.106620999999999</v>
          </cell>
          <cell r="N43">
            <v>10.577836</v>
          </cell>
          <cell r="O43">
            <v>10.907941000000001</v>
          </cell>
          <cell r="P43">
            <v>11.088334000000001</v>
          </cell>
          <cell r="Q43">
            <v>11.237251000000001</v>
          </cell>
          <cell r="R43">
            <v>11.286643</v>
          </cell>
          <cell r="S43">
            <v>11.336244000000001</v>
          </cell>
          <cell r="T43">
            <v>11.309226000000001</v>
          </cell>
          <cell r="U43">
            <v>11.210609</v>
          </cell>
          <cell r="V43">
            <v>11.143224</v>
          </cell>
          <cell r="W43">
            <v>11.033626</v>
          </cell>
          <cell r="X43">
            <v>10.885102999999999</v>
          </cell>
          <cell r="Y43">
            <v>10.693628</v>
          </cell>
          <cell r="Z43">
            <v>10.466029000000001</v>
          </cell>
          <cell r="AA43">
            <v>10.199303</v>
          </cell>
          <cell r="AB43">
            <v>9.9098680000000012</v>
          </cell>
          <cell r="AC43">
            <v>9.6177150000000005</v>
          </cell>
          <cell r="AD43">
            <v>9.3477700000000006</v>
          </cell>
          <cell r="AE43">
            <v>9.1033690000000096</v>
          </cell>
          <cell r="AF43">
            <v>8.8808060000000015</v>
          </cell>
          <cell r="AG43">
            <v>8.6592489999999991</v>
          </cell>
          <cell r="AH43">
            <v>8.4394850000000012</v>
          </cell>
          <cell r="AI43">
            <v>8.2227499999999996</v>
          </cell>
          <cell r="AJ43">
            <v>8.0219369999999994</v>
          </cell>
        </row>
        <row r="44">
          <cell r="C44" t="str">
            <v>Cura?ao</v>
          </cell>
          <cell r="F44">
            <v>9.7950999999999996E-2</v>
          </cell>
          <cell r="G44">
            <v>0.11311600000000001</v>
          </cell>
          <cell r="H44">
            <v>0.13043000000000002</v>
          </cell>
          <cell r="I44">
            <v>0.140067</v>
          </cell>
          <cell r="J44">
            <v>0.14955099999999999</v>
          </cell>
          <cell r="K44">
            <v>0.154941</v>
          </cell>
          <cell r="L44">
            <v>0.156725</v>
          </cell>
          <cell r="M44">
            <v>0.156721</v>
          </cell>
          <cell r="N44">
            <v>0.15562400000000001</v>
          </cell>
          <cell r="O44">
            <v>0.15138100000000002</v>
          </cell>
          <cell r="P44">
            <v>0.14222000000000001</v>
          </cell>
          <cell r="Q44">
            <v>0.14608099999999999</v>
          </cell>
          <cell r="R44">
            <v>0.15820300000000001</v>
          </cell>
          <cell r="S44">
            <v>0.168879</v>
          </cell>
          <cell r="T44">
            <v>0.18860099999999999</v>
          </cell>
          <cell r="U44">
            <v>0.19491799999999998</v>
          </cell>
          <cell r="V44">
            <v>0.201296</v>
          </cell>
          <cell r="W44">
            <v>0.20728200000000002</v>
          </cell>
          <cell r="X44">
            <v>0.21282700000000002</v>
          </cell>
          <cell r="Y44">
            <v>0.21803000000000003</v>
          </cell>
          <cell r="Z44">
            <v>0.22302000000000002</v>
          </cell>
          <cell r="AA44">
            <v>0.22800899999999999</v>
          </cell>
          <cell r="AB44">
            <v>0.233128</v>
          </cell>
          <cell r="AC44">
            <v>0.237429</v>
          </cell>
          <cell r="AD44">
            <v>0.24064199999999999</v>
          </cell>
          <cell r="AE44">
            <v>0.242453</v>
          </cell>
          <cell r="AF44">
            <v>0.24267899999999998</v>
          </cell>
          <cell r="AG44">
            <v>0.241287</v>
          </cell>
          <cell r="AH44">
            <v>0.23844200000000002</v>
          </cell>
          <cell r="AI44">
            <v>0.23427299999999998</v>
          </cell>
          <cell r="AJ44">
            <v>0.22905699999999901</v>
          </cell>
        </row>
        <row r="45">
          <cell r="C45" t="str">
            <v>Cyprus</v>
          </cell>
          <cell r="F45">
            <v>0.49039499999999997</v>
          </cell>
          <cell r="G45">
            <v>0.52967200000000003</v>
          </cell>
          <cell r="H45">
            <v>0.57985100000000001</v>
          </cell>
          <cell r="I45">
            <v>0.61477899999999996</v>
          </cell>
          <cell r="J45">
            <v>0.63890599999999997</v>
          </cell>
          <cell r="K45">
            <v>0.64487699999999992</v>
          </cell>
          <cell r="L45">
            <v>0.67545100000000002</v>
          </cell>
          <cell r="M45">
            <v>0.72572100000000006</v>
          </cell>
          <cell r="N45">
            <v>0.78312000000000004</v>
          </cell>
          <cell r="O45">
            <v>0.85353800000000002</v>
          </cell>
          <cell r="P45">
            <v>0.94000099999999998</v>
          </cell>
          <cell r="Q45">
            <v>1.0278720000000001</v>
          </cell>
          <cell r="R45">
            <v>1.1202890000000001</v>
          </cell>
          <cell r="S45">
            <v>1.1820760000000001</v>
          </cell>
          <cell r="T45">
            <v>1.2337769999999999</v>
          </cell>
          <cell r="U45">
            <v>1.284648</v>
          </cell>
          <cell r="V45">
            <v>1.3157220000000001</v>
          </cell>
          <cell r="W45">
            <v>1.3425549999999999</v>
          </cell>
          <cell r="X45">
            <v>1.3683450000000001</v>
          </cell>
          <cell r="Y45">
            <v>1.3947769999999999</v>
          </cell>
          <cell r="Z45">
            <v>1.4215679999999999</v>
          </cell>
          <cell r="AA45">
            <v>1.4433910000000001</v>
          </cell>
          <cell r="AB45">
            <v>1.45923</v>
          </cell>
          <cell r="AC45">
            <v>1.466256</v>
          </cell>
          <cell r="AD45">
            <v>1.465152</v>
          </cell>
          <cell r="AE45">
            <v>1.456386</v>
          </cell>
          <cell r="AF45">
            <v>1.4398710000000001</v>
          </cell>
          <cell r="AG45">
            <v>1.417</v>
          </cell>
          <cell r="AH45">
            <v>1.390674</v>
          </cell>
          <cell r="AI45">
            <v>1.3638479999999999</v>
          </cell>
          <cell r="AJ45">
            <v>1.3367439999999999</v>
          </cell>
        </row>
        <row r="46">
          <cell r="C46" t="str">
            <v>Czechia</v>
          </cell>
          <cell r="F46">
            <v>8.8762549999999987</v>
          </cell>
          <cell r="G46">
            <v>9.2538389999999993</v>
          </cell>
          <cell r="H46">
            <v>9.5218769999999999</v>
          </cell>
          <cell r="I46">
            <v>9.6864109999999997</v>
          </cell>
          <cell r="J46">
            <v>9.7888790000000014</v>
          </cell>
          <cell r="K46">
            <v>9.9932049999999997</v>
          </cell>
          <cell r="L46">
            <v>10.261797000000001</v>
          </cell>
          <cell r="M46">
            <v>10.301135</v>
          </cell>
          <cell r="N46">
            <v>10.303006999999999</v>
          </cell>
          <cell r="O46">
            <v>10.319338</v>
          </cell>
          <cell r="P46">
            <v>10.241482</v>
          </cell>
          <cell r="Q46">
            <v>10.269648999999999</v>
          </cell>
          <cell r="R46">
            <v>10.442459000000001</v>
          </cell>
          <cell r="S46">
            <v>10.521668999999999</v>
          </cell>
          <cell r="T46">
            <v>10.537908</v>
          </cell>
          <cell r="U46">
            <v>10.850736000000001</v>
          </cell>
          <cell r="V46">
            <v>10.712527</v>
          </cell>
          <cell r="W46">
            <v>10.556370999999999</v>
          </cell>
          <cell r="X46">
            <v>10.419176999999999</v>
          </cell>
          <cell r="Y46">
            <v>10.318603999999999</v>
          </cell>
          <cell r="Z46">
            <v>10.246019</v>
          </cell>
          <cell r="AA46">
            <v>10.176888999999999</v>
          </cell>
          <cell r="AB46">
            <v>10.085362999999999</v>
          </cell>
          <cell r="AC46">
            <v>9.9516029999999986</v>
          </cell>
          <cell r="AD46">
            <v>9.78497500000001</v>
          </cell>
          <cell r="AE46">
            <v>9.6151750000000096</v>
          </cell>
          <cell r="AF46">
            <v>9.4646740000000005</v>
          </cell>
          <cell r="AG46">
            <v>9.3394619999999993</v>
          </cell>
          <cell r="AH46">
            <v>9.2303379999999997</v>
          </cell>
          <cell r="AI46">
            <v>9.1285550000000004</v>
          </cell>
          <cell r="AJ46">
            <v>9.02137700000001</v>
          </cell>
        </row>
        <row r="47">
          <cell r="C47" t="str">
            <v>Germany</v>
          </cell>
          <cell r="F47">
            <v>71.077882000000002</v>
          </cell>
          <cell r="G47">
            <v>71.109548000000004</v>
          </cell>
          <cell r="H47">
            <v>72.817388000000008</v>
          </cell>
          <cell r="I47">
            <v>75.744196000000002</v>
          </cell>
          <cell r="J47">
            <v>78.173136999999997</v>
          </cell>
          <cell r="K47">
            <v>78.586479999999995</v>
          </cell>
          <cell r="L47">
            <v>77.843011000000004</v>
          </cell>
          <cell r="M47">
            <v>77.587289999999996</v>
          </cell>
          <cell r="N47">
            <v>79.14321799999999</v>
          </cell>
          <cell r="O47">
            <v>81.02053500000001</v>
          </cell>
          <cell r="P47">
            <v>81.561598000000004</v>
          </cell>
          <cell r="Q47">
            <v>81.239198999999999</v>
          </cell>
          <cell r="R47">
            <v>81.283430999999993</v>
          </cell>
          <cell r="S47">
            <v>81.967590999999999</v>
          </cell>
          <cell r="T47">
            <v>83.267651999999998</v>
          </cell>
          <cell r="U47">
            <v>83.602167000000009</v>
          </cell>
          <cell r="V47">
            <v>83.018004999999903</v>
          </cell>
          <cell r="W47">
            <v>82.4260400000001</v>
          </cell>
          <cell r="X47">
            <v>81.891836000000097</v>
          </cell>
          <cell r="Y47">
            <v>81.426184999999904</v>
          </cell>
          <cell r="Z47">
            <v>80.961143000000106</v>
          </cell>
          <cell r="AA47">
            <v>80.439043999999996</v>
          </cell>
          <cell r="AB47">
            <v>79.880691999999996</v>
          </cell>
          <cell r="AC47">
            <v>79.284706000000014</v>
          </cell>
          <cell r="AD47">
            <v>78.739167000000009</v>
          </cell>
          <cell r="AE47">
            <v>78.189717999999999</v>
          </cell>
          <cell r="AF47">
            <v>77.50963800000001</v>
          </cell>
          <cell r="AG47">
            <v>76.643921000000006</v>
          </cell>
          <cell r="AH47">
            <v>75.646903999999992</v>
          </cell>
          <cell r="AI47">
            <v>74.584439999999901</v>
          </cell>
          <cell r="AJ47">
            <v>73.461989000000003</v>
          </cell>
        </row>
        <row r="48">
          <cell r="C48" t="str">
            <v>Djibouti</v>
          </cell>
          <cell r="F48">
            <v>6.1360999999999999E-2</v>
          </cell>
          <cell r="G48">
            <v>7.1839E-2</v>
          </cell>
          <cell r="H48">
            <v>8.4364000000000008E-2</v>
          </cell>
          <cell r="I48">
            <v>0.105769</v>
          </cell>
          <cell r="J48">
            <v>0.13980600000000001</v>
          </cell>
          <cell r="K48">
            <v>0.199096</v>
          </cell>
          <cell r="L48">
            <v>0.31448599999999999</v>
          </cell>
          <cell r="M48">
            <v>0.39020600000000005</v>
          </cell>
          <cell r="N48">
            <v>0.54471900000000006</v>
          </cell>
          <cell r="O48">
            <v>0.62347299999999994</v>
          </cell>
          <cell r="P48">
            <v>0.73094000000000003</v>
          </cell>
          <cell r="Q48">
            <v>0.82432500000000009</v>
          </cell>
          <cell r="R48">
            <v>0.910331</v>
          </cell>
          <cell r="S48">
            <v>0.99770800000000004</v>
          </cell>
          <cell r="T48">
            <v>1.082341</v>
          </cell>
          <cell r="U48">
            <v>1.154040999999999</v>
          </cell>
          <cell r="V48">
            <v>1.223673</v>
          </cell>
          <cell r="W48">
            <v>1.28833</v>
          </cell>
          <cell r="X48">
            <v>1.3455239999999999</v>
          </cell>
          <cell r="Y48">
            <v>1.3937300000000001</v>
          </cell>
          <cell r="Z48">
            <v>1.429303</v>
          </cell>
          <cell r="AA48">
            <v>1.4542709999999999</v>
          </cell>
          <cell r="AB48">
            <v>1.4687950000000001</v>
          </cell>
          <cell r="AC48">
            <v>1.4761229999999999</v>
          </cell>
          <cell r="AD48">
            <v>1.47797</v>
          </cell>
          <cell r="AE48">
            <v>1.4746839999999999</v>
          </cell>
          <cell r="AF48">
            <v>1.465015</v>
          </cell>
          <cell r="AG48">
            <v>1.4496069999999999</v>
          </cell>
          <cell r="AH48">
            <v>1.428774</v>
          </cell>
          <cell r="AI48">
            <v>1.4039969999999999</v>
          </cell>
          <cell r="AJ48">
            <v>1.3763069999999999</v>
          </cell>
        </row>
        <row r="49">
          <cell r="C49" t="str">
            <v>Denmark</v>
          </cell>
          <cell r="F49">
            <v>4.2515260000000001</v>
          </cell>
          <cell r="G49">
            <v>4.409891</v>
          </cell>
          <cell r="H49">
            <v>4.5663320000000001</v>
          </cell>
          <cell r="I49">
            <v>4.7366520000000003</v>
          </cell>
          <cell r="J49">
            <v>4.9095240000000002</v>
          </cell>
          <cell r="K49">
            <v>5.0455680000000003</v>
          </cell>
          <cell r="L49">
            <v>5.1234650000000004</v>
          </cell>
          <cell r="M49">
            <v>5.1201189999999999</v>
          </cell>
          <cell r="N49">
            <v>5.1387120000000008</v>
          </cell>
          <cell r="O49">
            <v>5.2248710000000003</v>
          </cell>
          <cell r="P49">
            <v>5.3299940000000001</v>
          </cell>
          <cell r="Q49">
            <v>5.425675</v>
          </cell>
          <cell r="R49">
            <v>5.5380669999999999</v>
          </cell>
          <cell r="S49">
            <v>5.664053</v>
          </cell>
          <cell r="T49">
            <v>5.8107709999999999</v>
          </cell>
          <cell r="U49">
            <v>5.9034060000000004</v>
          </cell>
          <cell r="V49">
            <v>5.9654840000000009</v>
          </cell>
          <cell r="W49">
            <v>6.0198919999999996</v>
          </cell>
          <cell r="X49">
            <v>6.0664069999999999</v>
          </cell>
          <cell r="Y49">
            <v>6.1124979999999987</v>
          </cell>
          <cell r="Z49">
            <v>6.1702910000000006</v>
          </cell>
          <cell r="AA49">
            <v>6.2266029999999999</v>
          </cell>
          <cell r="AB49">
            <v>6.2844720000000001</v>
          </cell>
          <cell r="AC49">
            <v>6.3417290000000008</v>
          </cell>
          <cell r="AD49">
            <v>6.4010490000000004</v>
          </cell>
          <cell r="AE49">
            <v>6.4611219999999996</v>
          </cell>
          <cell r="AF49">
            <v>6.5160469999999986</v>
          </cell>
          <cell r="AG49">
            <v>6.5559370000000001</v>
          </cell>
          <cell r="AH49">
            <v>6.5772250000000101</v>
          </cell>
          <cell r="AI49">
            <v>6.5864530000000006</v>
          </cell>
          <cell r="AJ49">
            <v>6.5914979999999996</v>
          </cell>
        </row>
        <row r="50">
          <cell r="C50" t="str">
            <v>Dominican Republic</v>
          </cell>
          <cell r="F50">
            <v>2.3458170000000003</v>
          </cell>
          <cell r="G50">
            <v>2.7448710000000003</v>
          </cell>
          <cell r="H50">
            <v>3.2434470000000002</v>
          </cell>
          <cell r="I50">
            <v>3.811121</v>
          </cell>
          <cell r="J50">
            <v>4.4141080000000006</v>
          </cell>
          <cell r="K50">
            <v>5.0423520000000002</v>
          </cell>
          <cell r="L50">
            <v>5.6909099999999997</v>
          </cell>
          <cell r="M50">
            <v>6.3499410000000003</v>
          </cell>
          <cell r="N50">
            <v>7.0540959999999995</v>
          </cell>
          <cell r="O50">
            <v>7.7975079999999997</v>
          </cell>
          <cell r="P50">
            <v>8.4760200000000001</v>
          </cell>
          <cell r="Q50">
            <v>9.1042360000000002</v>
          </cell>
          <cell r="R50">
            <v>9.7116030000000002</v>
          </cell>
          <cell r="S50">
            <v>10.344325999999999</v>
          </cell>
          <cell r="T50">
            <v>10.939341000000001</v>
          </cell>
          <cell r="U50">
            <v>11.536841000000001</v>
          </cell>
          <cell r="V50">
            <v>12.06765</v>
          </cell>
          <cell r="W50">
            <v>12.519174000000001</v>
          </cell>
          <cell r="X50">
            <v>12.880615000000001</v>
          </cell>
          <cell r="Y50">
            <v>13.146143</v>
          </cell>
          <cell r="Z50">
            <v>13.344914000000001</v>
          </cell>
          <cell r="AA50">
            <v>13.484745999999999</v>
          </cell>
          <cell r="AB50">
            <v>13.570572</v>
          </cell>
          <cell r="AC50">
            <v>13.605326999999999</v>
          </cell>
          <cell r="AD50">
            <v>13.592163000000001</v>
          </cell>
          <cell r="AE50">
            <v>13.539076</v>
          </cell>
          <cell r="AF50">
            <v>13.448394</v>
          </cell>
          <cell r="AG50">
            <v>13.33164</v>
          </cell>
          <cell r="AH50">
            <v>13.1934</v>
          </cell>
          <cell r="AI50">
            <v>13.039716</v>
          </cell>
          <cell r="AJ50">
            <v>12.870055000000001</v>
          </cell>
        </row>
        <row r="51">
          <cell r="C51" t="str">
            <v>Algeria</v>
          </cell>
          <cell r="F51">
            <v>8.892792</v>
          </cell>
          <cell r="G51">
            <v>10.126588</v>
          </cell>
          <cell r="H51">
            <v>11.279470999999999</v>
          </cell>
          <cell r="I51">
            <v>12.287743000000001</v>
          </cell>
          <cell r="J51">
            <v>13.642304000000001</v>
          </cell>
          <cell r="K51">
            <v>15.342746999999999</v>
          </cell>
          <cell r="L51">
            <v>18.442658999999999</v>
          </cell>
          <cell r="M51">
            <v>21.756416000000002</v>
          </cell>
          <cell r="N51">
            <v>25.209467</v>
          </cell>
          <cell r="O51">
            <v>28.220832999999999</v>
          </cell>
          <cell r="P51">
            <v>30.560832999999999</v>
          </cell>
          <cell r="Q51">
            <v>32.744433999999998</v>
          </cell>
          <cell r="R51">
            <v>35.519331000000001</v>
          </cell>
          <cell r="S51">
            <v>39.146480000000004</v>
          </cell>
          <cell r="T51">
            <v>43.0909919999999</v>
          </cell>
          <cell r="U51">
            <v>46.733634000000002</v>
          </cell>
          <cell r="V51">
            <v>49.867678999999995</v>
          </cell>
          <cell r="W51">
            <v>52.621892000000003</v>
          </cell>
          <cell r="X51">
            <v>55.228057999999997</v>
          </cell>
          <cell r="Y51">
            <v>57.747062</v>
          </cell>
          <cell r="Z51">
            <v>60.088849000000003</v>
          </cell>
          <cell r="AA51">
            <v>61.957572999999904</v>
          </cell>
          <cell r="AB51">
            <v>63.274284000000002</v>
          </cell>
          <cell r="AC51">
            <v>64.075199999999995</v>
          </cell>
          <cell r="AD51">
            <v>64.568813000000006</v>
          </cell>
          <cell r="AE51">
            <v>64.933188000000001</v>
          </cell>
          <cell r="AF51">
            <v>65.246544999999998</v>
          </cell>
          <cell r="AG51">
            <v>65.495387000000008</v>
          </cell>
          <cell r="AH51">
            <v>65.605348000000006</v>
          </cell>
          <cell r="AI51">
            <v>65.532882999999998</v>
          </cell>
          <cell r="AJ51">
            <v>65.216844999999907</v>
          </cell>
        </row>
        <row r="52">
          <cell r="C52" t="str">
            <v>Ecuador</v>
          </cell>
          <cell r="F52">
            <v>3.4721850000000001</v>
          </cell>
          <cell r="G52">
            <v>3.9679479999999998</v>
          </cell>
          <cell r="H52">
            <v>4.5529669999999998</v>
          </cell>
          <cell r="I52">
            <v>5.2590839999999996</v>
          </cell>
          <cell r="J52">
            <v>6.0837380000000003</v>
          </cell>
          <cell r="K52">
            <v>7.0074230000000002</v>
          </cell>
          <cell r="L52">
            <v>8.0283250000000006</v>
          </cell>
          <cell r="M52">
            <v>9.1375859999999989</v>
          </cell>
          <cell r="N52">
            <v>10.330392</v>
          </cell>
          <cell r="O52">
            <v>11.454815</v>
          </cell>
          <cell r="P52">
            <v>12.518489000000001</v>
          </cell>
          <cell r="Q52">
            <v>13.651515999999999</v>
          </cell>
          <cell r="R52">
            <v>14.865993000000001</v>
          </cell>
          <cell r="S52">
            <v>16.075496999999999</v>
          </cell>
          <cell r="T52">
            <v>17.487158000000001</v>
          </cell>
          <cell r="U52">
            <v>18.413717999999999</v>
          </cell>
          <cell r="V52">
            <v>19.312022000000002</v>
          </cell>
          <cell r="W52">
            <v>20.080171999999997</v>
          </cell>
          <cell r="X52">
            <v>20.701763</v>
          </cell>
          <cell r="Y52">
            <v>21.206406999999999</v>
          </cell>
          <cell r="Z52">
            <v>21.603459000000001</v>
          </cell>
          <cell r="AA52">
            <v>21.892063999999998</v>
          </cell>
          <cell r="AB52">
            <v>22.071312000000002</v>
          </cell>
          <cell r="AC52">
            <v>22.148377</v>
          </cell>
          <cell r="AD52">
            <v>22.127966000000001</v>
          </cell>
          <cell r="AE52">
            <v>22.007437000000003</v>
          </cell>
          <cell r="AF52">
            <v>21.799422</v>
          </cell>
          <cell r="AG52">
            <v>21.515577</v>
          </cell>
          <cell r="AH52">
            <v>21.174346000000003</v>
          </cell>
          <cell r="AI52">
            <v>20.79176</v>
          </cell>
          <cell r="AJ52">
            <v>20.392899000000003</v>
          </cell>
        </row>
        <row r="53">
          <cell r="C53" t="str">
            <v>Egypt</v>
          </cell>
          <cell r="F53">
            <v>20.928820000000002</v>
          </cell>
          <cell r="G53">
            <v>23.538825000000003</v>
          </cell>
          <cell r="H53">
            <v>26.683923</v>
          </cell>
          <cell r="I53">
            <v>30.420811</v>
          </cell>
          <cell r="J53">
            <v>34.389343000000004</v>
          </cell>
          <cell r="K53">
            <v>38.343421999999997</v>
          </cell>
          <cell r="L53">
            <v>43.176000000000002</v>
          </cell>
          <cell r="M53">
            <v>49.344817000000006</v>
          </cell>
          <cell r="N53">
            <v>56.495674000000001</v>
          </cell>
          <cell r="O53">
            <v>63.477101000000005</v>
          </cell>
          <cell r="P53">
            <v>70.637532000000007</v>
          </cell>
          <cell r="Q53">
            <v>78.302414999999996</v>
          </cell>
          <cell r="R53">
            <v>86.338937999999999</v>
          </cell>
          <cell r="S53">
            <v>96.675400999999994</v>
          </cell>
          <cell r="T53">
            <v>106.53871700000001</v>
          </cell>
          <cell r="U53">
            <v>116.005325</v>
          </cell>
          <cell r="V53">
            <v>125.575277</v>
          </cell>
          <cell r="W53">
            <v>135.24820499999998</v>
          </cell>
          <cell r="X53">
            <v>145.029721</v>
          </cell>
          <cell r="Y53">
            <v>154.45376899999999</v>
          </cell>
          <cell r="Z53">
            <v>163.10990200000001</v>
          </cell>
          <cell r="AA53">
            <v>170.86563200000001</v>
          </cell>
          <cell r="AB53">
            <v>177.736816</v>
          </cell>
          <cell r="AC53">
            <v>183.48856499999999</v>
          </cell>
          <cell r="AD53">
            <v>188.16967499999998</v>
          </cell>
          <cell r="AE53">
            <v>192.031397</v>
          </cell>
          <cell r="AF53">
            <v>195.18917000000002</v>
          </cell>
          <cell r="AG53">
            <v>197.617954</v>
          </cell>
          <cell r="AH53">
            <v>199.49619000000001</v>
          </cell>
          <cell r="AI53">
            <v>200.61535699999999</v>
          </cell>
          <cell r="AJ53">
            <v>200.998176</v>
          </cell>
        </row>
        <row r="54">
          <cell r="C54" t="str">
            <v>Eritrea</v>
          </cell>
          <cell r="F54">
            <v>0.81670399999999999</v>
          </cell>
          <cell r="G54">
            <v>0.88654900000000003</v>
          </cell>
          <cell r="H54">
            <v>0.98219100000000004</v>
          </cell>
          <cell r="I54">
            <v>1.10768</v>
          </cell>
          <cell r="J54">
            <v>1.256297</v>
          </cell>
          <cell r="K54">
            <v>1.4318140000000001</v>
          </cell>
          <cell r="L54">
            <v>1.635483</v>
          </cell>
          <cell r="M54">
            <v>1.8745530000000001</v>
          </cell>
          <cell r="N54">
            <v>2.1265909999999999</v>
          </cell>
          <cell r="O54">
            <v>2.0593560000000002</v>
          </cell>
          <cell r="P54">
            <v>2.3775059999999999</v>
          </cell>
          <cell r="Q54">
            <v>2.798746</v>
          </cell>
          <cell r="R54">
            <v>3.1130849999999999</v>
          </cell>
          <cell r="S54">
            <v>3.3265370000000001</v>
          </cell>
          <cell r="T54">
            <v>3.5236520000000002</v>
          </cell>
          <cell r="U54">
            <v>3.8559730000000001</v>
          </cell>
          <cell r="V54">
            <v>4.210737</v>
          </cell>
          <cell r="W54">
            <v>4.5612580000000102</v>
          </cell>
          <cell r="X54">
            <v>4.8842209999999993</v>
          </cell>
          <cell r="Y54">
            <v>5.1633019999999998</v>
          </cell>
          <cell r="Z54">
            <v>5.4007430000000003</v>
          </cell>
          <cell r="AA54">
            <v>5.6005300000000098</v>
          </cell>
          <cell r="AB54">
            <v>5.766146</v>
          </cell>
          <cell r="AC54">
            <v>5.908201</v>
          </cell>
          <cell r="AD54">
            <v>6.0136700000000003</v>
          </cell>
          <cell r="AE54">
            <v>6.08047</v>
          </cell>
          <cell r="AF54">
            <v>6.121454</v>
          </cell>
          <cell r="AG54">
            <v>6.1449999999999996</v>
          </cell>
          <cell r="AH54">
            <v>6.154909</v>
          </cell>
          <cell r="AI54">
            <v>6.1504519999999996</v>
          </cell>
          <cell r="AJ54">
            <v>6.1349559999999999</v>
          </cell>
        </row>
        <row r="55">
          <cell r="C55" t="str">
            <v>Western Sahara</v>
          </cell>
          <cell r="F55">
            <v>1.2371E-2</v>
          </cell>
          <cell r="G55">
            <v>1.9722000000000003E-2</v>
          </cell>
          <cell r="H55">
            <v>3.15E-2</v>
          </cell>
          <cell r="I55">
            <v>4.9048000000000001E-2</v>
          </cell>
          <cell r="J55">
            <v>7.3809E-2</v>
          </cell>
          <cell r="K55">
            <v>7.5624999999999998E-2</v>
          </cell>
          <cell r="L55">
            <v>0.111612</v>
          </cell>
          <cell r="M55">
            <v>0.147397</v>
          </cell>
          <cell r="N55">
            <v>0.175569</v>
          </cell>
          <cell r="O55">
            <v>0.20311400000000002</v>
          </cell>
          <cell r="P55">
            <v>0.26369500000000001</v>
          </cell>
          <cell r="Q55">
            <v>0.33212400000000003</v>
          </cell>
          <cell r="R55">
            <v>0.40546399999999999</v>
          </cell>
          <cell r="S55">
            <v>0.48495299999999997</v>
          </cell>
          <cell r="T55">
            <v>0.55124099999999998</v>
          </cell>
          <cell r="U55">
            <v>0.59725799999999907</v>
          </cell>
          <cell r="V55">
            <v>0.638517000000001</v>
          </cell>
          <cell r="W55">
            <v>0.67597299999999905</v>
          </cell>
          <cell r="X55">
            <v>0.7104909999999981</v>
          </cell>
          <cell r="Y55">
            <v>0.74182300000000001</v>
          </cell>
          <cell r="Z55">
            <v>0.77034399999999992</v>
          </cell>
          <cell r="AA55">
            <v>0.79531200000000002</v>
          </cell>
          <cell r="AB55">
            <v>0.81614700000000007</v>
          </cell>
          <cell r="AC55">
            <v>0.83056699999999994</v>
          </cell>
          <cell r="AD55">
            <v>0.83936000000000011</v>
          </cell>
          <cell r="AE55">
            <v>0.84384399999999993</v>
          </cell>
          <cell r="AF55">
            <v>0.84499799999999992</v>
          </cell>
          <cell r="AG55">
            <v>0.84264299999999992</v>
          </cell>
          <cell r="AH55">
            <v>0.83599199999999907</v>
          </cell>
          <cell r="AI55">
            <v>0.82423899999999994</v>
          </cell>
          <cell r="AJ55">
            <v>0.80717499999999909</v>
          </cell>
        </row>
        <row r="56">
          <cell r="C56" t="str">
            <v>Spain</v>
          </cell>
          <cell r="F56">
            <v>28.015563</v>
          </cell>
          <cell r="G56">
            <v>28.976884999999999</v>
          </cell>
          <cell r="H56">
            <v>30.295344</v>
          </cell>
          <cell r="I56">
            <v>31.935554</v>
          </cell>
          <cell r="J56">
            <v>33.638249000000002</v>
          </cell>
          <cell r="K56">
            <v>35.573580999999997</v>
          </cell>
          <cell r="L56">
            <v>37.342359999999999</v>
          </cell>
          <cell r="M56">
            <v>38.408303999999994</v>
          </cell>
          <cell r="N56">
            <v>38.874178000000001</v>
          </cell>
          <cell r="O56">
            <v>39.722334000000004</v>
          </cell>
          <cell r="P56">
            <v>40.633716999999997</v>
          </cell>
          <cell r="Q56">
            <v>43.330787999999998</v>
          </cell>
          <cell r="R56">
            <v>46.488330000000005</v>
          </cell>
          <cell r="S56">
            <v>46.433097000000004</v>
          </cell>
          <cell r="T56">
            <v>47.329955000000005</v>
          </cell>
          <cell r="U56">
            <v>47.598974000000005</v>
          </cell>
          <cell r="V56">
            <v>47.816495000000003</v>
          </cell>
          <cell r="W56">
            <v>48.092955000000003</v>
          </cell>
          <cell r="X56">
            <v>48.462368000000005</v>
          </cell>
          <cell r="Y56">
            <v>48.903998000000001</v>
          </cell>
          <cell r="Z56">
            <v>49.404292999999996</v>
          </cell>
          <cell r="AA56">
            <v>49.656264999999898</v>
          </cell>
          <cell r="AB56">
            <v>49.652169000000001</v>
          </cell>
          <cell r="AC56">
            <v>49.382894</v>
          </cell>
          <cell r="AD56">
            <v>48.974680999999997</v>
          </cell>
          <cell r="AE56">
            <v>48.545449999999995</v>
          </cell>
          <cell r="AF56">
            <v>48.197020999999999</v>
          </cell>
          <cell r="AG56">
            <v>47.939424000000002</v>
          </cell>
          <cell r="AH56">
            <v>47.666288000000002</v>
          </cell>
          <cell r="AI56">
            <v>47.255732000000002</v>
          </cell>
          <cell r="AJ56">
            <v>46.641708000000001</v>
          </cell>
        </row>
        <row r="57">
          <cell r="C57" t="str">
            <v>Estonia</v>
          </cell>
          <cell r="F57">
            <v>1.0948309999999999</v>
          </cell>
          <cell r="G57">
            <v>1.162126</v>
          </cell>
          <cell r="H57">
            <v>1.2105399999999999</v>
          </cell>
          <cell r="I57">
            <v>1.285012</v>
          </cell>
          <cell r="J57">
            <v>1.3558160000000001</v>
          </cell>
          <cell r="K57">
            <v>1.418377</v>
          </cell>
          <cell r="L57">
            <v>1.4728510000000001</v>
          </cell>
          <cell r="M57">
            <v>1.521147</v>
          </cell>
          <cell r="N57">
            <v>1.570705</v>
          </cell>
          <cell r="O57">
            <v>1.4627349999999999</v>
          </cell>
          <cell r="P57">
            <v>1.401159</v>
          </cell>
          <cell r="Q57">
            <v>1.358725</v>
          </cell>
          <cell r="R57">
            <v>1.3334100000000002</v>
          </cell>
          <cell r="S57">
            <v>1.3132550000000001</v>
          </cell>
          <cell r="T57">
            <v>1.329091</v>
          </cell>
          <cell r="U57">
            <v>1.3476189999999999</v>
          </cell>
          <cell r="V57">
            <v>1.312066</v>
          </cell>
          <cell r="W57">
            <v>1.279828</v>
          </cell>
          <cell r="X57">
            <v>1.25315</v>
          </cell>
          <cell r="Y57">
            <v>1.2319689999999999</v>
          </cell>
          <cell r="Z57">
            <v>1.214035</v>
          </cell>
          <cell r="AA57">
            <v>1.196167</v>
          </cell>
          <cell r="AB57">
            <v>1.1775359999999999</v>
          </cell>
          <cell r="AC57">
            <v>1.158096</v>
          </cell>
          <cell r="AD57">
            <v>1.138542999999999</v>
          </cell>
          <cell r="AE57">
            <v>1.1195569999999999</v>
          </cell>
          <cell r="AF57">
            <v>1.1012759999999999</v>
          </cell>
          <cell r="AG57">
            <v>1.0839179999999999</v>
          </cell>
          <cell r="AH57">
            <v>1.0675270000000001</v>
          </cell>
          <cell r="AI57">
            <v>1.051895</v>
          </cell>
          <cell r="AJ57">
            <v>1.0356540000000001</v>
          </cell>
        </row>
        <row r="58">
          <cell r="C58" t="str">
            <v>Ethiopia</v>
          </cell>
          <cell r="F58">
            <v>17.516674999999999</v>
          </cell>
          <cell r="G58">
            <v>19.494999</v>
          </cell>
          <cell r="H58">
            <v>21.476715000000002</v>
          </cell>
          <cell r="I58">
            <v>24.393104999999998</v>
          </cell>
          <cell r="J58">
            <v>27.913276999999997</v>
          </cell>
          <cell r="K58">
            <v>31.875277000000001</v>
          </cell>
          <cell r="L58">
            <v>34.895411000000003</v>
          </cell>
          <cell r="M58">
            <v>39.720032000000003</v>
          </cell>
          <cell r="N58">
            <v>47.014026000000001</v>
          </cell>
          <cell r="O58">
            <v>56.547446000000008</v>
          </cell>
          <cell r="P58">
            <v>66.059460000000001</v>
          </cell>
          <cell r="Q58">
            <v>76.377213000000012</v>
          </cell>
          <cell r="R58">
            <v>87.969898000000001</v>
          </cell>
          <cell r="S58">
            <v>101.097184</v>
          </cell>
          <cell r="T58">
            <v>115.63835400000001</v>
          </cell>
          <cell r="U58">
            <v>130.850616</v>
          </cell>
          <cell r="V58">
            <v>146.75532100000001</v>
          </cell>
          <cell r="W58">
            <v>162.79819599999999</v>
          </cell>
          <cell r="X58">
            <v>178.592356</v>
          </cell>
          <cell r="Y58">
            <v>193.921538</v>
          </cell>
          <cell r="Z58">
            <v>208.76871599999998</v>
          </cell>
          <cell r="AA58">
            <v>222.918487</v>
          </cell>
          <cell r="AB58">
            <v>236.17522700000001</v>
          </cell>
          <cell r="AC58">
            <v>247.80458100000001</v>
          </cell>
          <cell r="AD58">
            <v>257.76227900000004</v>
          </cell>
          <cell r="AE58">
            <v>265.65414099999998</v>
          </cell>
          <cell r="AF58">
            <v>271.690966</v>
          </cell>
          <cell r="AG58">
            <v>276.34379200000001</v>
          </cell>
          <cell r="AH58">
            <v>279.79428300000001</v>
          </cell>
          <cell r="AI58">
            <v>282.00418999999999</v>
          </cell>
          <cell r="AJ58">
            <v>282.97309999999896</v>
          </cell>
        </row>
        <row r="59">
          <cell r="C59" t="str">
            <v>Finland</v>
          </cell>
          <cell r="F59">
            <v>3.9866300000000003</v>
          </cell>
          <cell r="G59">
            <v>4.2117070000000005</v>
          </cell>
          <cell r="H59">
            <v>4.4136410000000001</v>
          </cell>
          <cell r="I59">
            <v>4.5585040000000001</v>
          </cell>
          <cell r="J59">
            <v>4.614529000000001</v>
          </cell>
          <cell r="K59">
            <v>4.7023479999999998</v>
          </cell>
          <cell r="L59">
            <v>4.7711639999999997</v>
          </cell>
          <cell r="M59">
            <v>4.8936919999999997</v>
          </cell>
          <cell r="N59">
            <v>4.9744920000000006</v>
          </cell>
          <cell r="O59">
            <v>5.0989019999999998</v>
          </cell>
          <cell r="P59">
            <v>5.1713249999999995</v>
          </cell>
          <cell r="Q59">
            <v>5.2365829999999995</v>
          </cell>
          <cell r="R59">
            <v>5.3513649999999995</v>
          </cell>
          <cell r="S59">
            <v>5.4716990000000001</v>
          </cell>
          <cell r="T59">
            <v>5.5252129999999999</v>
          </cell>
          <cell r="U59">
            <v>5.5366310000000007</v>
          </cell>
          <cell r="V59">
            <v>5.5140539999999998</v>
          </cell>
          <cell r="W59">
            <v>5.493576</v>
          </cell>
          <cell r="X59">
            <v>5.4768370000000006</v>
          </cell>
          <cell r="Y59">
            <v>5.4660880000000001</v>
          </cell>
          <cell r="Z59">
            <v>5.4721940000000009</v>
          </cell>
          <cell r="AA59">
            <v>5.4694050000000001</v>
          </cell>
          <cell r="AB59">
            <v>5.4688660000000002</v>
          </cell>
          <cell r="AC59">
            <v>5.4765360000000101</v>
          </cell>
          <cell r="AD59">
            <v>5.4928710000000001</v>
          </cell>
          <cell r="AE59">
            <v>5.5081549999999986</v>
          </cell>
          <cell r="AF59">
            <v>5.5132680000000001</v>
          </cell>
          <cell r="AG59">
            <v>5.5057960000000001</v>
          </cell>
          <cell r="AH59">
            <v>5.4881670000000007</v>
          </cell>
          <cell r="AI59">
            <v>5.4670930000000002</v>
          </cell>
          <cell r="AJ59">
            <v>5.4472370000000003</v>
          </cell>
        </row>
        <row r="60">
          <cell r="C60" t="str">
            <v>Fiji</v>
          </cell>
          <cell r="F60">
            <v>0.306371</v>
          </cell>
          <cell r="G60">
            <v>0.33870100000000003</v>
          </cell>
          <cell r="H60">
            <v>0.39552100000000001</v>
          </cell>
          <cell r="I60">
            <v>0.462142</v>
          </cell>
          <cell r="J60">
            <v>0.522374</v>
          </cell>
          <cell r="K60">
            <v>0.57083300000000003</v>
          </cell>
          <cell r="L60">
            <v>0.63663700000000001</v>
          </cell>
          <cell r="M60">
            <v>0.71913699999999992</v>
          </cell>
          <cell r="N60">
            <v>0.776694</v>
          </cell>
          <cell r="O60">
            <v>0.79142899999999994</v>
          </cell>
          <cell r="P60">
            <v>0.82807799999999998</v>
          </cell>
          <cell r="Q60">
            <v>0.87086000000000008</v>
          </cell>
          <cell r="R60">
            <v>0.90342100000000003</v>
          </cell>
          <cell r="S60">
            <v>0.91654100000000005</v>
          </cell>
          <cell r="T60">
            <v>0.91808999999999907</v>
          </cell>
          <cell r="U60">
            <v>0.94192699999999907</v>
          </cell>
          <cell r="V60">
            <v>0.95947399999999994</v>
          </cell>
          <cell r="W60">
            <v>0.97033999999999909</v>
          </cell>
          <cell r="X60">
            <v>0.97553199999999907</v>
          </cell>
          <cell r="Y60">
            <v>0.9743719999999999</v>
          </cell>
          <cell r="Z60">
            <v>0.96733799999999903</v>
          </cell>
          <cell r="AA60">
            <v>0.956677</v>
          </cell>
          <cell r="AB60">
            <v>0.94295000000000007</v>
          </cell>
          <cell r="AC60">
            <v>0.92903900000000006</v>
          </cell>
          <cell r="AD60">
            <v>0.91420999999999908</v>
          </cell>
          <cell r="AE60">
            <v>0.89921200000000001</v>
          </cell>
          <cell r="AF60">
            <v>0.88537499999999991</v>
          </cell>
          <cell r="AG60">
            <v>0.87254199999999904</v>
          </cell>
          <cell r="AH60">
            <v>0.86139599999999905</v>
          </cell>
          <cell r="AI60">
            <v>0.85131299999999999</v>
          </cell>
          <cell r="AJ60">
            <v>0.84255399999999803</v>
          </cell>
        </row>
        <row r="61">
          <cell r="C61" t="str">
            <v>France</v>
          </cell>
          <cell r="F61">
            <v>41.651595999999998</v>
          </cell>
          <cell r="G61">
            <v>43.409292999999998</v>
          </cell>
          <cell r="H61">
            <v>45.431131000000001</v>
          </cell>
          <cell r="I61">
            <v>47.913747000000001</v>
          </cell>
          <cell r="J61">
            <v>50.300049000000001</v>
          </cell>
          <cell r="K61">
            <v>52.325406000000001</v>
          </cell>
          <cell r="L61">
            <v>53.561951999999998</v>
          </cell>
          <cell r="M61">
            <v>54.978703000000003</v>
          </cell>
          <cell r="N61">
            <v>56.294255</v>
          </cell>
          <cell r="O61">
            <v>57.321870000000004</v>
          </cell>
          <cell r="P61">
            <v>58.494936000000003</v>
          </cell>
          <cell r="Q61">
            <v>60.312350000000002</v>
          </cell>
          <cell r="R61">
            <v>62.272834000000003</v>
          </cell>
          <cell r="S61">
            <v>63.715216000000005</v>
          </cell>
          <cell r="T61">
            <v>64.457754999999992</v>
          </cell>
          <cell r="U61">
            <v>65.109831</v>
          </cell>
          <cell r="V61">
            <v>65.776099000000102</v>
          </cell>
          <cell r="W61">
            <v>66.526038</v>
          </cell>
          <cell r="X61">
            <v>67.310237000000001</v>
          </cell>
          <cell r="Y61">
            <v>68.010744000000003</v>
          </cell>
          <cell r="Z61">
            <v>68.605575000000002</v>
          </cell>
          <cell r="AA61">
            <v>69.086413000000007</v>
          </cell>
          <cell r="AB61">
            <v>69.54232300000011</v>
          </cell>
          <cell r="AC61">
            <v>69.997435999999908</v>
          </cell>
          <cell r="AD61">
            <v>70.469077999999996</v>
          </cell>
          <cell r="AE61">
            <v>70.975644000000102</v>
          </cell>
          <cell r="AF61">
            <v>71.488332999999997</v>
          </cell>
          <cell r="AG61">
            <v>71.950782000000004</v>
          </cell>
          <cell r="AH61">
            <v>72.352655000000098</v>
          </cell>
          <cell r="AI61">
            <v>72.690059999999903</v>
          </cell>
          <cell r="AJ61">
            <v>72.904083999999997</v>
          </cell>
        </row>
        <row r="62">
          <cell r="C62" t="str">
            <v>Micronesia</v>
          </cell>
          <cell r="F62">
            <v>3.1454999999999997E-2</v>
          </cell>
          <cell r="G62">
            <v>3.6268999999999996E-2</v>
          </cell>
          <cell r="H62">
            <v>4.2214000000000002E-2</v>
          </cell>
          <cell r="I62">
            <v>4.9979000000000003E-2</v>
          </cell>
          <cell r="J62">
            <v>5.8091999999999998E-2</v>
          </cell>
          <cell r="K62">
            <v>6.6394999999999996E-2</v>
          </cell>
          <cell r="L62">
            <v>7.5194999999999998E-2</v>
          </cell>
          <cell r="M62">
            <v>8.6751000000000009E-2</v>
          </cell>
          <cell r="N62">
            <v>9.7697000000000006E-2</v>
          </cell>
          <cell r="O62">
            <v>0.110067</v>
          </cell>
          <cell r="P62">
            <v>0.111551</v>
          </cell>
          <cell r="Q62">
            <v>0.111217</v>
          </cell>
          <cell r="R62">
            <v>0.10745099999999999</v>
          </cell>
          <cell r="S62">
            <v>0.10924299999999999</v>
          </cell>
          <cell r="T62">
            <v>0.64088300000000009</v>
          </cell>
          <cell r="U62">
            <v>0.66815399999999991</v>
          </cell>
          <cell r="V62">
            <v>0.6929550000000001</v>
          </cell>
          <cell r="W62">
            <v>0.71308500000000008</v>
          </cell>
          <cell r="X62">
            <v>0.72766599999999992</v>
          </cell>
          <cell r="Y62">
            <v>0.737591</v>
          </cell>
          <cell r="Z62">
            <v>0.74233799999999905</v>
          </cell>
          <cell r="AA62">
            <v>0.74210500000000101</v>
          </cell>
          <cell r="AB62">
            <v>0.73806699999999992</v>
          </cell>
          <cell r="AC62">
            <v>0.73330600000000001</v>
          </cell>
          <cell r="AD62">
            <v>0.72822199999999992</v>
          </cell>
          <cell r="AE62">
            <v>0.72311700000000001</v>
          </cell>
          <cell r="AF62">
            <v>0.71737800000000007</v>
          </cell>
          <cell r="AG62">
            <v>0.71113399999999993</v>
          </cell>
          <cell r="AH62">
            <v>0.70399300000000009</v>
          </cell>
          <cell r="AI62">
            <v>0.69650499999999993</v>
          </cell>
          <cell r="AJ62">
            <v>0.68916499999999992</v>
          </cell>
        </row>
        <row r="63">
          <cell r="C63" t="str">
            <v>Gabon</v>
          </cell>
          <cell r="F63">
            <v>0.47147500000000003</v>
          </cell>
          <cell r="G63">
            <v>0.48749599999999998</v>
          </cell>
          <cell r="H63">
            <v>0.51045099999999999</v>
          </cell>
          <cell r="I63">
            <v>0.54355399999999998</v>
          </cell>
          <cell r="J63">
            <v>0.59092499999999992</v>
          </cell>
          <cell r="K63">
            <v>0.65591900000000003</v>
          </cell>
          <cell r="L63">
            <v>0.73940600000000001</v>
          </cell>
          <cell r="M63">
            <v>0.84474900000000008</v>
          </cell>
          <cell r="N63">
            <v>0.96965999999999997</v>
          </cell>
          <cell r="O63">
            <v>1.1077380000000001</v>
          </cell>
          <cell r="P63">
            <v>1.2564649999999999</v>
          </cell>
          <cell r="Q63">
            <v>1.4370400000000001</v>
          </cell>
          <cell r="R63">
            <v>1.681271</v>
          </cell>
          <cell r="S63">
            <v>1.998607</v>
          </cell>
          <cell r="T63">
            <v>2.2679939999999998</v>
          </cell>
          <cell r="U63">
            <v>2.51207</v>
          </cell>
          <cell r="V63">
            <v>2.7494519999999998</v>
          </cell>
          <cell r="W63">
            <v>2.9775510000000001</v>
          </cell>
          <cell r="X63">
            <v>3.1968190000000001</v>
          </cell>
          <cell r="Y63">
            <v>3.4036779999999989</v>
          </cell>
          <cell r="Z63">
            <v>3.5924570000000102</v>
          </cell>
          <cell r="AA63">
            <v>3.759455</v>
          </cell>
          <cell r="AB63">
            <v>3.8979170000000001</v>
          </cell>
          <cell r="AC63">
            <v>4.0053809999999999</v>
          </cell>
          <cell r="AD63">
            <v>4.083545</v>
          </cell>
          <cell r="AE63">
            <v>4.1426890000000007</v>
          </cell>
          <cell r="AF63">
            <v>4.1861519999999999</v>
          </cell>
          <cell r="AG63">
            <v>4.21204</v>
          </cell>
          <cell r="AH63">
            <v>4.2189509999999997</v>
          </cell>
          <cell r="AI63">
            <v>4.2033909999999999</v>
          </cell>
          <cell r="AJ63">
            <v>4.1682510000000006</v>
          </cell>
        </row>
        <row r="64">
          <cell r="C64" t="str">
            <v>United Kingdom</v>
          </cell>
          <cell r="F64">
            <v>49.931042000000005</v>
          </cell>
          <cell r="G64">
            <v>51.087542999999997</v>
          </cell>
          <cell r="H64">
            <v>52.382229000000002</v>
          </cell>
          <cell r="I64">
            <v>54.054535000000001</v>
          </cell>
          <cell r="J64">
            <v>55.538871</v>
          </cell>
          <cell r="K64">
            <v>56.258578</v>
          </cell>
          <cell r="L64">
            <v>56.287095000000001</v>
          </cell>
          <cell r="M64">
            <v>56.607415000000003</v>
          </cell>
          <cell r="N64">
            <v>57.134402000000001</v>
          </cell>
          <cell r="O64">
            <v>57.862930999999996</v>
          </cell>
          <cell r="P64">
            <v>58.734782000000003</v>
          </cell>
          <cell r="Q64">
            <v>60.184756</v>
          </cell>
          <cell r="R64">
            <v>62.499133</v>
          </cell>
          <cell r="S64">
            <v>65.008088000000001</v>
          </cell>
          <cell r="T64">
            <v>66.951172000000014</v>
          </cell>
          <cell r="U64">
            <v>67.8424499999999</v>
          </cell>
          <cell r="V64">
            <v>68.714622000000006</v>
          </cell>
          <cell r="W64">
            <v>69.598155000000006</v>
          </cell>
          <cell r="X64">
            <v>70.55808900000001</v>
          </cell>
          <cell r="Y64">
            <v>71.633531000000005</v>
          </cell>
          <cell r="Z64">
            <v>72.805339000000004</v>
          </cell>
          <cell r="AA64">
            <v>73.757292000000106</v>
          </cell>
          <cell r="AB64">
            <v>74.546584000000109</v>
          </cell>
          <cell r="AC64">
            <v>75.238570999999993</v>
          </cell>
          <cell r="AD64">
            <v>75.941693000000001</v>
          </cell>
          <cell r="AE64">
            <v>76.642588999999901</v>
          </cell>
          <cell r="AF64">
            <v>77.224093999999994</v>
          </cell>
          <cell r="AG64">
            <v>77.585616999999999</v>
          </cell>
          <cell r="AH64">
            <v>77.728411999999992</v>
          </cell>
          <cell r="AI64">
            <v>77.729072000000002</v>
          </cell>
          <cell r="AJ64">
            <v>77.643903000000009</v>
          </cell>
        </row>
        <row r="65">
          <cell r="C65" t="str">
            <v>Georgia</v>
          </cell>
          <cell r="F65">
            <v>3.4977510000000001</v>
          </cell>
          <cell r="G65">
            <v>3.7126610000000002</v>
          </cell>
          <cell r="H65">
            <v>4.0147120000000003</v>
          </cell>
          <cell r="I65">
            <v>4.3853439999999999</v>
          </cell>
          <cell r="J65">
            <v>4.779998</v>
          </cell>
          <cell r="K65">
            <v>4.95296</v>
          </cell>
          <cell r="L65">
            <v>5.1282510000000006</v>
          </cell>
          <cell r="M65">
            <v>5.3194089999999994</v>
          </cell>
          <cell r="N65">
            <v>5.4244340000000006</v>
          </cell>
          <cell r="O65">
            <v>4.9340850000000005</v>
          </cell>
          <cell r="P65">
            <v>4.330978</v>
          </cell>
          <cell r="Q65">
            <v>3.9747280000000003</v>
          </cell>
          <cell r="R65">
            <v>3.8438430000000001</v>
          </cell>
          <cell r="S65">
            <v>3.7716320000000003</v>
          </cell>
          <cell r="T65">
            <v>3.769183</v>
          </cell>
          <cell r="U65">
            <v>3.6220110000000001</v>
          </cell>
          <cell r="V65">
            <v>3.4674930000000002</v>
          </cell>
          <cell r="W65">
            <v>3.3151869999999999</v>
          </cell>
          <cell r="X65">
            <v>3.1761399999999989</v>
          </cell>
          <cell r="Y65">
            <v>3.0455920000000001</v>
          </cell>
          <cell r="Z65">
            <v>2.9170980000000002</v>
          </cell>
          <cell r="AA65">
            <v>2.787264</v>
          </cell>
          <cell r="AB65">
            <v>2.657959</v>
          </cell>
          <cell r="AC65">
            <v>2.542821</v>
          </cell>
          <cell r="AD65">
            <v>2.4428380000000001</v>
          </cell>
          <cell r="AE65">
            <v>2.356198</v>
          </cell>
          <cell r="AF65">
            <v>2.2810489999999999</v>
          </cell>
          <cell r="AG65">
            <v>2.217927</v>
          </cell>
          <cell r="AH65">
            <v>2.1675930000000001</v>
          </cell>
          <cell r="AI65">
            <v>2.12927</v>
          </cell>
          <cell r="AJ65">
            <v>2.0991879999999998</v>
          </cell>
        </row>
        <row r="66">
          <cell r="C66" t="str">
            <v>Ghana</v>
          </cell>
          <cell r="F66">
            <v>5.0091480000000006</v>
          </cell>
          <cell r="G66">
            <v>5.7943490000000004</v>
          </cell>
          <cell r="H66">
            <v>6.7990409999999999</v>
          </cell>
          <cell r="I66">
            <v>7.7322110000000004</v>
          </cell>
          <cell r="J66">
            <v>8.7395069999999997</v>
          </cell>
          <cell r="K66">
            <v>10.061995999999999</v>
          </cell>
          <cell r="L66">
            <v>11.695568</v>
          </cell>
          <cell r="M66">
            <v>13.495666999999999</v>
          </cell>
          <cell r="N66">
            <v>15.246974</v>
          </cell>
          <cell r="O66">
            <v>17.237582</v>
          </cell>
          <cell r="P66">
            <v>19.412396000000001</v>
          </cell>
          <cell r="Q66">
            <v>22.197966000000001</v>
          </cell>
          <cell r="R66">
            <v>25.264754</v>
          </cell>
          <cell r="S66">
            <v>28.531848999999998</v>
          </cell>
          <cell r="T66">
            <v>31.849246999999998</v>
          </cell>
          <cell r="U66">
            <v>35.288684000000003</v>
          </cell>
          <cell r="V66">
            <v>38.789279000000001</v>
          </cell>
          <cell r="W66">
            <v>42.306970999999997</v>
          </cell>
          <cell r="X66">
            <v>45.854700000000001</v>
          </cell>
          <cell r="Y66">
            <v>49.364322000000001</v>
          </cell>
          <cell r="Z66">
            <v>52.754449000000001</v>
          </cell>
          <cell r="AA66">
            <v>55.856260000000006</v>
          </cell>
          <cell r="AB66">
            <v>58.69867</v>
          </cell>
          <cell r="AC66">
            <v>61.211171</v>
          </cell>
          <cell r="AD66">
            <v>63.461477000000002</v>
          </cell>
          <cell r="AE66">
            <v>65.404848999999999</v>
          </cell>
          <cell r="AF66">
            <v>66.98786099999991</v>
          </cell>
          <cell r="AG66">
            <v>68.242553000000001</v>
          </cell>
          <cell r="AH66">
            <v>69.208484999999996</v>
          </cell>
          <cell r="AI66">
            <v>69.897463000000002</v>
          </cell>
          <cell r="AJ66">
            <v>70.336117999999999</v>
          </cell>
        </row>
        <row r="67">
          <cell r="C67" t="str">
            <v>Guinea</v>
          </cell>
          <cell r="F67">
            <v>2.9590350000000001</v>
          </cell>
          <cell r="G67">
            <v>3.20763</v>
          </cell>
          <cell r="H67">
            <v>3.486386</v>
          </cell>
          <cell r="I67">
            <v>3.809758</v>
          </cell>
          <cell r="J67">
            <v>4.1840730000000006</v>
          </cell>
          <cell r="K67">
            <v>4.5526559999999998</v>
          </cell>
          <cell r="L67">
            <v>4.9271660000000006</v>
          </cell>
          <cell r="M67">
            <v>5.4642809999999997</v>
          </cell>
          <cell r="N67">
            <v>6.2158109999999995</v>
          </cell>
          <cell r="O67">
            <v>7.3574279999999996</v>
          </cell>
          <cell r="P67">
            <v>8.2633500000000009</v>
          </cell>
          <cell r="Q67">
            <v>9.0522980000000004</v>
          </cell>
          <cell r="R67">
            <v>10.14392</v>
          </cell>
          <cell r="S67">
            <v>11.475366000000001</v>
          </cell>
          <cell r="T67">
            <v>13.041590000000001</v>
          </cell>
          <cell r="U67">
            <v>14.621532999999999</v>
          </cell>
          <cell r="V67">
            <v>16.22879</v>
          </cell>
          <cell r="W67">
            <v>17.812535</v>
          </cell>
          <cell r="X67">
            <v>19.348530999999998</v>
          </cell>
          <cell r="Y67">
            <v>20.820667</v>
          </cell>
          <cell r="Z67">
            <v>22.191518000000002</v>
          </cell>
          <cell r="AA67">
            <v>23.443080999999999</v>
          </cell>
          <cell r="AB67">
            <v>24.553787</v>
          </cell>
          <cell r="AC67">
            <v>25.515379000000003</v>
          </cell>
          <cell r="AD67">
            <v>26.320698</v>
          </cell>
          <cell r="AE67">
            <v>26.941513</v>
          </cell>
          <cell r="AF67">
            <v>27.407041000000003</v>
          </cell>
          <cell r="AG67">
            <v>27.705703000000003</v>
          </cell>
          <cell r="AH67">
            <v>27.909818000000001</v>
          </cell>
          <cell r="AI67">
            <v>28.032336000000001</v>
          </cell>
          <cell r="AJ67">
            <v>28.081109000000001</v>
          </cell>
        </row>
        <row r="68">
          <cell r="C68" t="str">
            <v>Guadeloupe</v>
          </cell>
          <cell r="F68">
            <v>0.21442</v>
          </cell>
          <cell r="G68">
            <v>0.23947100000000002</v>
          </cell>
          <cell r="H68">
            <v>0.27320900000000004</v>
          </cell>
          <cell r="I68">
            <v>0.30139900000000003</v>
          </cell>
          <cell r="J68">
            <v>0.31742500000000001</v>
          </cell>
          <cell r="K68">
            <v>0.323544</v>
          </cell>
          <cell r="L68">
            <v>0.33379900000000001</v>
          </cell>
          <cell r="M68">
            <v>0.35435700000000003</v>
          </cell>
          <cell r="N68">
            <v>0.38919600000000004</v>
          </cell>
          <cell r="O68">
            <v>0.41192899999999999</v>
          </cell>
          <cell r="P68">
            <v>0.42531799999999997</v>
          </cell>
          <cell r="Q68">
            <v>0.40604199999999996</v>
          </cell>
          <cell r="R68">
            <v>0.40296499999999996</v>
          </cell>
          <cell r="S68">
            <v>0.39986000000000005</v>
          </cell>
          <cell r="T68">
            <v>0.39509299999999903</v>
          </cell>
          <cell r="U68">
            <v>0.39771300000000004</v>
          </cell>
          <cell r="V68">
            <v>0.40096800000000005</v>
          </cell>
          <cell r="W68">
            <v>0.40231299999999998</v>
          </cell>
          <cell r="X68">
            <v>0.40177100000000004</v>
          </cell>
          <cell r="Y68">
            <v>0.39903500000000003</v>
          </cell>
          <cell r="Z68">
            <v>0.39499000000000001</v>
          </cell>
          <cell r="AA68">
            <v>0.39087099999999902</v>
          </cell>
          <cell r="AB68">
            <v>0.38714699999999996</v>
          </cell>
          <cell r="AC68">
            <v>0.38445799999999997</v>
          </cell>
          <cell r="AD68">
            <v>0.38295499999999999</v>
          </cell>
          <cell r="AE68">
            <v>0.38272799999999996</v>
          </cell>
          <cell r="AF68">
            <v>0.38381099999999996</v>
          </cell>
          <cell r="AG68">
            <v>0.38573499999999999</v>
          </cell>
          <cell r="AH68">
            <v>0.387741</v>
          </cell>
          <cell r="AI68">
            <v>0.38908000000000004</v>
          </cell>
          <cell r="AJ68">
            <v>0.38952199999999998</v>
          </cell>
        </row>
        <row r="69">
          <cell r="C69" t="str">
            <v>Gambia</v>
          </cell>
          <cell r="F69">
            <v>0.30297199999999996</v>
          </cell>
          <cell r="G69">
            <v>0.34474400000000005</v>
          </cell>
          <cell r="H69">
            <v>0.39416200000000001</v>
          </cell>
          <cell r="I69">
            <v>0.45255600000000001</v>
          </cell>
          <cell r="J69">
            <v>0.52108399999999999</v>
          </cell>
          <cell r="K69">
            <v>0.60368499999999992</v>
          </cell>
          <cell r="L69">
            <v>0.70657399999999992</v>
          </cell>
          <cell r="M69">
            <v>0.83992</v>
          </cell>
          <cell r="N69">
            <v>1.0196559999999999</v>
          </cell>
          <cell r="O69">
            <v>1.2239559999999998</v>
          </cell>
          <cell r="P69">
            <v>1.4168370000000001</v>
          </cell>
          <cell r="Q69">
            <v>1.635723</v>
          </cell>
          <cell r="R69">
            <v>1.9073470000000001</v>
          </cell>
          <cell r="S69">
            <v>2.2211060000000002</v>
          </cell>
          <cell r="T69">
            <v>2.541048</v>
          </cell>
          <cell r="U69">
            <v>2.8435920000000001</v>
          </cell>
          <cell r="V69">
            <v>3.1619799999999998</v>
          </cell>
          <cell r="W69">
            <v>3.4892430000000001</v>
          </cell>
          <cell r="X69">
            <v>3.8079839999999998</v>
          </cell>
          <cell r="Y69">
            <v>4.112768</v>
          </cell>
          <cell r="Z69">
            <v>4.3927560000000003</v>
          </cell>
          <cell r="AA69">
            <v>4.6427059999999898</v>
          </cell>
          <cell r="AB69">
            <v>4.8567010000000002</v>
          </cell>
          <cell r="AC69">
            <v>5.0426419999999998</v>
          </cell>
          <cell r="AD69">
            <v>5.199052</v>
          </cell>
          <cell r="AE69">
            <v>5.3208890000000002</v>
          </cell>
          <cell r="AF69">
            <v>5.4076980000000008</v>
          </cell>
          <cell r="AG69">
            <v>5.468826</v>
          </cell>
          <cell r="AH69">
            <v>5.5062220000000099</v>
          </cell>
          <cell r="AI69">
            <v>5.5218850000000002</v>
          </cell>
          <cell r="AJ69">
            <v>5.5165819999999997</v>
          </cell>
        </row>
        <row r="70">
          <cell r="C70" t="str">
            <v>Guinea-Bissau</v>
          </cell>
          <cell r="F70">
            <v>0.5395359999999999</v>
          </cell>
          <cell r="G70">
            <v>0.56220399999999993</v>
          </cell>
          <cell r="H70">
            <v>0.57649899999999998</v>
          </cell>
          <cell r="I70">
            <v>0.58331</v>
          </cell>
          <cell r="J70">
            <v>0.586785</v>
          </cell>
          <cell r="K70">
            <v>0.64018200000000003</v>
          </cell>
          <cell r="L70">
            <v>0.82477400000000001</v>
          </cell>
          <cell r="M70">
            <v>0.89312599999999998</v>
          </cell>
          <cell r="N70">
            <v>0.96594000000000002</v>
          </cell>
          <cell r="O70">
            <v>1.1049709999999999</v>
          </cell>
          <cell r="P70">
            <v>1.2179549999999999</v>
          </cell>
          <cell r="Q70">
            <v>1.363049</v>
          </cell>
          <cell r="R70">
            <v>1.5468660000000001</v>
          </cell>
          <cell r="S70">
            <v>1.766089</v>
          </cell>
          <cell r="T70">
            <v>1.9933019999999999</v>
          </cell>
          <cell r="U70">
            <v>2.2149329999999998</v>
          </cell>
          <cell r="V70">
            <v>2.436382</v>
          </cell>
          <cell r="W70">
            <v>2.6503410000000001</v>
          </cell>
          <cell r="X70">
            <v>2.8542939999999999</v>
          </cell>
          <cell r="Y70">
            <v>3.042869</v>
          </cell>
          <cell r="Z70">
            <v>3.2102909999999998</v>
          </cell>
          <cell r="AA70">
            <v>3.3533689999999998</v>
          </cell>
          <cell r="AB70">
            <v>3.4733000000000001</v>
          </cell>
          <cell r="AC70">
            <v>3.568298</v>
          </cell>
          <cell r="AD70">
            <v>3.6373940000000102</v>
          </cell>
          <cell r="AE70">
            <v>3.6804169999999998</v>
          </cell>
          <cell r="AF70">
            <v>3.7017660000000001</v>
          </cell>
          <cell r="AG70">
            <v>3.7056719999999999</v>
          </cell>
          <cell r="AH70">
            <v>3.6930069999999997</v>
          </cell>
          <cell r="AI70">
            <v>3.6660209999999998</v>
          </cell>
          <cell r="AJ70">
            <v>3.6262790000000003</v>
          </cell>
        </row>
        <row r="71">
          <cell r="C71" t="str">
            <v>Equatorial Guinea</v>
          </cell>
          <cell r="F71">
            <v>0.22447700000000001</v>
          </cell>
          <cell r="G71">
            <v>0.24377299999999999</v>
          </cell>
          <cell r="H71">
            <v>0.26497599999999999</v>
          </cell>
          <cell r="I71">
            <v>0.29184699999999997</v>
          </cell>
          <cell r="J71">
            <v>0.31892899999999996</v>
          </cell>
          <cell r="K71">
            <v>0.28681799999999996</v>
          </cell>
          <cell r="L71">
            <v>0.27657700000000002</v>
          </cell>
          <cell r="M71">
            <v>0.36852300000000004</v>
          </cell>
          <cell r="N71">
            <v>0.45688799999999996</v>
          </cell>
          <cell r="O71">
            <v>0.55010599999999998</v>
          </cell>
          <cell r="P71">
            <v>0.66795799999999994</v>
          </cell>
          <cell r="Q71">
            <v>0.84503400000000006</v>
          </cell>
          <cell r="R71">
            <v>1.0686420000000001</v>
          </cell>
          <cell r="S71">
            <v>1.3209860000000002</v>
          </cell>
          <cell r="T71">
            <v>1.5783640000000001</v>
          </cell>
          <cell r="U71">
            <v>1.790913</v>
          </cell>
          <cell r="V71">
            <v>2.009487</v>
          </cell>
          <cell r="W71">
            <v>2.23177</v>
          </cell>
          <cell r="X71">
            <v>2.4535479999999992</v>
          </cell>
          <cell r="Y71">
            <v>2.6712439999999997</v>
          </cell>
          <cell r="Z71">
            <v>2.8797359999999999</v>
          </cell>
          <cell r="AA71">
            <v>3.072473</v>
          </cell>
          <cell r="AB71">
            <v>3.2452230000000002</v>
          </cell>
          <cell r="AC71">
            <v>3.3942100000000002</v>
          </cell>
          <cell r="AD71">
            <v>3.5149520000000001</v>
          </cell>
          <cell r="AE71">
            <v>3.6069679999999993</v>
          </cell>
          <cell r="AF71">
            <v>3.6677729999999999</v>
          </cell>
          <cell r="AG71">
            <v>3.705597</v>
          </cell>
          <cell r="AH71">
            <v>3.7198349999999998</v>
          </cell>
          <cell r="AI71">
            <v>3.7097800000000003</v>
          </cell>
          <cell r="AJ71">
            <v>3.6744409999999998</v>
          </cell>
        </row>
        <row r="72">
          <cell r="C72" t="str">
            <v>Greece</v>
          </cell>
          <cell r="F72">
            <v>7.6202579999999998</v>
          </cell>
          <cell r="G72">
            <v>8.099342</v>
          </cell>
          <cell r="H72">
            <v>8.4756560000000007</v>
          </cell>
          <cell r="I72">
            <v>8.5300429999999992</v>
          </cell>
          <cell r="J72">
            <v>8.5319400000000005</v>
          </cell>
          <cell r="K72">
            <v>8.7655460000000005</v>
          </cell>
          <cell r="L72">
            <v>9.2506399999999989</v>
          </cell>
          <cell r="M72">
            <v>9.7913569999999996</v>
          </cell>
          <cell r="N72">
            <v>10.257334</v>
          </cell>
          <cell r="O72">
            <v>10.68881</v>
          </cell>
          <cell r="P72">
            <v>11.018753</v>
          </cell>
          <cell r="Q72">
            <v>11.115543000000001</v>
          </cell>
          <cell r="R72">
            <v>11.045896000000001</v>
          </cell>
          <cell r="S72">
            <v>10.836416</v>
          </cell>
          <cell r="T72">
            <v>10.543345</v>
          </cell>
          <cell r="U72">
            <v>10.364506</v>
          </cell>
          <cell r="V72">
            <v>10.207336999999999</v>
          </cell>
          <cell r="W72">
            <v>10.072850000000001</v>
          </cell>
          <cell r="X72">
            <v>9.9626820000000009</v>
          </cell>
          <cell r="Y72">
            <v>9.8664130000000014</v>
          </cell>
          <cell r="Z72">
            <v>9.7771080000000001</v>
          </cell>
          <cell r="AA72">
            <v>9.6669439999999991</v>
          </cell>
          <cell r="AB72">
            <v>9.5378769999999999</v>
          </cell>
          <cell r="AC72">
            <v>9.38964</v>
          </cell>
          <cell r="AD72">
            <v>9.2338520000000095</v>
          </cell>
          <cell r="AE72">
            <v>9.0797509999999999</v>
          </cell>
          <cell r="AF72">
            <v>8.9356129999999911</v>
          </cell>
          <cell r="AG72">
            <v>8.8013850000000087</v>
          </cell>
          <cell r="AH72">
            <v>8.6685120000000015</v>
          </cell>
          <cell r="AI72">
            <v>8.5232759999999992</v>
          </cell>
          <cell r="AJ72">
            <v>8.3541489999999996</v>
          </cell>
        </row>
        <row r="73">
          <cell r="C73" t="str">
            <v>Grenada</v>
          </cell>
          <cell r="F73">
            <v>7.7018000000000003E-2</v>
          </cell>
          <cell r="G73">
            <v>8.1754000000000007E-2</v>
          </cell>
          <cell r="H73">
            <v>9.2965000000000006E-2</v>
          </cell>
          <cell r="I73">
            <v>9.7951999999999997E-2</v>
          </cell>
          <cell r="J73">
            <v>9.8906000000000008E-2</v>
          </cell>
          <cell r="K73">
            <v>9.7345000000000001E-2</v>
          </cell>
          <cell r="L73">
            <v>9.4944000000000001E-2</v>
          </cell>
          <cell r="M73">
            <v>0.10024</v>
          </cell>
          <cell r="N73">
            <v>9.9016000000000007E-2</v>
          </cell>
          <cell r="O73">
            <v>0.10364400000000001</v>
          </cell>
          <cell r="P73">
            <v>0.107129</v>
          </cell>
          <cell r="Q73">
            <v>0.109879</v>
          </cell>
          <cell r="R73">
            <v>0.11364300000000001</v>
          </cell>
          <cell r="S73">
            <v>0.11848</v>
          </cell>
          <cell r="T73">
            <v>0.12316099999999901</v>
          </cell>
          <cell r="U73">
            <v>0.126244</v>
          </cell>
          <cell r="V73">
            <v>0.12822899999999998</v>
          </cell>
          <cell r="W73">
            <v>0.129389</v>
          </cell>
          <cell r="X73">
            <v>0.130328</v>
          </cell>
          <cell r="Y73">
            <v>0.13112299999999999</v>
          </cell>
          <cell r="Z73">
            <v>0.13152699999999901</v>
          </cell>
          <cell r="AA73">
            <v>0.131492</v>
          </cell>
          <cell r="AB73">
            <v>0.13093299999999999</v>
          </cell>
          <cell r="AC73">
            <v>0.13019700000000001</v>
          </cell>
          <cell r="AD73">
            <v>0.12933799999999998</v>
          </cell>
          <cell r="AE73">
            <v>0.12825</v>
          </cell>
          <cell r="AF73">
            <v>0.12687099999999998</v>
          </cell>
          <cell r="AG73">
            <v>0.12532299999999999</v>
          </cell>
          <cell r="AH73">
            <v>0.12381299999999999</v>
          </cell>
          <cell r="AI73">
            <v>0.12249299999999901</v>
          </cell>
          <cell r="AJ73">
            <v>0.121348</v>
          </cell>
        </row>
        <row r="74">
          <cell r="C74" t="str">
            <v>Guatemala</v>
          </cell>
          <cell r="F74">
            <v>3.058262</v>
          </cell>
          <cell r="G74">
            <v>3.5109250000000003</v>
          </cell>
          <cell r="H74">
            <v>4.038513</v>
          </cell>
          <cell r="I74">
            <v>4.6756660000000005</v>
          </cell>
          <cell r="J74">
            <v>5.3801730000000001</v>
          </cell>
          <cell r="K74">
            <v>6.1249899999999995</v>
          </cell>
          <cell r="L74">
            <v>6.8992240000000002</v>
          </cell>
          <cell r="M74">
            <v>7.8247309999999999</v>
          </cell>
          <cell r="N74">
            <v>8.9608410000000003</v>
          </cell>
          <cell r="O74">
            <v>10.228973</v>
          </cell>
          <cell r="P74">
            <v>11.602326999999999</v>
          </cell>
          <cell r="Q74">
            <v>12.994650999999999</v>
          </cell>
          <cell r="R74">
            <v>14.399299000000001</v>
          </cell>
          <cell r="S74">
            <v>15.858805</v>
          </cell>
          <cell r="T74">
            <v>17.231175</v>
          </cell>
          <cell r="U74">
            <v>18.589745999999998</v>
          </cell>
          <cell r="V74">
            <v>19.997080999999998</v>
          </cell>
          <cell r="W74">
            <v>21.288756000000003</v>
          </cell>
          <cell r="X74">
            <v>22.452734</v>
          </cell>
          <cell r="Y74">
            <v>23.452085</v>
          </cell>
          <cell r="Z74">
            <v>24.268326000000002</v>
          </cell>
          <cell r="AA74">
            <v>24.903085000000001</v>
          </cell>
          <cell r="AB74">
            <v>25.394030999999998</v>
          </cell>
          <cell r="AC74">
            <v>25.765709999999999</v>
          </cell>
          <cell r="AD74">
            <v>26.011544999999998</v>
          </cell>
          <cell r="AE74">
            <v>26.122207</v>
          </cell>
          <cell r="AF74">
            <v>26.089229</v>
          </cell>
          <cell r="AG74">
            <v>25.938863000000001</v>
          </cell>
          <cell r="AH74">
            <v>25.695909</v>
          </cell>
          <cell r="AI74">
            <v>25.380174</v>
          </cell>
          <cell r="AJ74">
            <v>25.020612</v>
          </cell>
        </row>
        <row r="75">
          <cell r="C75" t="str">
            <v>French Guiana</v>
          </cell>
          <cell r="F75">
            <v>2.3248000000000001E-2</v>
          </cell>
          <cell r="G75">
            <v>2.4974E-2</v>
          </cell>
          <cell r="H75">
            <v>3.0468000000000002E-2</v>
          </cell>
          <cell r="I75">
            <v>3.8040999999999998E-2</v>
          </cell>
          <cell r="J75">
            <v>4.5827E-2</v>
          </cell>
          <cell r="K75">
            <v>5.3232000000000002E-2</v>
          </cell>
          <cell r="L75">
            <v>6.5492000000000009E-2</v>
          </cell>
          <cell r="M75">
            <v>8.4402000000000005E-2</v>
          </cell>
          <cell r="N75">
            <v>0.11154000000000001</v>
          </cell>
          <cell r="O75">
            <v>0.134686</v>
          </cell>
          <cell r="P75">
            <v>0.16089599999999998</v>
          </cell>
          <cell r="Q75">
            <v>0.19744399999999998</v>
          </cell>
          <cell r="R75">
            <v>0.22595599999999999</v>
          </cell>
          <cell r="S75">
            <v>0.25417299999999998</v>
          </cell>
          <cell r="T75">
            <v>0.28781400000000001</v>
          </cell>
          <cell r="U75">
            <v>0.32185199999999903</v>
          </cell>
          <cell r="V75">
            <v>0.35533800000000004</v>
          </cell>
          <cell r="W75">
            <v>0.387799</v>
          </cell>
          <cell r="X75">
            <v>0.41885899999999998</v>
          </cell>
          <cell r="Y75">
            <v>0.44821099999999997</v>
          </cell>
          <cell r="Z75">
            <v>0.47603699999999999</v>
          </cell>
          <cell r="AA75">
            <v>0.50167799999999996</v>
          </cell>
          <cell r="AB75">
            <v>0.52501700000000007</v>
          </cell>
          <cell r="AC75">
            <v>0.54507599999999901</v>
          </cell>
          <cell r="AD75">
            <v>0.561809</v>
          </cell>
          <cell r="AE75">
            <v>0.57652499999999995</v>
          </cell>
          <cell r="AF75">
            <v>0.589777</v>
          </cell>
          <cell r="AG75">
            <v>0.60145700000000002</v>
          </cell>
          <cell r="AH75">
            <v>0.61144900000000002</v>
          </cell>
          <cell r="AI75">
            <v>0.61895599999999906</v>
          </cell>
          <cell r="AJ75">
            <v>0.62410699999999997</v>
          </cell>
        </row>
        <row r="76">
          <cell r="C76" t="str">
            <v>Guam</v>
          </cell>
          <cell r="F76">
            <v>6.0531000000000001E-2</v>
          </cell>
          <cell r="G76">
            <v>6.5429000000000001E-2</v>
          </cell>
          <cell r="H76">
            <v>7.1638999999999994E-2</v>
          </cell>
          <cell r="I76">
            <v>7.9438000000000009E-2</v>
          </cell>
          <cell r="J76">
            <v>8.7251000000000009E-2</v>
          </cell>
          <cell r="K76">
            <v>9.8428000000000002E-2</v>
          </cell>
          <cell r="L76">
            <v>0.10885800000000001</v>
          </cell>
          <cell r="M76">
            <v>0.12328700000000001</v>
          </cell>
          <cell r="N76">
            <v>0.137019</v>
          </cell>
          <cell r="O76">
            <v>0.148978</v>
          </cell>
          <cell r="P76">
            <v>0.15942599999999998</v>
          </cell>
          <cell r="Q76">
            <v>0.16426499999999999</v>
          </cell>
          <cell r="R76">
            <v>0.16448400000000002</v>
          </cell>
          <cell r="S76">
            <v>0.167791</v>
          </cell>
          <cell r="T76">
            <v>0.168571</v>
          </cell>
          <cell r="U76">
            <v>0.17320500000000003</v>
          </cell>
          <cell r="V76">
            <v>0.17757799999999999</v>
          </cell>
          <cell r="W76">
            <v>0.18140299999999998</v>
          </cell>
          <cell r="X76">
            <v>0.18426599999999901</v>
          </cell>
          <cell r="Y76">
            <v>0.18609599999999998</v>
          </cell>
          <cell r="Z76">
            <v>0.18676299999999998</v>
          </cell>
          <cell r="AA76">
            <v>0.186449</v>
          </cell>
          <cell r="AB76">
            <v>0.185756</v>
          </cell>
          <cell r="AC76">
            <v>0.18540299999999901</v>
          </cell>
          <cell r="AD76">
            <v>0.185387</v>
          </cell>
          <cell r="AE76">
            <v>0.185673</v>
          </cell>
          <cell r="AF76">
            <v>0.18591000000000002</v>
          </cell>
          <cell r="AG76">
            <v>0.18601299999999998</v>
          </cell>
          <cell r="AH76">
            <v>0.185941</v>
          </cell>
          <cell r="AI76">
            <v>0.185668</v>
          </cell>
          <cell r="AJ76">
            <v>0.185304</v>
          </cell>
        </row>
        <row r="77">
          <cell r="C77" t="str">
            <v>Guyana</v>
          </cell>
          <cell r="F77">
            <v>0.41275200000000001</v>
          </cell>
          <cell r="G77">
            <v>0.47529399999999999</v>
          </cell>
          <cell r="H77">
            <v>0.56358799999999998</v>
          </cell>
          <cell r="I77">
            <v>0.643374</v>
          </cell>
          <cell r="J77">
            <v>0.70075300000000007</v>
          </cell>
          <cell r="K77">
            <v>0.74162000000000006</v>
          </cell>
          <cell r="L77">
            <v>0.77695800000000004</v>
          </cell>
          <cell r="M77">
            <v>0.77456700000000001</v>
          </cell>
          <cell r="N77">
            <v>0.75006399999999995</v>
          </cell>
          <cell r="O77">
            <v>0.75068499999999994</v>
          </cell>
          <cell r="P77">
            <v>0.75861000000000001</v>
          </cell>
          <cell r="Q77">
            <v>0.76024599999999998</v>
          </cell>
          <cell r="R77">
            <v>0.74969600000000003</v>
          </cell>
          <cell r="S77">
            <v>0.75302800000000003</v>
          </cell>
          <cell r="T77">
            <v>0.79184499999999902</v>
          </cell>
          <cell r="U77">
            <v>0.80806199999999906</v>
          </cell>
          <cell r="V77">
            <v>0.81919599999999992</v>
          </cell>
          <cell r="W77">
            <v>0.82361299999999993</v>
          </cell>
          <cell r="X77">
            <v>0.8214840000000001</v>
          </cell>
          <cell r="Y77">
            <v>0.81311299999999909</v>
          </cell>
          <cell r="Z77">
            <v>0.79979999999999907</v>
          </cell>
          <cell r="AA77">
            <v>0.78357699999999997</v>
          </cell>
          <cell r="AB77">
            <v>0.76524700000000001</v>
          </cell>
          <cell r="AC77">
            <v>0.74800899999999992</v>
          </cell>
          <cell r="AD77">
            <v>0.73174499999999909</v>
          </cell>
          <cell r="AE77">
            <v>0.71611300000000011</v>
          </cell>
          <cell r="AF77">
            <v>0.70086599999999999</v>
          </cell>
          <cell r="AG77">
            <v>0.68609599999999993</v>
          </cell>
          <cell r="AH77">
            <v>0.67208900000000005</v>
          </cell>
          <cell r="AI77">
            <v>0.65924199999999999</v>
          </cell>
          <cell r="AJ77">
            <v>0.64798299999999998</v>
          </cell>
        </row>
        <row r="78">
          <cell r="C78" t="str">
            <v>Hong Kong</v>
          </cell>
          <cell r="F78">
            <v>1.9338540000000002</v>
          </cell>
          <cell r="G78">
            <v>2.434307</v>
          </cell>
          <cell r="H78">
            <v>3.0497300000000003</v>
          </cell>
          <cell r="I78">
            <v>3.5592899999999998</v>
          </cell>
          <cell r="J78">
            <v>3.92848</v>
          </cell>
          <cell r="K78">
            <v>4.397157</v>
          </cell>
          <cell r="L78">
            <v>4.9252520000000004</v>
          </cell>
          <cell r="M78">
            <v>5.3730510000000002</v>
          </cell>
          <cell r="N78">
            <v>5.7959759999999996</v>
          </cell>
          <cell r="O78">
            <v>6.207446</v>
          </cell>
          <cell r="P78">
            <v>6.6876710000000008</v>
          </cell>
          <cell r="Q78">
            <v>6.9284140000000001</v>
          </cell>
          <cell r="R78">
            <v>7.1148930000000004</v>
          </cell>
          <cell r="S78">
            <v>7.3780860000000006</v>
          </cell>
          <cell r="T78">
            <v>7.5019080000000002</v>
          </cell>
          <cell r="U78">
            <v>7.5361440000000002</v>
          </cell>
          <cell r="V78">
            <v>7.5483850000000103</v>
          </cell>
          <cell r="W78">
            <v>7.5315519999999996</v>
          </cell>
          <cell r="X78">
            <v>7.4976980000000006</v>
          </cell>
          <cell r="Y78">
            <v>7.4577270000000002</v>
          </cell>
          <cell r="Z78">
            <v>7.4309030000000007</v>
          </cell>
          <cell r="AA78">
            <v>7.3848540000000007</v>
          </cell>
          <cell r="AB78">
            <v>7.3177330000000005</v>
          </cell>
          <cell r="AC78">
            <v>7.2225130000000002</v>
          </cell>
          <cell r="AD78">
            <v>7.1117949999999999</v>
          </cell>
          <cell r="AE78">
            <v>6.9888430000000001</v>
          </cell>
          <cell r="AF78">
            <v>6.8503500000000104</v>
          </cell>
          <cell r="AG78">
            <v>6.6982039999999996</v>
          </cell>
          <cell r="AH78">
            <v>6.5336550000000102</v>
          </cell>
          <cell r="AI78">
            <v>6.3586869999999998</v>
          </cell>
          <cell r="AJ78">
            <v>6.1730150000000004</v>
          </cell>
        </row>
        <row r="79">
          <cell r="C79" t="str">
            <v>Honduras</v>
          </cell>
          <cell r="F79">
            <v>1.536114</v>
          </cell>
          <cell r="G79">
            <v>1.7705170000000001</v>
          </cell>
          <cell r="H79">
            <v>2.0482680000000002</v>
          </cell>
          <cell r="I79">
            <v>2.3683879999999999</v>
          </cell>
          <cell r="J79">
            <v>2.7412879999999999</v>
          </cell>
          <cell r="K79">
            <v>3.1809060000000002</v>
          </cell>
          <cell r="L79">
            <v>3.7197089999999999</v>
          </cell>
          <cell r="M79">
            <v>4.3243619999999998</v>
          </cell>
          <cell r="N79">
            <v>4.9824760000000001</v>
          </cell>
          <cell r="O79">
            <v>5.7319510000000005</v>
          </cell>
          <cell r="P79">
            <v>6.5664930000000004</v>
          </cell>
          <cell r="Q79">
            <v>7.4741010000000001</v>
          </cell>
          <cell r="R79">
            <v>8.3647000000000009</v>
          </cell>
          <cell r="S79">
            <v>9.2112680000000005</v>
          </cell>
          <cell r="T79">
            <v>10.041782999999999</v>
          </cell>
          <cell r="U79">
            <v>10.827342000000002</v>
          </cell>
          <cell r="V79">
            <v>11.589368</v>
          </cell>
          <cell r="W79">
            <v>12.279935</v>
          </cell>
          <cell r="X79">
            <v>12.874724000000001</v>
          </cell>
          <cell r="Y79">
            <v>13.372031000000002</v>
          </cell>
          <cell r="Z79">
            <v>13.792085</v>
          </cell>
          <cell r="AA79">
            <v>14.140120000000001</v>
          </cell>
          <cell r="AB79">
            <v>14.411518000000001</v>
          </cell>
          <cell r="AC79">
            <v>14.606826999999999</v>
          </cell>
          <cell r="AD79">
            <v>14.714894000000001</v>
          </cell>
          <cell r="AE79">
            <v>14.74258</v>
          </cell>
          <cell r="AF79">
            <v>14.698715</v>
          </cell>
          <cell r="AG79">
            <v>14.599860000000001</v>
          </cell>
          <cell r="AH79">
            <v>14.454841</v>
          </cell>
          <cell r="AI79">
            <v>14.275117</v>
          </cell>
          <cell r="AJ79">
            <v>14.071301999999999</v>
          </cell>
        </row>
        <row r="80">
          <cell r="C80" t="str">
            <v>Croatia</v>
          </cell>
          <cell r="F80">
            <v>3.8460300000000003</v>
          </cell>
          <cell r="G80">
            <v>4.0310760000000005</v>
          </cell>
          <cell r="H80">
            <v>4.199198</v>
          </cell>
          <cell r="I80">
            <v>4.3558940000000002</v>
          </cell>
          <cell r="J80">
            <v>4.4844200000000001</v>
          </cell>
          <cell r="K80">
            <v>4.5706150000000001</v>
          </cell>
          <cell r="L80">
            <v>4.6688050000000008</v>
          </cell>
          <cell r="M80">
            <v>4.7899159999999998</v>
          </cell>
          <cell r="N80">
            <v>4.8759990000000002</v>
          </cell>
          <cell r="O80">
            <v>4.8330580000000003</v>
          </cell>
          <cell r="P80">
            <v>4.5774229999999996</v>
          </cell>
          <cell r="Q80">
            <v>4.4360870000000006</v>
          </cell>
          <cell r="R80">
            <v>4.3761520000000003</v>
          </cell>
          <cell r="S80">
            <v>4.2709549999999998</v>
          </cell>
          <cell r="T80">
            <v>4.1146440000000002</v>
          </cell>
          <cell r="U80">
            <v>3.9803820000000001</v>
          </cell>
          <cell r="V80">
            <v>3.8479389999999993</v>
          </cell>
          <cell r="W80">
            <v>3.722464</v>
          </cell>
          <cell r="X80">
            <v>3.602983</v>
          </cell>
          <cell r="Y80">
            <v>3.491355</v>
          </cell>
          <cell r="Z80">
            <v>3.389205</v>
          </cell>
          <cell r="AA80">
            <v>3.2960889999999998</v>
          </cell>
          <cell r="AB80">
            <v>3.2118359999999999</v>
          </cell>
          <cell r="AC80">
            <v>3.1346400000000001</v>
          </cell>
          <cell r="AD80">
            <v>3.0620379999999998</v>
          </cell>
          <cell r="AE80">
            <v>2.9918610000000001</v>
          </cell>
          <cell r="AF80">
            <v>2.9241820000000001</v>
          </cell>
          <cell r="AG80">
            <v>2.85968</v>
          </cell>
          <cell r="AH80">
            <v>2.7984420000000001</v>
          </cell>
          <cell r="AI80">
            <v>2.7387359999999998</v>
          </cell>
          <cell r="AJ80">
            <v>2.678769</v>
          </cell>
        </row>
        <row r="81">
          <cell r="C81" t="str">
            <v>Haiti</v>
          </cell>
          <cell r="F81">
            <v>3.2203049999999998</v>
          </cell>
          <cell r="G81">
            <v>3.5126350000000004</v>
          </cell>
          <cell r="H81">
            <v>3.8644189999999998</v>
          </cell>
          <cell r="I81">
            <v>4.2351760000000001</v>
          </cell>
          <cell r="J81">
            <v>4.638325</v>
          </cell>
          <cell r="K81">
            <v>5.0765690000000001</v>
          </cell>
          <cell r="L81">
            <v>5.5910320000000002</v>
          </cell>
          <cell r="M81">
            <v>6.1816830000000005</v>
          </cell>
          <cell r="N81">
            <v>6.8543019999999997</v>
          </cell>
          <cell r="O81">
            <v>7.5561099999999994</v>
          </cell>
          <cell r="P81">
            <v>8.2837700000000005</v>
          </cell>
          <cell r="Q81">
            <v>9.0348039999999994</v>
          </cell>
          <cell r="R81">
            <v>9.8088520000000017</v>
          </cell>
          <cell r="S81">
            <v>10.488430000000001</v>
          </cell>
          <cell r="T81">
            <v>11.234504999999999</v>
          </cell>
          <cell r="U81">
            <v>12.017601000000001</v>
          </cell>
          <cell r="V81">
            <v>12.775290999999999</v>
          </cell>
          <cell r="W81">
            <v>13.459056</v>
          </cell>
          <cell r="X81">
            <v>14.049158</v>
          </cell>
          <cell r="Y81">
            <v>14.550625</v>
          </cell>
          <cell r="Z81">
            <v>14.938181</v>
          </cell>
          <cell r="AA81">
            <v>15.197974</v>
          </cell>
          <cell r="AB81">
            <v>15.335469</v>
          </cell>
          <cell r="AC81">
            <v>15.393235000000001</v>
          </cell>
          <cell r="AD81">
            <v>15.388419000000001</v>
          </cell>
          <cell r="AE81">
            <v>15.332519000000001</v>
          </cell>
          <cell r="AF81">
            <v>15.230642</v>
          </cell>
          <cell r="AG81">
            <v>15.084507</v>
          </cell>
          <cell r="AH81">
            <v>14.898046000000001</v>
          </cell>
          <cell r="AI81">
            <v>14.677027000000001</v>
          </cell>
          <cell r="AJ81">
            <v>14.434372999999999</v>
          </cell>
        </row>
        <row r="82">
          <cell r="C82" t="str">
            <v>Hungary</v>
          </cell>
          <cell r="F82">
            <v>9.2924159999999993</v>
          </cell>
          <cell r="G82">
            <v>9.7651849999999989</v>
          </cell>
          <cell r="H82">
            <v>9.9609280000000009</v>
          </cell>
          <cell r="I82">
            <v>10.129205000000001</v>
          </cell>
          <cell r="J82">
            <v>10.299552</v>
          </cell>
          <cell r="K82">
            <v>10.488562</v>
          </cell>
          <cell r="L82">
            <v>10.706431</v>
          </cell>
          <cell r="M82">
            <v>10.560881</v>
          </cell>
          <cell r="N82">
            <v>10.377283</v>
          </cell>
          <cell r="O82">
            <v>10.33535</v>
          </cell>
          <cell r="P82">
            <v>10.213473</v>
          </cell>
          <cell r="Q82">
            <v>10.084391</v>
          </cell>
          <cell r="R82">
            <v>10.001016999999999</v>
          </cell>
          <cell r="S82">
            <v>9.8569209999999998</v>
          </cell>
          <cell r="T82">
            <v>9.7701230000000105</v>
          </cell>
          <cell r="U82">
            <v>9.5922230000000006</v>
          </cell>
          <cell r="V82">
            <v>9.4145640000000093</v>
          </cell>
          <cell r="W82">
            <v>9.2178620000000109</v>
          </cell>
          <cell r="X82">
            <v>9.0157200000000106</v>
          </cell>
          <cell r="Y82">
            <v>8.8206680000000102</v>
          </cell>
          <cell r="Z82">
            <v>8.6422319999999999</v>
          </cell>
          <cell r="AA82">
            <v>8.4719720000000116</v>
          </cell>
          <cell r="AB82">
            <v>8.2984760000000009</v>
          </cell>
          <cell r="AC82">
            <v>8.1043409999999909</v>
          </cell>
          <cell r="AD82">
            <v>7.8957220000000099</v>
          </cell>
          <cell r="AE82">
            <v>7.6869909999999999</v>
          </cell>
          <cell r="AF82">
            <v>7.4907310000000003</v>
          </cell>
          <cell r="AG82">
            <v>7.3068929999999996</v>
          </cell>
          <cell r="AH82">
            <v>7.1257359999999998</v>
          </cell>
          <cell r="AI82">
            <v>6.9442950000000003</v>
          </cell>
          <cell r="AJ82">
            <v>6.7608790000000001</v>
          </cell>
        </row>
        <row r="83">
          <cell r="C83" t="str">
            <v>Indonesia</v>
          </cell>
          <cell r="F83">
            <v>68.862949</v>
          </cell>
          <cell r="G83">
            <v>76.809926000000004</v>
          </cell>
          <cell r="H83">
            <v>87.189211999999998</v>
          </cell>
          <cell r="I83">
            <v>100.058719</v>
          </cell>
          <cell r="J83">
            <v>113.67735</v>
          </cell>
          <cell r="K83">
            <v>129.565732</v>
          </cell>
          <cell r="L83">
            <v>146.425972</v>
          </cell>
          <cell r="M83">
            <v>164.095563</v>
          </cell>
          <cell r="N83">
            <v>180.56911300000002</v>
          </cell>
          <cell r="O83">
            <v>196.527503</v>
          </cell>
          <cell r="P83">
            <v>212.544104</v>
          </cell>
          <cell r="Q83">
            <v>227.32299600000002</v>
          </cell>
          <cell r="R83">
            <v>242.49852600000003</v>
          </cell>
          <cell r="S83">
            <v>257.68750299999999</v>
          </cell>
          <cell r="T83">
            <v>270.82584600000001</v>
          </cell>
          <cell r="U83">
            <v>280.69274200000001</v>
          </cell>
          <cell r="V83">
            <v>290.58185800000001</v>
          </cell>
          <cell r="W83">
            <v>298.63908800000002</v>
          </cell>
          <cell r="X83">
            <v>304.63321100000002</v>
          </cell>
          <cell r="Y83">
            <v>308.59807000000001</v>
          </cell>
          <cell r="Z83">
            <v>310.60125199999999</v>
          </cell>
          <cell r="AA83">
            <v>311.20934600000004</v>
          </cell>
          <cell r="AB83">
            <v>310.507499</v>
          </cell>
          <cell r="AC83">
            <v>308.65983</v>
          </cell>
          <cell r="AD83">
            <v>305.83023700000001</v>
          </cell>
          <cell r="AE83">
            <v>302.17756900000001</v>
          </cell>
          <cell r="AF83">
            <v>297.65872300000001</v>
          </cell>
          <cell r="AG83">
            <v>292.39994000000002</v>
          </cell>
          <cell r="AH83">
            <v>286.517043</v>
          </cell>
          <cell r="AI83">
            <v>280.11990200000002</v>
          </cell>
          <cell r="AJ83">
            <v>273.35429100000005</v>
          </cell>
        </row>
        <row r="84">
          <cell r="C84" t="str">
            <v>India</v>
          </cell>
          <cell r="F84">
            <v>353.10427600000003</v>
          </cell>
          <cell r="G84">
            <v>394.09498200000002</v>
          </cell>
          <cell r="H84">
            <v>440.827788</v>
          </cell>
          <cell r="I84">
            <v>494.67738299999996</v>
          </cell>
          <cell r="J84">
            <v>551.30573700000002</v>
          </cell>
          <cell r="K84">
            <v>616.6033930000001</v>
          </cell>
          <cell r="L84">
            <v>688.87465300000008</v>
          </cell>
          <cell r="M84">
            <v>771.51967100000002</v>
          </cell>
          <cell r="N84">
            <v>861.20474400000001</v>
          </cell>
          <cell r="O84">
            <v>954.78549499999997</v>
          </cell>
          <cell r="P84">
            <v>1050.0117450000002</v>
          </cell>
          <cell r="Q84">
            <v>1145.6387890000001</v>
          </cell>
          <cell r="R84">
            <v>1232.085388</v>
          </cell>
          <cell r="S84">
            <v>1315.1027900000001</v>
          </cell>
          <cell r="T84">
            <v>1389.966394</v>
          </cell>
          <cell r="U84">
            <v>1445.47956</v>
          </cell>
          <cell r="V84">
            <v>1501.725398</v>
          </cell>
          <cell r="W84">
            <v>1548.067501</v>
          </cell>
          <cell r="X84">
            <v>1583.6869720000002</v>
          </cell>
          <cell r="Y84">
            <v>1607.6946459999999</v>
          </cell>
          <cell r="Z84">
            <v>1620.357947</v>
          </cell>
          <cell r="AA84">
            <v>1625.0619939999999</v>
          </cell>
          <cell r="AB84">
            <v>1622.5716869999999</v>
          </cell>
          <cell r="AC84">
            <v>1612.1425300000001</v>
          </cell>
          <cell r="AD84">
            <v>1594.6758070000001</v>
          </cell>
          <cell r="AE84">
            <v>1570.0237350000002</v>
          </cell>
          <cell r="AF84">
            <v>1539.493031</v>
          </cell>
          <cell r="AG84">
            <v>1504.980714</v>
          </cell>
          <cell r="AH84">
            <v>1468.2613040000001</v>
          </cell>
          <cell r="AI84">
            <v>1430.1665859999998</v>
          </cell>
          <cell r="AJ84">
            <v>1391.6079730000001</v>
          </cell>
        </row>
        <row r="85">
          <cell r="C85" t="str">
            <v>Ireland</v>
          </cell>
          <cell r="F85">
            <v>2.8987720000000001</v>
          </cell>
          <cell r="G85">
            <v>2.8952590000000002</v>
          </cell>
          <cell r="H85">
            <v>2.8162389999999999</v>
          </cell>
          <cell r="I85">
            <v>2.8447140000000002</v>
          </cell>
          <cell r="J85">
            <v>2.9266529999999999</v>
          </cell>
          <cell r="K85">
            <v>3.1339760000000001</v>
          </cell>
          <cell r="L85">
            <v>3.3723330000000002</v>
          </cell>
          <cell r="M85">
            <v>3.499266</v>
          </cell>
          <cell r="N85">
            <v>3.4789020000000002</v>
          </cell>
          <cell r="O85">
            <v>3.5663670000000001</v>
          </cell>
          <cell r="P85">
            <v>3.74193</v>
          </cell>
          <cell r="Q85">
            <v>4.0729490000000004</v>
          </cell>
          <cell r="R85">
            <v>4.5143370000000003</v>
          </cell>
          <cell r="S85">
            <v>4.6416019999999998</v>
          </cell>
          <cell r="T85">
            <v>4.9250759999999998</v>
          </cell>
          <cell r="U85">
            <v>5.1245329999999996</v>
          </cell>
          <cell r="V85">
            <v>5.2683540000000004</v>
          </cell>
          <cell r="W85">
            <v>5.4193320000000007</v>
          </cell>
          <cell r="X85">
            <v>5.5822940000000001</v>
          </cell>
          <cell r="Y85">
            <v>5.7524610000000003</v>
          </cell>
          <cell r="Z85">
            <v>5.92236600000001</v>
          </cell>
          <cell r="AA85">
            <v>6.065372</v>
          </cell>
          <cell r="AB85">
            <v>6.1815630000000006</v>
          </cell>
          <cell r="AC85">
            <v>6.2732340000000004</v>
          </cell>
          <cell r="AD85">
            <v>6.3510090000000003</v>
          </cell>
          <cell r="AE85">
            <v>6.4219419999999996</v>
          </cell>
          <cell r="AF85">
            <v>6.4908339999999987</v>
          </cell>
          <cell r="AG85">
            <v>6.5581230000000001</v>
          </cell>
          <cell r="AH85">
            <v>6.6173739999999999</v>
          </cell>
          <cell r="AI85">
            <v>6.6587259999999997</v>
          </cell>
          <cell r="AJ85">
            <v>6.6758740000000003</v>
          </cell>
        </row>
        <row r="86">
          <cell r="C86" t="str">
            <v>Iran</v>
          </cell>
          <cell r="F86">
            <v>16.640746</v>
          </cell>
          <cell r="G86">
            <v>18.649248</v>
          </cell>
          <cell r="H86">
            <v>21.098936000000002</v>
          </cell>
          <cell r="I86">
            <v>24.300594</v>
          </cell>
          <cell r="J86">
            <v>28.039508999999999</v>
          </cell>
          <cell r="K86">
            <v>32.362955999999997</v>
          </cell>
          <cell r="L86">
            <v>37.844572999999997</v>
          </cell>
          <cell r="M86">
            <v>46.445146999999999</v>
          </cell>
          <cell r="N86">
            <v>54.409416</v>
          </cell>
          <cell r="O86">
            <v>60.400745000000001</v>
          </cell>
          <cell r="P86">
            <v>64.979827999999998</v>
          </cell>
          <cell r="Q86">
            <v>69.627418999999989</v>
          </cell>
          <cell r="R86">
            <v>74.833668000000003</v>
          </cell>
          <cell r="S86">
            <v>80.882491000000002</v>
          </cell>
          <cell r="T86">
            <v>86.990161000000001</v>
          </cell>
          <cell r="U86">
            <v>90.692745000000002</v>
          </cell>
          <cell r="V86">
            <v>94.110390000000109</v>
          </cell>
          <cell r="W86">
            <v>96.887016999999901</v>
          </cell>
          <cell r="X86">
            <v>99.196282000000011</v>
          </cell>
          <cell r="Y86">
            <v>101.127318</v>
          </cell>
          <cell r="Z86">
            <v>102.60685600000001</v>
          </cell>
          <cell r="AA86">
            <v>103.547374</v>
          </cell>
          <cell r="AB86">
            <v>103.77647999999999</v>
          </cell>
          <cell r="AC86">
            <v>103.294673</v>
          </cell>
          <cell r="AD86">
            <v>102.219966</v>
          </cell>
          <cell r="AE86">
            <v>100.63302400000001</v>
          </cell>
          <cell r="AF86">
            <v>98.684342999999998</v>
          </cell>
          <cell r="AG86">
            <v>96.601979000000014</v>
          </cell>
          <cell r="AH86">
            <v>94.618494999999996</v>
          </cell>
          <cell r="AI86">
            <v>92.807789000000113</v>
          </cell>
          <cell r="AJ86">
            <v>91.055315000000007</v>
          </cell>
        </row>
        <row r="87">
          <cell r="C87" t="str">
            <v>Iraq</v>
          </cell>
          <cell r="F87">
            <v>5.5966209999999998</v>
          </cell>
          <cell r="G87">
            <v>6.3346419999999997</v>
          </cell>
          <cell r="H87">
            <v>7.0043900000000008</v>
          </cell>
          <cell r="I87">
            <v>8.1308629999999997</v>
          </cell>
          <cell r="J87">
            <v>9.6406720000000004</v>
          </cell>
          <cell r="K87">
            <v>11.428808999999999</v>
          </cell>
          <cell r="L87">
            <v>13.436379000000001</v>
          </cell>
          <cell r="M87">
            <v>15.617793000000001</v>
          </cell>
          <cell r="N87">
            <v>17.700003000000002</v>
          </cell>
          <cell r="O87">
            <v>20.599859000000002</v>
          </cell>
          <cell r="P87">
            <v>24.215225</v>
          </cell>
          <cell r="Q87">
            <v>28.282101000000001</v>
          </cell>
          <cell r="R87">
            <v>30.767146</v>
          </cell>
          <cell r="S87">
            <v>37.264752999999999</v>
          </cell>
          <cell r="T87">
            <v>42.042955999999997</v>
          </cell>
          <cell r="U87">
            <v>47.025375999999994</v>
          </cell>
          <cell r="V87">
            <v>52.081213000000005</v>
          </cell>
          <cell r="W87">
            <v>57.167931999999901</v>
          </cell>
          <cell r="X87">
            <v>62.266854000000002</v>
          </cell>
          <cell r="Y87">
            <v>67.145892000000089</v>
          </cell>
          <cell r="Z87">
            <v>71.655929</v>
          </cell>
          <cell r="AA87">
            <v>75.803426999999999</v>
          </cell>
          <cell r="AB87">
            <v>79.503135999999998</v>
          </cell>
          <cell r="AC87">
            <v>82.659763999999996</v>
          </cell>
          <cell r="AD87">
            <v>85.298441999999994</v>
          </cell>
          <cell r="AE87">
            <v>87.543751</v>
          </cell>
          <cell r="AF87">
            <v>89.419971000000103</v>
          </cell>
          <cell r="AG87">
            <v>90.908005000000102</v>
          </cell>
          <cell r="AH87">
            <v>91.982225000000014</v>
          </cell>
          <cell r="AI87">
            <v>92.648105999999999</v>
          </cell>
          <cell r="AJ87">
            <v>92.929820000000007</v>
          </cell>
        </row>
        <row r="88">
          <cell r="C88" t="str">
            <v>Iceland</v>
          </cell>
          <cell r="F88">
            <v>0.141037</v>
          </cell>
          <cell r="G88">
            <v>0.156023</v>
          </cell>
          <cell r="H88">
            <v>0.173849</v>
          </cell>
          <cell r="I88">
            <v>0.19072800000000001</v>
          </cell>
          <cell r="J88">
            <v>0.204012</v>
          </cell>
          <cell r="K88">
            <v>0.216778</v>
          </cell>
          <cell r="L88">
            <v>0.22706899999999999</v>
          </cell>
          <cell r="M88">
            <v>0.24077400000000002</v>
          </cell>
          <cell r="N88">
            <v>0.25398199999999999</v>
          </cell>
          <cell r="O88">
            <v>0.26718599999999998</v>
          </cell>
          <cell r="P88">
            <v>0.27929599999999999</v>
          </cell>
          <cell r="Q88">
            <v>0.29386700000000004</v>
          </cell>
          <cell r="R88">
            <v>0.31792599999999999</v>
          </cell>
          <cell r="S88">
            <v>0.329351</v>
          </cell>
          <cell r="T88">
            <v>0.36433000000000004</v>
          </cell>
          <cell r="U88">
            <v>0.37654599999999999</v>
          </cell>
          <cell r="V88">
            <v>0.38708699999999996</v>
          </cell>
          <cell r="W88">
            <v>0.39669999999999905</v>
          </cell>
          <cell r="X88">
            <v>0.40524000000000004</v>
          </cell>
          <cell r="Y88">
            <v>0.41289499999999996</v>
          </cell>
          <cell r="Z88">
            <v>0.42022399999999999</v>
          </cell>
          <cell r="AA88">
            <v>0.42653699999999906</v>
          </cell>
          <cell r="AB88">
            <v>0.43224700000000005</v>
          </cell>
          <cell r="AC88">
            <v>0.43740300000000004</v>
          </cell>
          <cell r="AD88">
            <v>0.44189200000000001</v>
          </cell>
          <cell r="AE88">
            <v>0.445573</v>
          </cell>
          <cell r="AF88">
            <v>0.44825400000000004</v>
          </cell>
          <cell r="AG88">
            <v>0.44981899999999997</v>
          </cell>
          <cell r="AH88">
            <v>0.45037099999999902</v>
          </cell>
          <cell r="AI88">
            <v>0.45044799999999996</v>
          </cell>
          <cell r="AJ88">
            <v>0.45074899999999996</v>
          </cell>
        </row>
        <row r="89">
          <cell r="C89" t="str">
            <v>Israel</v>
          </cell>
          <cell r="F89">
            <v>1.2579670000000001</v>
          </cell>
          <cell r="G89">
            <v>1.5353800000000002</v>
          </cell>
          <cell r="H89">
            <v>1.8626750000000001</v>
          </cell>
          <cell r="I89">
            <v>2.3083290000000001</v>
          </cell>
          <cell r="J89">
            <v>2.8509520000000004</v>
          </cell>
          <cell r="K89">
            <v>3.3472849999999998</v>
          </cell>
          <cell r="L89">
            <v>3.709508</v>
          </cell>
          <cell r="M89">
            <v>4.127713</v>
          </cell>
          <cell r="N89">
            <v>4.7336710000000002</v>
          </cell>
          <cell r="O89">
            <v>5.4125780000000008</v>
          </cell>
          <cell r="P89">
            <v>6.0556360000000007</v>
          </cell>
          <cell r="Q89">
            <v>6.6558469999999996</v>
          </cell>
          <cell r="R89">
            <v>7.2626140000000001</v>
          </cell>
          <cell r="S89">
            <v>7.9333309999999999</v>
          </cell>
          <cell r="T89">
            <v>8.6855949999999993</v>
          </cell>
          <cell r="U89">
            <v>9.3716690000000007</v>
          </cell>
          <cell r="V89">
            <v>10.047227000000001</v>
          </cell>
          <cell r="W89">
            <v>10.720463000000001</v>
          </cell>
          <cell r="X89">
            <v>11.417633</v>
          </cell>
          <cell r="Y89">
            <v>12.138389</v>
          </cell>
          <cell r="Z89">
            <v>12.864616999999999</v>
          </cell>
          <cell r="AA89">
            <v>13.575750000000001</v>
          </cell>
          <cell r="AB89">
            <v>14.256941000000001</v>
          </cell>
          <cell r="AC89">
            <v>14.90709</v>
          </cell>
          <cell r="AD89">
            <v>15.537051</v>
          </cell>
          <cell r="AE89">
            <v>16.158643999999999</v>
          </cell>
          <cell r="AF89">
            <v>16.773649000000002</v>
          </cell>
          <cell r="AG89">
            <v>17.377295</v>
          </cell>
          <cell r="AH89">
            <v>17.96332</v>
          </cell>
          <cell r="AI89">
            <v>18.528908000000001</v>
          </cell>
          <cell r="AJ89">
            <v>19.074909000000002</v>
          </cell>
        </row>
        <row r="90">
          <cell r="C90" t="str">
            <v>Italy</v>
          </cell>
          <cell r="F90">
            <v>46.175128999999998</v>
          </cell>
          <cell r="G90">
            <v>47.983453000000004</v>
          </cell>
          <cell r="H90">
            <v>49.380044000000005</v>
          </cell>
          <cell r="I90">
            <v>51.239694999999998</v>
          </cell>
          <cell r="J90">
            <v>53.170620999999997</v>
          </cell>
          <cell r="K90">
            <v>54.938300000000005</v>
          </cell>
          <cell r="L90">
            <v>56.158529999999999</v>
          </cell>
          <cell r="M90">
            <v>56.631745000000002</v>
          </cell>
          <cell r="N90">
            <v>56.733409000000002</v>
          </cell>
          <cell r="O90">
            <v>56.885837000000002</v>
          </cell>
          <cell r="P90">
            <v>56.950733</v>
          </cell>
          <cell r="Q90">
            <v>58.078201999999997</v>
          </cell>
          <cell r="R90">
            <v>59.695934000000001</v>
          </cell>
          <cell r="S90">
            <v>60.297737999999995</v>
          </cell>
          <cell r="T90">
            <v>59.639898000000002</v>
          </cell>
          <cell r="U90">
            <v>58.929315000000003</v>
          </cell>
          <cell r="V90">
            <v>58.185707000000001</v>
          </cell>
          <cell r="W90">
            <v>57.526648000000002</v>
          </cell>
          <cell r="X90">
            <v>56.951566000000099</v>
          </cell>
          <cell r="Y90">
            <v>56.415383999999996</v>
          </cell>
          <cell r="Z90">
            <v>55.883874000000006</v>
          </cell>
          <cell r="AA90">
            <v>55.142851</v>
          </cell>
          <cell r="AB90">
            <v>54.224943000000003</v>
          </cell>
          <cell r="AC90">
            <v>53.187158000000004</v>
          </cell>
          <cell r="AD90">
            <v>52.19509</v>
          </cell>
          <cell r="AE90">
            <v>51.358998</v>
          </cell>
          <cell r="AF90">
            <v>50.687047</v>
          </cell>
          <cell r="AG90">
            <v>50.087421000000006</v>
          </cell>
          <cell r="AH90">
            <v>49.440928999999997</v>
          </cell>
          <cell r="AI90">
            <v>48.679481000000003</v>
          </cell>
          <cell r="AJ90">
            <v>47.781320000000001</v>
          </cell>
        </row>
        <row r="91">
          <cell r="C91" t="str">
            <v>Jamaica</v>
          </cell>
          <cell r="F91">
            <v>1.3853230000000001</v>
          </cell>
          <cell r="G91">
            <v>1.543844</v>
          </cell>
          <cell r="H91">
            <v>1.631192</v>
          </cell>
          <cell r="I91">
            <v>1.7361110000000002</v>
          </cell>
          <cell r="J91">
            <v>1.846209</v>
          </cell>
          <cell r="K91">
            <v>1.989403</v>
          </cell>
          <cell r="L91">
            <v>2.120571</v>
          </cell>
          <cell r="M91">
            <v>2.2790470000000003</v>
          </cell>
          <cell r="N91">
            <v>2.3828800000000001</v>
          </cell>
          <cell r="O91">
            <v>2.4968319999999999</v>
          </cell>
          <cell r="P91">
            <v>2.6054400000000002</v>
          </cell>
          <cell r="Q91">
            <v>2.6706410000000003</v>
          </cell>
          <cell r="R91">
            <v>2.7282630000000001</v>
          </cell>
          <cell r="S91">
            <v>2.7896520000000002</v>
          </cell>
          <cell r="T91">
            <v>2.814476</v>
          </cell>
          <cell r="U91">
            <v>2.8350979999999999</v>
          </cell>
          <cell r="V91">
            <v>2.8543380000000003</v>
          </cell>
          <cell r="W91">
            <v>2.8588149999999999</v>
          </cell>
          <cell r="X91">
            <v>2.847448</v>
          </cell>
          <cell r="Y91">
            <v>2.8199870000000002</v>
          </cell>
          <cell r="Z91">
            <v>2.7793950000000001</v>
          </cell>
          <cell r="AA91">
            <v>2.7278150000000001</v>
          </cell>
          <cell r="AB91">
            <v>2.6681569999999999</v>
          </cell>
          <cell r="AC91">
            <v>2.6054899999999992</v>
          </cell>
          <cell r="AD91">
            <v>2.5362610000000001</v>
          </cell>
          <cell r="AE91">
            <v>2.461506</v>
          </cell>
          <cell r="AF91">
            <v>2.3831149999999992</v>
          </cell>
          <cell r="AG91">
            <v>2.304611</v>
          </cell>
          <cell r="AH91">
            <v>2.229835</v>
          </cell>
          <cell r="AI91">
            <v>2.161781</v>
          </cell>
          <cell r="AJ91">
            <v>2.1012979999999999</v>
          </cell>
        </row>
        <row r="92">
          <cell r="C92" t="str">
            <v>Jordan</v>
          </cell>
          <cell r="F92">
            <v>0.42343799999999998</v>
          </cell>
          <cell r="G92">
            <v>0.60092100000000004</v>
          </cell>
          <cell r="H92">
            <v>0.82555100000000003</v>
          </cell>
          <cell r="I92">
            <v>1.057536</v>
          </cell>
          <cell r="J92">
            <v>1.514802</v>
          </cell>
          <cell r="K92">
            <v>1.857224</v>
          </cell>
          <cell r="L92">
            <v>2.1745500000000004</v>
          </cell>
          <cell r="M92">
            <v>2.6889509999999999</v>
          </cell>
          <cell r="N92">
            <v>3.3913760000000002</v>
          </cell>
          <cell r="O92">
            <v>4.375629</v>
          </cell>
          <cell r="P92">
            <v>5.0034830000000001</v>
          </cell>
          <cell r="Q92">
            <v>5.6059210000000004</v>
          </cell>
          <cell r="R92">
            <v>6.8422039999999997</v>
          </cell>
          <cell r="S92">
            <v>9.1505040000000015</v>
          </cell>
          <cell r="T92">
            <v>10.817082000000001</v>
          </cell>
          <cell r="U92">
            <v>11.892438</v>
          </cell>
          <cell r="V92">
            <v>12.967838</v>
          </cell>
          <cell r="W92">
            <v>14.015562000000001</v>
          </cell>
          <cell r="X92">
            <v>15.003772999999999</v>
          </cell>
          <cell r="Y92">
            <v>15.905055000000001</v>
          </cell>
          <cell r="Z92">
            <v>16.663736</v>
          </cell>
          <cell r="AA92">
            <v>17.291579000000002</v>
          </cell>
          <cell r="AB92">
            <v>17.790983000000001</v>
          </cell>
          <cell r="AC92">
            <v>18.198412000000001</v>
          </cell>
          <cell r="AD92">
            <v>18.527529999999999</v>
          </cell>
          <cell r="AE92">
            <v>18.781766999999999</v>
          </cell>
          <cell r="AF92">
            <v>18.934908</v>
          </cell>
          <cell r="AG92">
            <v>18.994043000000001</v>
          </cell>
          <cell r="AH92">
            <v>18.964060000000003</v>
          </cell>
          <cell r="AI92">
            <v>18.864547999999999</v>
          </cell>
          <cell r="AJ92">
            <v>18.708034000000001</v>
          </cell>
        </row>
        <row r="93">
          <cell r="C93" t="str">
            <v>Japan</v>
          </cell>
          <cell r="F93">
            <v>83.65626300000001</v>
          </cell>
          <cell r="G93">
            <v>89.598169999999996</v>
          </cell>
          <cell r="H93">
            <v>94.023981000000006</v>
          </cell>
          <cell r="I93">
            <v>98.87581200000001</v>
          </cell>
          <cell r="J93">
            <v>104.749167</v>
          </cell>
          <cell r="K93">
            <v>111.78771400000001</v>
          </cell>
          <cell r="L93">
            <v>117.220838</v>
          </cell>
          <cell r="M93">
            <v>120.806342</v>
          </cell>
          <cell r="N93">
            <v>123.493572</v>
          </cell>
          <cell r="O93">
            <v>125.29985400000001</v>
          </cell>
          <cell r="P93">
            <v>126.66495200000001</v>
          </cell>
          <cell r="Q93">
            <v>127.75268200000001</v>
          </cell>
          <cell r="R93">
            <v>128.13139999999999</v>
          </cell>
          <cell r="S93">
            <v>127.367946</v>
          </cell>
          <cell r="T93">
            <v>125.542768</v>
          </cell>
          <cell r="U93">
            <v>122.47277099999999</v>
          </cell>
          <cell r="V93">
            <v>119.34780499999999</v>
          </cell>
          <cell r="W93">
            <v>116.05067600000001</v>
          </cell>
          <cell r="X93">
            <v>112.665705</v>
          </cell>
          <cell r="Y93">
            <v>109.26297599999999</v>
          </cell>
          <cell r="Z93">
            <v>105.98169500000002</v>
          </cell>
          <cell r="AA93">
            <v>102.852048</v>
          </cell>
          <cell r="AB93">
            <v>99.733629000000008</v>
          </cell>
          <cell r="AC93">
            <v>96.439990999999992</v>
          </cell>
          <cell r="AD93">
            <v>92.954798999999994</v>
          </cell>
          <cell r="AE93">
            <v>89.435693999999998</v>
          </cell>
          <cell r="AF93">
            <v>86.148307999999901</v>
          </cell>
          <cell r="AG93">
            <v>83.172694000000007</v>
          </cell>
          <cell r="AH93">
            <v>80.412157000000008</v>
          </cell>
          <cell r="AI93">
            <v>77.734791999999999</v>
          </cell>
          <cell r="AJ93">
            <v>75.040899999999993</v>
          </cell>
        </row>
        <row r="94">
          <cell r="C94" t="str">
            <v>Kazakhstan</v>
          </cell>
          <cell r="F94">
            <v>6.5408309999999998</v>
          </cell>
          <cell r="G94">
            <v>7.7300330000000006</v>
          </cell>
          <cell r="H94">
            <v>9.1596860000000007</v>
          </cell>
          <cell r="I94">
            <v>10.745394000000001</v>
          </cell>
          <cell r="J94">
            <v>12.16647</v>
          </cell>
          <cell r="K94">
            <v>13.064483000000001</v>
          </cell>
          <cell r="L94">
            <v>14.063103999999999</v>
          </cell>
          <cell r="M94">
            <v>15.27914</v>
          </cell>
          <cell r="N94">
            <v>16.798672</v>
          </cell>
          <cell r="O94">
            <v>16.568612000000002</v>
          </cell>
          <cell r="P94">
            <v>15.216405000000002</v>
          </cell>
          <cell r="Q94">
            <v>15.581877</v>
          </cell>
          <cell r="R94">
            <v>16.509098000000002</v>
          </cell>
          <cell r="S94">
            <v>17.715600999999999</v>
          </cell>
          <cell r="T94">
            <v>18.861057000000002</v>
          </cell>
          <cell r="U94">
            <v>19.790316000000001</v>
          </cell>
          <cell r="V94">
            <v>20.637039000000001</v>
          </cell>
          <cell r="W94">
            <v>21.383288</v>
          </cell>
          <cell r="X94">
            <v>22.091892000000001</v>
          </cell>
          <cell r="Y94">
            <v>22.758026000000001</v>
          </cell>
          <cell r="Z94">
            <v>23.345916000000003</v>
          </cell>
          <cell r="AA94">
            <v>23.80198</v>
          </cell>
          <cell r="AB94">
            <v>24.089312000000003</v>
          </cell>
          <cell r="AC94">
            <v>24.280133000000003</v>
          </cell>
          <cell r="AD94">
            <v>24.430649000000003</v>
          </cell>
          <cell r="AE94">
            <v>24.565841000000002</v>
          </cell>
          <cell r="AF94">
            <v>24.695178000000002</v>
          </cell>
          <cell r="AG94">
            <v>24.809450000000002</v>
          </cell>
          <cell r="AH94">
            <v>24.902152999999998</v>
          </cell>
          <cell r="AI94">
            <v>24.960043000000002</v>
          </cell>
          <cell r="AJ94">
            <v>24.968828000000002</v>
          </cell>
        </row>
        <row r="95">
          <cell r="C95" t="str">
            <v>Kenya</v>
          </cell>
          <cell r="F95">
            <v>5.7116740000000004</v>
          </cell>
          <cell r="G95">
            <v>6.46082</v>
          </cell>
          <cell r="H95">
            <v>7.6087870000000004</v>
          </cell>
          <cell r="I95">
            <v>9.2266720000000095</v>
          </cell>
          <cell r="J95">
            <v>11.256015</v>
          </cell>
          <cell r="K95">
            <v>13.426138999999999</v>
          </cell>
          <cell r="L95">
            <v>15.894216</v>
          </cell>
          <cell r="M95">
            <v>19.098522000000003</v>
          </cell>
          <cell r="N95">
            <v>22.771593000000003</v>
          </cell>
          <cell r="O95">
            <v>26.511748000000001</v>
          </cell>
          <cell r="P95">
            <v>30.397514000000001</v>
          </cell>
          <cell r="Q95">
            <v>35.314084999999999</v>
          </cell>
          <cell r="R95">
            <v>40.950114999999997</v>
          </cell>
          <cell r="S95">
            <v>46.345992000000003</v>
          </cell>
          <cell r="T95">
            <v>51.460216000000003</v>
          </cell>
          <cell r="U95">
            <v>56.832554999999999</v>
          </cell>
          <cell r="V95">
            <v>62.459707999999999</v>
          </cell>
          <cell r="W95">
            <v>68.057020999999992</v>
          </cell>
          <cell r="X95">
            <v>73.418141000000105</v>
          </cell>
          <cell r="Y95">
            <v>78.424498999999997</v>
          </cell>
          <cell r="Z95">
            <v>83.049672999999999</v>
          </cell>
          <cell r="AA95">
            <v>87.115551000000011</v>
          </cell>
          <cell r="AB95">
            <v>90.686869999999999</v>
          </cell>
          <cell r="AC95">
            <v>93.561948000000001</v>
          </cell>
          <cell r="AD95">
            <v>95.75439200000001</v>
          </cell>
          <cell r="AE95">
            <v>97.38586500000001</v>
          </cell>
          <cell r="AF95">
            <v>98.567962000000009</v>
          </cell>
          <cell r="AG95">
            <v>99.337160999999995</v>
          </cell>
          <cell r="AH95">
            <v>99.692597000000092</v>
          </cell>
          <cell r="AI95">
            <v>99.585035999999903</v>
          </cell>
          <cell r="AJ95">
            <v>99.073994999999996</v>
          </cell>
        </row>
        <row r="96">
          <cell r="C96" t="str">
            <v>Kyrgyzstan</v>
          </cell>
          <cell r="F96">
            <v>1.733066</v>
          </cell>
          <cell r="G96">
            <v>1.923224</v>
          </cell>
          <cell r="H96">
            <v>2.1813670000000003</v>
          </cell>
          <cell r="I96">
            <v>2.5738539999999999</v>
          </cell>
          <cell r="J96">
            <v>2.978561</v>
          </cell>
          <cell r="K96">
            <v>3.3221850000000002</v>
          </cell>
          <cell r="L96">
            <v>3.6550949999999998</v>
          </cell>
          <cell r="M96">
            <v>4.0311970000000006</v>
          </cell>
          <cell r="N96">
            <v>4.3642079999999996</v>
          </cell>
          <cell r="O96">
            <v>4.5621130000000001</v>
          </cell>
          <cell r="P96">
            <v>4.9113999999999995</v>
          </cell>
          <cell r="Q96">
            <v>5.1668860000000008</v>
          </cell>
          <cell r="R96">
            <v>5.452642</v>
          </cell>
          <cell r="S96">
            <v>5.8638509999999995</v>
          </cell>
          <cell r="T96">
            <v>6.3723329999999994</v>
          </cell>
          <cell r="U96">
            <v>6.8974070000000003</v>
          </cell>
          <cell r="V96">
            <v>7.3730039999999999</v>
          </cell>
          <cell r="W96">
            <v>7.8153580000000007</v>
          </cell>
          <cell r="X96">
            <v>8.2446169999999999</v>
          </cell>
          <cell r="Y96">
            <v>8.6521209999999993</v>
          </cell>
          <cell r="Z96">
            <v>9.0031060000000114</v>
          </cell>
          <cell r="AA96">
            <v>9.2864920000000097</v>
          </cell>
          <cell r="AB96">
            <v>9.5000260000000001</v>
          </cell>
          <cell r="AC96">
            <v>9.6620430000000006</v>
          </cell>
          <cell r="AD96">
            <v>9.793302999999991</v>
          </cell>
          <cell r="AE96">
            <v>9.8997589999999995</v>
          </cell>
          <cell r="AF96">
            <v>9.9788150000000098</v>
          </cell>
          <cell r="AG96">
            <v>10.035615</v>
          </cell>
          <cell r="AH96">
            <v>10.067414000000001</v>
          </cell>
          <cell r="AI96">
            <v>10.081246999999999</v>
          </cell>
          <cell r="AJ96">
            <v>10.07531</v>
          </cell>
        </row>
        <row r="97">
          <cell r="C97" t="str">
            <v>Cambodia</v>
          </cell>
          <cell r="F97">
            <v>4.3285100000000005</v>
          </cell>
          <cell r="G97">
            <v>4.8718519999999996</v>
          </cell>
          <cell r="H97">
            <v>5.4802969999999993</v>
          </cell>
          <cell r="I97">
            <v>6.1057899999999998</v>
          </cell>
          <cell r="J97">
            <v>6.7432929999999995</v>
          </cell>
          <cell r="K97">
            <v>6.9357839999999999</v>
          </cell>
          <cell r="L97">
            <v>6.1674420000000003</v>
          </cell>
          <cell r="M97">
            <v>7.2448040000000002</v>
          </cell>
          <cell r="N97">
            <v>8.738233000000001</v>
          </cell>
          <cell r="O97">
            <v>10.786695</v>
          </cell>
          <cell r="P97">
            <v>12.010133</v>
          </cell>
          <cell r="Q97">
            <v>13.132042</v>
          </cell>
          <cell r="R97">
            <v>14.258852000000001</v>
          </cell>
          <cell r="S97">
            <v>15.315991</v>
          </cell>
          <cell r="T97">
            <v>16.296272999999999</v>
          </cell>
          <cell r="U97">
            <v>17.300449</v>
          </cell>
          <cell r="V97">
            <v>18.197945000000001</v>
          </cell>
          <cell r="W97">
            <v>18.977511</v>
          </cell>
          <cell r="X97">
            <v>19.616709</v>
          </cell>
          <cell r="Y97">
            <v>20.075758999999998</v>
          </cell>
          <cell r="Z97">
            <v>20.392742999999999</v>
          </cell>
          <cell r="AA97">
            <v>20.602701</v>
          </cell>
          <cell r="AB97">
            <v>20.720372000000001</v>
          </cell>
          <cell r="AC97">
            <v>20.742695999999999</v>
          </cell>
          <cell r="AD97">
            <v>20.651101000000001</v>
          </cell>
          <cell r="AE97">
            <v>20.447703000000001</v>
          </cell>
          <cell r="AF97">
            <v>20.158902999999999</v>
          </cell>
          <cell r="AG97">
            <v>19.817534999999999</v>
          </cell>
          <cell r="AH97">
            <v>19.436076</v>
          </cell>
          <cell r="AI97">
            <v>19.002905999999999</v>
          </cell>
          <cell r="AJ97">
            <v>18.518885999999998</v>
          </cell>
        </row>
        <row r="98">
          <cell r="C98" t="str">
            <v>Kiribati</v>
          </cell>
          <cell r="F98">
            <v>3.7463000000000003E-2</v>
          </cell>
          <cell r="G98">
            <v>4.1549999999999997E-2</v>
          </cell>
          <cell r="H98">
            <v>4.6518999999999998E-2</v>
          </cell>
          <cell r="I98">
            <v>5.2755000000000003E-2</v>
          </cell>
          <cell r="J98">
            <v>5.6882000000000002E-2</v>
          </cell>
          <cell r="K98">
            <v>6.0844000000000002E-2</v>
          </cell>
          <cell r="L98">
            <v>6.0292000000000005E-2</v>
          </cell>
          <cell r="M98">
            <v>6.5971000000000002E-2</v>
          </cell>
          <cell r="N98">
            <v>7.4317999999999995E-2</v>
          </cell>
          <cell r="O98">
            <v>8.0851000000000006E-2</v>
          </cell>
          <cell r="P98">
            <v>8.8033E-2</v>
          </cell>
          <cell r="Q98">
            <v>9.7200000000000009E-2</v>
          </cell>
          <cell r="R98">
            <v>0.107017</v>
          </cell>
          <cell r="S98">
            <v>0.115815</v>
          </cell>
          <cell r="T98">
            <v>0.12525799999999901</v>
          </cell>
          <cell r="U98">
            <v>0.13609100000000002</v>
          </cell>
          <cell r="V98">
            <v>0.14562799999999901</v>
          </cell>
          <cell r="W98">
            <v>0.15367400000000001</v>
          </cell>
          <cell r="X98">
            <v>0.160804</v>
          </cell>
          <cell r="Y98">
            <v>0.167629</v>
          </cell>
          <cell r="Z98">
            <v>0.17353499999999999</v>
          </cell>
          <cell r="AA98">
            <v>0.178007</v>
          </cell>
          <cell r="AB98">
            <v>0.180535</v>
          </cell>
          <cell r="AC98">
            <v>0.18165199999999901</v>
          </cell>
          <cell r="AD98">
            <v>0.182005</v>
          </cell>
          <cell r="AE98">
            <v>0.182065</v>
          </cell>
          <cell r="AF98">
            <v>0.18188699999999999</v>
          </cell>
          <cell r="AG98">
            <v>0.18132599999999999</v>
          </cell>
          <cell r="AH98">
            <v>0.17998699999999998</v>
          </cell>
          <cell r="AI98">
            <v>0.177896</v>
          </cell>
          <cell r="AJ98">
            <v>0.17533299999999999</v>
          </cell>
        </row>
        <row r="99">
          <cell r="C99" t="str">
            <v>South Korea</v>
          </cell>
          <cell r="F99">
            <v>20.160298999999998</v>
          </cell>
          <cell r="G99">
            <v>21.741655999999999</v>
          </cell>
          <cell r="H99">
            <v>25.428038000000001</v>
          </cell>
          <cell r="I99">
            <v>28.871478</v>
          </cell>
          <cell r="J99">
            <v>32.256857000000004</v>
          </cell>
          <cell r="K99">
            <v>35.641642999999995</v>
          </cell>
          <cell r="L99">
            <v>37.945569000000006</v>
          </cell>
          <cell r="M99">
            <v>40.959693000000001</v>
          </cell>
          <cell r="N99">
            <v>43.856929999999998</v>
          </cell>
          <cell r="O99">
            <v>45.281576999999999</v>
          </cell>
          <cell r="P99">
            <v>46.650078000000001</v>
          </cell>
          <cell r="Q99">
            <v>47.813953999999995</v>
          </cell>
          <cell r="R99">
            <v>48.686484</v>
          </cell>
          <cell r="S99">
            <v>50.787841999999998</v>
          </cell>
          <cell r="T99">
            <v>51.858125000000001</v>
          </cell>
          <cell r="U99">
            <v>51.500459000000006</v>
          </cell>
          <cell r="V99">
            <v>50.981532000000001</v>
          </cell>
          <cell r="W99">
            <v>50.254042999999996</v>
          </cell>
          <cell r="X99">
            <v>49.226523999999998</v>
          </cell>
          <cell r="Y99">
            <v>47.921756000000002</v>
          </cell>
          <cell r="Z99">
            <v>46.463411000000001</v>
          </cell>
          <cell r="AA99">
            <v>44.617119000000002</v>
          </cell>
          <cell r="AB99">
            <v>42.474593999999996</v>
          </cell>
          <cell r="AC99">
            <v>40.270927000000007</v>
          </cell>
          <cell r="AD99">
            <v>38.152461000000002</v>
          </cell>
          <cell r="AE99">
            <v>36.148125999999998</v>
          </cell>
          <cell r="AF99">
            <v>34.250874000000003</v>
          </cell>
          <cell r="AG99">
            <v>32.468224999999997</v>
          </cell>
          <cell r="AH99">
            <v>30.747902999999997</v>
          </cell>
          <cell r="AI99">
            <v>29.069959000000001</v>
          </cell>
          <cell r="AJ99">
            <v>27.507702000000002</v>
          </cell>
        </row>
        <row r="100">
          <cell r="C100" t="str">
            <v>Kuwait</v>
          </cell>
          <cell r="F100">
            <v>0.15176300000000001</v>
          </cell>
          <cell r="G100">
            <v>0.17347000000000001</v>
          </cell>
          <cell r="H100">
            <v>0.28931499999999999</v>
          </cell>
          <cell r="I100">
            <v>0.48901</v>
          </cell>
          <cell r="J100">
            <v>0.77408299999999997</v>
          </cell>
          <cell r="K100">
            <v>1.0613910000000002</v>
          </cell>
          <cell r="L100">
            <v>1.453859</v>
          </cell>
          <cell r="M100">
            <v>1.849586</v>
          </cell>
          <cell r="N100">
            <v>2.2508510000000004</v>
          </cell>
          <cell r="O100">
            <v>1.6362129999999999</v>
          </cell>
          <cell r="P100">
            <v>1.9062970000000001</v>
          </cell>
          <cell r="Q100">
            <v>2.1788350000000003</v>
          </cell>
          <cell r="R100">
            <v>2.8679290000000002</v>
          </cell>
          <cell r="S100">
            <v>3.7505920000000001</v>
          </cell>
          <cell r="T100">
            <v>4.4683609999999998</v>
          </cell>
          <cell r="U100">
            <v>4.735506</v>
          </cell>
          <cell r="V100">
            <v>4.9650970000000001</v>
          </cell>
          <cell r="W100">
            <v>5.1675620000000002</v>
          </cell>
          <cell r="X100">
            <v>5.3493890000000004</v>
          </cell>
          <cell r="Y100">
            <v>5.5016069999999999</v>
          </cell>
          <cell r="Z100">
            <v>5.6084420000000001</v>
          </cell>
          <cell r="AA100">
            <v>5.6605290000000004</v>
          </cell>
          <cell r="AB100">
            <v>5.661994</v>
          </cell>
          <cell r="AC100">
            <v>5.6147369999999999</v>
          </cell>
          <cell r="AD100">
            <v>5.543323</v>
          </cell>
          <cell r="AE100">
            <v>5.4691610000000015</v>
          </cell>
          <cell r="AF100">
            <v>5.4056809999999986</v>
          </cell>
          <cell r="AG100">
            <v>5.3534600000000001</v>
          </cell>
          <cell r="AH100">
            <v>5.3001149999999999</v>
          </cell>
          <cell r="AI100">
            <v>5.2288790000000001</v>
          </cell>
          <cell r="AJ100">
            <v>5.1271469999999999</v>
          </cell>
        </row>
        <row r="101">
          <cell r="C101" t="str">
            <v>Laos</v>
          </cell>
          <cell r="F101">
            <v>1.6641730000000001</v>
          </cell>
          <cell r="G101">
            <v>1.8715889999999999</v>
          </cell>
          <cell r="H101">
            <v>2.0985800000000001</v>
          </cell>
          <cell r="I101">
            <v>2.35202</v>
          </cell>
          <cell r="J101">
            <v>2.6431060000000004</v>
          </cell>
          <cell r="K101">
            <v>2.981217</v>
          </cell>
          <cell r="L101">
            <v>3.2631840000000003</v>
          </cell>
          <cell r="M101">
            <v>3.6894430000000003</v>
          </cell>
          <cell r="N101">
            <v>4.2535190000000007</v>
          </cell>
          <cell r="O101">
            <v>4.8684380000000003</v>
          </cell>
          <cell r="P101">
            <v>5.3859409999999999</v>
          </cell>
          <cell r="Q101">
            <v>5.8067590000000004</v>
          </cell>
          <cell r="R101">
            <v>6.2768269999999999</v>
          </cell>
          <cell r="S101">
            <v>6.736389</v>
          </cell>
          <cell r="T101">
            <v>7.2656490000000007</v>
          </cell>
          <cell r="U101">
            <v>7.7677370000000003</v>
          </cell>
          <cell r="V101">
            <v>8.2165660000000003</v>
          </cell>
          <cell r="W101">
            <v>8.6022200000000097</v>
          </cell>
          <cell r="X101">
            <v>8.9212030000000002</v>
          </cell>
          <cell r="Y101">
            <v>9.1641360000000009</v>
          </cell>
          <cell r="Z101">
            <v>9.3282060000000087</v>
          </cell>
          <cell r="AA101">
            <v>9.4310810000000007</v>
          </cell>
          <cell r="AB101">
            <v>9.479364000000011</v>
          </cell>
          <cell r="AC101">
            <v>9.4760759999999991</v>
          </cell>
          <cell r="AD101">
            <v>9.42699</v>
          </cell>
          <cell r="AE101">
            <v>9.3388670000000005</v>
          </cell>
          <cell r="AF101">
            <v>9.2215560000000014</v>
          </cell>
          <cell r="AG101">
            <v>9.0807850000000006</v>
          </cell>
          <cell r="AH101">
            <v>8.9278659999999999</v>
          </cell>
          <cell r="AI101">
            <v>8.7669630000000112</v>
          </cell>
          <cell r="AJ101">
            <v>8.5993510000000004</v>
          </cell>
        </row>
        <row r="102">
          <cell r="C102" t="str">
            <v>Lebanon</v>
          </cell>
          <cell r="F102">
            <v>1.330552</v>
          </cell>
          <cell r="G102">
            <v>1.534049</v>
          </cell>
          <cell r="H102">
            <v>1.7720089999999999</v>
          </cell>
          <cell r="I102">
            <v>2.0593629999999998</v>
          </cell>
          <cell r="J102">
            <v>2.3537020000000002</v>
          </cell>
          <cell r="K102">
            <v>2.6636160000000002</v>
          </cell>
          <cell r="L102">
            <v>2.9314679999999997</v>
          </cell>
          <cell r="M102">
            <v>3.1948919999999998</v>
          </cell>
          <cell r="N102">
            <v>3.5610369999999998</v>
          </cell>
          <cell r="O102">
            <v>3.9224019999999999</v>
          </cell>
          <cell r="P102">
            <v>4.2859639999999999</v>
          </cell>
          <cell r="Q102">
            <v>4.6102319999999999</v>
          </cell>
          <cell r="R102">
            <v>4.9823870000000001</v>
          </cell>
          <cell r="S102">
            <v>6.4667560000000002</v>
          </cell>
          <cell r="T102">
            <v>5.694528</v>
          </cell>
          <cell r="U102">
            <v>5.9394100000000103</v>
          </cell>
          <cell r="V102">
            <v>6.2375389999999999</v>
          </cell>
          <cell r="W102">
            <v>6.5117990000000097</v>
          </cell>
          <cell r="X102">
            <v>6.7546790000000003</v>
          </cell>
          <cell r="Y102">
            <v>6.9621580000000005</v>
          </cell>
          <cell r="Z102">
            <v>7.12303</v>
          </cell>
          <cell r="AA102">
            <v>7.2380740000000099</v>
          </cell>
          <cell r="AB102">
            <v>7.3251090000000003</v>
          </cell>
          <cell r="AC102">
            <v>7.3894930000000008</v>
          </cell>
          <cell r="AD102">
            <v>7.4363670000000006</v>
          </cell>
          <cell r="AE102">
            <v>7.4571860000000001</v>
          </cell>
          <cell r="AF102">
            <v>7.4509730000000101</v>
          </cell>
          <cell r="AG102">
            <v>7.4112090000000004</v>
          </cell>
          <cell r="AH102">
            <v>7.3372700000000002</v>
          </cell>
          <cell r="AI102">
            <v>7.2326379999999997</v>
          </cell>
          <cell r="AJ102">
            <v>7.1023160000000001</v>
          </cell>
        </row>
        <row r="103">
          <cell r="C103" t="str">
            <v>Liberia</v>
          </cell>
          <cell r="F103">
            <v>0.90745799999999999</v>
          </cell>
          <cell r="G103">
            <v>1.0026040000000001</v>
          </cell>
          <cell r="H103">
            <v>1.123321</v>
          </cell>
          <cell r="I103">
            <v>1.2709480000000002</v>
          </cell>
          <cell r="J103">
            <v>1.4444810000000001</v>
          </cell>
          <cell r="K103">
            <v>1.6484920000000001</v>
          </cell>
          <cell r="L103">
            <v>1.9034040000000001</v>
          </cell>
          <cell r="M103">
            <v>2.2068460000000001</v>
          </cell>
          <cell r="N103">
            <v>2.5417010000000002</v>
          </cell>
          <cell r="O103">
            <v>2.089394</v>
          </cell>
          <cell r="P103">
            <v>2.8551540000000002</v>
          </cell>
          <cell r="Q103">
            <v>3.1677440000000003</v>
          </cell>
          <cell r="R103">
            <v>3.961935</v>
          </cell>
          <cell r="S103">
            <v>4.5633299999999997</v>
          </cell>
          <cell r="T103">
            <v>5.034186</v>
          </cell>
          <cell r="U103">
            <v>5.6531000000000002</v>
          </cell>
          <cell r="V103">
            <v>6.3047749999999994</v>
          </cell>
          <cell r="W103">
            <v>6.9670729999999903</v>
          </cell>
          <cell r="X103">
            <v>7.620953000000001</v>
          </cell>
          <cell r="Y103">
            <v>8.2488480000000113</v>
          </cell>
          <cell r="Z103">
            <v>8.8334840000000003</v>
          </cell>
          <cell r="AA103">
            <v>9.3754480000000004</v>
          </cell>
          <cell r="AB103">
            <v>9.8589800000000114</v>
          </cell>
          <cell r="AC103">
            <v>10.290922</v>
          </cell>
          <cell r="AD103">
            <v>10.645558999999999</v>
          </cell>
          <cell r="AE103">
            <v>10.925799000000001</v>
          </cell>
          <cell r="AF103">
            <v>11.130329</v>
          </cell>
          <cell r="AG103">
            <v>11.276877000000001</v>
          </cell>
          <cell r="AH103">
            <v>11.365860000000001</v>
          </cell>
          <cell r="AI103">
            <v>11.404021</v>
          </cell>
          <cell r="AJ103">
            <v>11.397480999999999</v>
          </cell>
        </row>
        <row r="104">
          <cell r="C104" t="str">
            <v>Libya</v>
          </cell>
          <cell r="F104">
            <v>1.125232</v>
          </cell>
          <cell r="G104">
            <v>1.209792</v>
          </cell>
          <cell r="H104">
            <v>1.4022140000000001</v>
          </cell>
          <cell r="I104">
            <v>1.6792400000000001</v>
          </cell>
          <cell r="J104">
            <v>1.8852550000000001</v>
          </cell>
          <cell r="K104">
            <v>2.2324310000000001</v>
          </cell>
          <cell r="L104">
            <v>2.888944</v>
          </cell>
          <cell r="M104">
            <v>3.6252890000000004</v>
          </cell>
          <cell r="N104">
            <v>4.1839510000000004</v>
          </cell>
          <cell r="O104">
            <v>4.6883670000000004</v>
          </cell>
          <cell r="P104">
            <v>5.0963900000000004</v>
          </cell>
          <cell r="Q104">
            <v>5.7618540000000005</v>
          </cell>
          <cell r="R104">
            <v>6.4253749999999998</v>
          </cell>
          <cell r="S104">
            <v>6.1471629999999999</v>
          </cell>
          <cell r="T104">
            <v>6.6120200000000002</v>
          </cell>
          <cell r="U104">
            <v>7.0420069999999999</v>
          </cell>
          <cell r="V104">
            <v>7.4592529999999986</v>
          </cell>
          <cell r="W104">
            <v>7.8592850000000096</v>
          </cell>
          <cell r="X104">
            <v>8.246988</v>
          </cell>
          <cell r="Y104">
            <v>8.5940159999999999</v>
          </cell>
          <cell r="Z104">
            <v>8.8711400000000005</v>
          </cell>
          <cell r="AA104">
            <v>9.073917999999999</v>
          </cell>
          <cell r="AB104">
            <v>9.2232500000000002</v>
          </cell>
          <cell r="AC104">
            <v>9.3395859999999988</v>
          </cell>
          <cell r="AD104">
            <v>9.4323960000000007</v>
          </cell>
          <cell r="AE104">
            <v>9.510197999999999</v>
          </cell>
          <cell r="AF104">
            <v>9.566199000000001</v>
          </cell>
          <cell r="AG104">
            <v>9.5965760000000095</v>
          </cell>
          <cell r="AH104">
            <v>9.600645000000009</v>
          </cell>
          <cell r="AI104">
            <v>9.5794069999999998</v>
          </cell>
          <cell r="AJ104">
            <v>9.5303810000000091</v>
          </cell>
        </row>
        <row r="105">
          <cell r="C105" t="str">
            <v>Saint Lucia</v>
          </cell>
          <cell r="F105">
            <v>8.6188000000000001E-2</v>
          </cell>
          <cell r="G105">
            <v>8.8252999999999998E-2</v>
          </cell>
          <cell r="H105">
            <v>9.0994000000000005E-2</v>
          </cell>
          <cell r="I105">
            <v>9.648000000000001E-2</v>
          </cell>
          <cell r="J105">
            <v>0.102238</v>
          </cell>
          <cell r="K105">
            <v>0.11054699999999999</v>
          </cell>
          <cell r="L105">
            <v>0.120505</v>
          </cell>
          <cell r="M105">
            <v>0.13169900000000001</v>
          </cell>
          <cell r="N105">
            <v>0.14133799999999999</v>
          </cell>
          <cell r="O105">
            <v>0.15149899999999999</v>
          </cell>
          <cell r="P105">
            <v>0.158968</v>
          </cell>
          <cell r="Q105">
            <v>0.164829</v>
          </cell>
          <cell r="R105">
            <v>0.170262</v>
          </cell>
          <cell r="S105">
            <v>0.17521500000000001</v>
          </cell>
          <cell r="T105">
            <v>0.17891800000000002</v>
          </cell>
          <cell r="U105">
            <v>0.180781</v>
          </cell>
          <cell r="V105">
            <v>0.18291100000000002</v>
          </cell>
          <cell r="W105">
            <v>0.18405299999999999</v>
          </cell>
          <cell r="X105">
            <v>0.184083</v>
          </cell>
          <cell r="Y105">
            <v>0.18318299999999901</v>
          </cell>
          <cell r="Z105">
            <v>0.18156000000000003</v>
          </cell>
          <cell r="AA105">
            <v>0.17938599999999999</v>
          </cell>
          <cell r="AB105">
            <v>0.176792</v>
          </cell>
          <cell r="AC105">
            <v>0.173845</v>
          </cell>
          <cell r="AD105">
            <v>0.170457</v>
          </cell>
          <cell r="AE105">
            <v>0.16669299999999998</v>
          </cell>
          <cell r="AF105">
            <v>0.162576</v>
          </cell>
          <cell r="AG105">
            <v>0.15823199999999998</v>
          </cell>
          <cell r="AH105">
            <v>0.153862</v>
          </cell>
          <cell r="AI105">
            <v>0.14966399999999999</v>
          </cell>
          <cell r="AJ105">
            <v>0.145727</v>
          </cell>
        </row>
        <row r="106">
          <cell r="C106" t="str">
            <v>Sri Lanka</v>
          </cell>
          <cell r="F106">
            <v>7.8755310000000005</v>
          </cell>
          <cell r="G106">
            <v>8.6607800000000008</v>
          </cell>
          <cell r="H106">
            <v>9.6654940000000007</v>
          </cell>
          <cell r="I106">
            <v>10.903720999999999</v>
          </cell>
          <cell r="J106">
            <v>12.254084000000001</v>
          </cell>
          <cell r="K106">
            <v>13.540143</v>
          </cell>
          <cell r="L106">
            <v>14.814512000000001</v>
          </cell>
          <cell r="M106">
            <v>15.980717</v>
          </cell>
          <cell r="N106">
            <v>17.095925000000001</v>
          </cell>
          <cell r="O106">
            <v>18.100249000000002</v>
          </cell>
          <cell r="P106">
            <v>18.727357000000001</v>
          </cell>
          <cell r="Q106">
            <v>19.580750000000002</v>
          </cell>
          <cell r="R106">
            <v>20.576546999999998</v>
          </cell>
          <cell r="S106">
            <v>21.290778</v>
          </cell>
          <cell r="T106">
            <v>21.683157999999999</v>
          </cell>
          <cell r="U106">
            <v>22.224185000000002</v>
          </cell>
          <cell r="V106">
            <v>22.625437999999999</v>
          </cell>
          <cell r="W106">
            <v>22.925747999999999</v>
          </cell>
          <cell r="X106">
            <v>23.130818000000001</v>
          </cell>
          <cell r="Y106">
            <v>23.215761999999998</v>
          </cell>
          <cell r="Z106">
            <v>23.182130000000001</v>
          </cell>
          <cell r="AA106">
            <v>23.056777</v>
          </cell>
          <cell r="AB106">
            <v>22.870563999999998</v>
          </cell>
          <cell r="AC106">
            <v>22.648330000000001</v>
          </cell>
          <cell r="AD106">
            <v>22.400952</v>
          </cell>
          <cell r="AE106">
            <v>22.112798999999999</v>
          </cell>
          <cell r="AF106">
            <v>21.787123000000001</v>
          </cell>
          <cell r="AG106">
            <v>21.436008999999999</v>
          </cell>
          <cell r="AH106">
            <v>21.058246</v>
          </cell>
          <cell r="AI106">
            <v>20.657308</v>
          </cell>
          <cell r="AJ106">
            <v>20.234737000000003</v>
          </cell>
        </row>
        <row r="107">
          <cell r="C107" t="str">
            <v>Lesotho</v>
          </cell>
          <cell r="F107">
            <v>0.57445500000000005</v>
          </cell>
          <cell r="G107">
            <v>0.63404399999999994</v>
          </cell>
          <cell r="H107">
            <v>0.72649900000000001</v>
          </cell>
          <cell r="I107">
            <v>0.84690300000000007</v>
          </cell>
          <cell r="J107">
            <v>1.005533</v>
          </cell>
          <cell r="K107">
            <v>1.1956310000000001</v>
          </cell>
          <cell r="L107">
            <v>1.38805</v>
          </cell>
          <cell r="M107">
            <v>1.594964</v>
          </cell>
          <cell r="N107">
            <v>1.7834390000000002</v>
          </cell>
          <cell r="O107">
            <v>1.9228779999999999</v>
          </cell>
          <cell r="P107">
            <v>1.997449</v>
          </cell>
          <cell r="Q107">
            <v>1.9806400000000002</v>
          </cell>
          <cell r="R107">
            <v>2.015889</v>
          </cell>
          <cell r="S107">
            <v>2.1062959999999999</v>
          </cell>
          <cell r="T107">
            <v>2.2396039999999999</v>
          </cell>
          <cell r="U107">
            <v>2.3487710000000002</v>
          </cell>
          <cell r="V107">
            <v>2.4453709999999997</v>
          </cell>
          <cell r="W107">
            <v>2.5291760000000001</v>
          </cell>
          <cell r="X107">
            <v>2.5976460000000001</v>
          </cell>
          <cell r="Y107">
            <v>2.6489579999999999</v>
          </cell>
          <cell r="Z107">
            <v>2.6844669999999997</v>
          </cell>
          <cell r="AA107">
            <v>2.700466</v>
          </cell>
          <cell r="AB107">
            <v>2.6962440000000001</v>
          </cell>
          <cell r="AC107">
            <v>2.6749510000000001</v>
          </cell>
          <cell r="AD107">
            <v>2.643621</v>
          </cell>
          <cell r="AE107">
            <v>2.6059019999999999</v>
          </cell>
          <cell r="AF107">
            <v>2.5638899999999998</v>
          </cell>
          <cell r="AG107">
            <v>2.517741</v>
          </cell>
          <cell r="AH107">
            <v>2.468054</v>
          </cell>
          <cell r="AI107">
            <v>2.4161649999999999</v>
          </cell>
          <cell r="AJ107">
            <v>2.3634200000000001</v>
          </cell>
        </row>
        <row r="108">
          <cell r="C108" t="str">
            <v>Lithuania</v>
          </cell>
          <cell r="F108">
            <v>2.5530410000000003</v>
          </cell>
          <cell r="G108">
            <v>2.6841179999999998</v>
          </cell>
          <cell r="H108">
            <v>2.85547</v>
          </cell>
          <cell r="I108">
            <v>3.037423</v>
          </cell>
          <cell r="J108">
            <v>3.1936100000000001</v>
          </cell>
          <cell r="K108">
            <v>3.3531660000000003</v>
          </cell>
          <cell r="L108">
            <v>3.5067590000000002</v>
          </cell>
          <cell r="M108">
            <v>3.6586170000000005</v>
          </cell>
          <cell r="N108">
            <v>3.7807200000000001</v>
          </cell>
          <cell r="O108">
            <v>3.7594639999999999</v>
          </cell>
          <cell r="P108">
            <v>3.6176849999999998</v>
          </cell>
          <cell r="Q108">
            <v>3.3987340000000001</v>
          </cell>
          <cell r="R108">
            <v>3.1595070000000001</v>
          </cell>
          <cell r="S108">
            <v>2.9790929999999998</v>
          </cell>
          <cell r="T108">
            <v>2.8359019999999999</v>
          </cell>
          <cell r="U108">
            <v>2.7251909999999988</v>
          </cell>
          <cell r="V108">
            <v>2.5843240000000001</v>
          </cell>
          <cell r="W108">
            <v>2.4538319999999998</v>
          </cell>
          <cell r="X108">
            <v>2.334041</v>
          </cell>
          <cell r="Y108">
            <v>2.2275610000000001</v>
          </cell>
          <cell r="Z108">
            <v>2.1310630000000002</v>
          </cell>
          <cell r="AA108">
            <v>2.0385200000000001</v>
          </cell>
          <cell r="AB108">
            <v>1.9503330000000001</v>
          </cell>
          <cell r="AC108">
            <v>1.8723889999999992</v>
          </cell>
          <cell r="AD108">
            <v>1.8054700000000001</v>
          </cell>
          <cell r="AE108">
            <v>1.748405</v>
          </cell>
          <cell r="AF108">
            <v>1.6999249999999999</v>
          </cell>
          <cell r="AG108">
            <v>1.657608</v>
          </cell>
          <cell r="AH108">
            <v>1.6203289999999999</v>
          </cell>
          <cell r="AI108">
            <v>1.5882159999999992</v>
          </cell>
          <cell r="AJ108">
            <v>1.5609299999999999</v>
          </cell>
        </row>
        <row r="109">
          <cell r="C109" t="str">
            <v>Luxembourg</v>
          </cell>
          <cell r="F109">
            <v>0.29579300000000003</v>
          </cell>
          <cell r="G109">
            <v>0.30455500000000002</v>
          </cell>
          <cell r="H109">
            <v>0.31348100000000001</v>
          </cell>
          <cell r="I109">
            <v>0.3281</v>
          </cell>
          <cell r="J109">
            <v>0.33881099999999997</v>
          </cell>
          <cell r="K109">
            <v>0.352493</v>
          </cell>
          <cell r="L109">
            <v>0.36332100000000006</v>
          </cell>
          <cell r="M109">
            <v>0.36593300000000001</v>
          </cell>
          <cell r="N109">
            <v>0.37874599999999997</v>
          </cell>
          <cell r="O109">
            <v>0.40471400000000002</v>
          </cell>
          <cell r="P109">
            <v>0.43252699999999999</v>
          </cell>
          <cell r="Q109">
            <v>0.46092899999999998</v>
          </cell>
          <cell r="R109">
            <v>0.50218499999999999</v>
          </cell>
          <cell r="S109">
            <v>0.56271900000000008</v>
          </cell>
          <cell r="T109">
            <v>0.62607199999999996</v>
          </cell>
          <cell r="U109">
            <v>0.65527099999999905</v>
          </cell>
          <cell r="V109">
            <v>0.676875</v>
          </cell>
          <cell r="W109">
            <v>0.69714899999999902</v>
          </cell>
          <cell r="X109">
            <v>0.71678900000000001</v>
          </cell>
          <cell r="Y109">
            <v>0.73667299999999991</v>
          </cell>
          <cell r="Z109">
            <v>0.75763399999999992</v>
          </cell>
          <cell r="AA109">
            <v>0.77626000000000006</v>
          </cell>
          <cell r="AB109">
            <v>0.79222300000000001</v>
          </cell>
          <cell r="AC109">
            <v>0.80382599999999993</v>
          </cell>
          <cell r="AD109">
            <v>0.81170299999999995</v>
          </cell>
          <cell r="AE109">
            <v>0.81636399999999909</v>
          </cell>
          <cell r="AF109">
            <v>0.81821599999999994</v>
          </cell>
          <cell r="AG109">
            <v>0.81714199999999904</v>
          </cell>
          <cell r="AH109">
            <v>0.81297199999999992</v>
          </cell>
          <cell r="AI109">
            <v>0.80593399999999993</v>
          </cell>
          <cell r="AJ109">
            <v>0.796458</v>
          </cell>
        </row>
        <row r="110">
          <cell r="C110" t="str">
            <v>Latvia</v>
          </cell>
          <cell r="F110">
            <v>1.9112639999999999</v>
          </cell>
          <cell r="G110">
            <v>2.0213480000000001</v>
          </cell>
          <cell r="H110">
            <v>2.1400990000000002</v>
          </cell>
          <cell r="I110">
            <v>2.2761550000000002</v>
          </cell>
          <cell r="J110">
            <v>2.3869899999999999</v>
          </cell>
          <cell r="K110">
            <v>2.4843030000000002</v>
          </cell>
          <cell r="L110">
            <v>2.5639910000000001</v>
          </cell>
          <cell r="M110">
            <v>2.6487849999999997</v>
          </cell>
          <cell r="N110">
            <v>2.6931959999999999</v>
          </cell>
          <cell r="O110">
            <v>2.5885569999999998</v>
          </cell>
          <cell r="P110">
            <v>2.408954</v>
          </cell>
          <cell r="Q110">
            <v>2.2480959999999999</v>
          </cell>
          <cell r="R110">
            <v>2.1142020000000001</v>
          </cell>
          <cell r="S110">
            <v>2.0012880000000002</v>
          </cell>
          <cell r="T110">
            <v>1.907241</v>
          </cell>
          <cell r="U110">
            <v>1.8362910000000001</v>
          </cell>
          <cell r="V110">
            <v>1.7354099999999999</v>
          </cell>
          <cell r="W110">
            <v>1.644957</v>
          </cell>
          <cell r="X110">
            <v>1.5685319999999998</v>
          </cell>
          <cell r="Y110">
            <v>1.50465</v>
          </cell>
          <cell r="Z110">
            <v>1.4496820000000001</v>
          </cell>
          <cell r="AA110">
            <v>1.3991899999999999</v>
          </cell>
          <cell r="AB110">
            <v>1.3521609999999999</v>
          </cell>
          <cell r="AC110">
            <v>1.30938</v>
          </cell>
          <cell r="AD110">
            <v>1.270929</v>
          </cell>
          <cell r="AE110">
            <v>1.2367900000000001</v>
          </cell>
          <cell r="AF110">
            <v>1.206142</v>
          </cell>
          <cell r="AG110">
            <v>1.178172</v>
          </cell>
          <cell r="AH110">
            <v>1.152433</v>
          </cell>
          <cell r="AI110">
            <v>1.1281479999999999</v>
          </cell>
          <cell r="AJ110">
            <v>1.103442</v>
          </cell>
        </row>
        <row r="111">
          <cell r="C111" t="str">
            <v>Macao</v>
          </cell>
          <cell r="F111">
            <v>0.193635</v>
          </cell>
          <cell r="G111">
            <v>0.19714400000000001</v>
          </cell>
          <cell r="H111">
            <v>0.17898600000000001</v>
          </cell>
          <cell r="I111">
            <v>0.20530099999999998</v>
          </cell>
          <cell r="J111">
            <v>0.24406700000000001</v>
          </cell>
          <cell r="K111">
            <v>0.247062</v>
          </cell>
          <cell r="L111">
            <v>0.24537799999999999</v>
          </cell>
          <cell r="M111">
            <v>0.28195700000000001</v>
          </cell>
          <cell r="N111">
            <v>0.34379199999999999</v>
          </cell>
          <cell r="O111">
            <v>0.39275400000000005</v>
          </cell>
          <cell r="P111">
            <v>0.428817</v>
          </cell>
          <cell r="Q111">
            <v>0.48205300000000001</v>
          </cell>
          <cell r="R111">
            <v>0.55008500000000005</v>
          </cell>
          <cell r="S111">
            <v>0.60962300000000003</v>
          </cell>
          <cell r="T111">
            <v>0.67001700000000008</v>
          </cell>
          <cell r="U111">
            <v>0.69880100000000001</v>
          </cell>
          <cell r="V111">
            <v>0.72342799999999996</v>
          </cell>
          <cell r="W111">
            <v>0.74397000000000002</v>
          </cell>
          <cell r="X111">
            <v>0.76198299999999997</v>
          </cell>
          <cell r="Y111">
            <v>0.77853499999999998</v>
          </cell>
          <cell r="Z111">
            <v>0.79426899999999911</v>
          </cell>
          <cell r="AA111">
            <v>0.80539200000000111</v>
          </cell>
          <cell r="AB111">
            <v>0.81227899999999997</v>
          </cell>
          <cell r="AC111">
            <v>0.8136500000000001</v>
          </cell>
          <cell r="AD111">
            <v>0.81099300000000007</v>
          </cell>
          <cell r="AE111">
            <v>0.80426000000000009</v>
          </cell>
          <cell r="AF111">
            <v>0.79239799999999994</v>
          </cell>
          <cell r="AG111">
            <v>0.77467000000000008</v>
          </cell>
          <cell r="AH111">
            <v>0.75208399999999997</v>
          </cell>
          <cell r="AI111">
            <v>0.72697699999999998</v>
          </cell>
          <cell r="AJ111">
            <v>0.70087300000000008</v>
          </cell>
        </row>
        <row r="112">
          <cell r="C112" t="str">
            <v>Morocco</v>
          </cell>
          <cell r="F112">
            <v>8.8266390000000001</v>
          </cell>
          <cell r="G112">
            <v>10.10013</v>
          </cell>
          <cell r="H112">
            <v>11.613196</v>
          </cell>
          <cell r="I112">
            <v>13.207578</v>
          </cell>
          <cell r="J112">
            <v>15.072499000000001</v>
          </cell>
          <cell r="K112">
            <v>17.110339</v>
          </cell>
          <cell r="L112">
            <v>19.415828000000001</v>
          </cell>
          <cell r="M112">
            <v>22.077850999999999</v>
          </cell>
          <cell r="N112">
            <v>24.358310000000003</v>
          </cell>
          <cell r="O112">
            <v>26.398050999999999</v>
          </cell>
          <cell r="P112">
            <v>28.366437000000001</v>
          </cell>
          <cell r="Q112">
            <v>30.229542000000002</v>
          </cell>
          <cell r="R112">
            <v>32.249254000000001</v>
          </cell>
          <cell r="S112">
            <v>34.467568</v>
          </cell>
          <cell r="T112">
            <v>36.488841000000001</v>
          </cell>
          <cell r="U112">
            <v>38.408474999999896</v>
          </cell>
          <cell r="V112">
            <v>40.053483999999997</v>
          </cell>
          <cell r="W112">
            <v>41.439919000000003</v>
          </cell>
          <cell r="X112">
            <v>42.542665</v>
          </cell>
          <cell r="Y112">
            <v>43.361224</v>
          </cell>
          <cell r="Z112">
            <v>43.922494</v>
          </cell>
          <cell r="AA112">
            <v>44.278255999999999</v>
          </cell>
          <cell r="AB112">
            <v>44.430375999999995</v>
          </cell>
          <cell r="AC112">
            <v>44.421744999999902</v>
          </cell>
          <cell r="AD112">
            <v>44.247730000000004</v>
          </cell>
          <cell r="AE112">
            <v>43.945126999999999</v>
          </cell>
          <cell r="AF112">
            <v>43.524690000000007</v>
          </cell>
          <cell r="AG112">
            <v>43.034146999999997</v>
          </cell>
          <cell r="AH112">
            <v>42.469269000000004</v>
          </cell>
          <cell r="AI112">
            <v>41.84187</v>
          </cell>
          <cell r="AJ112">
            <v>41.137271999999996</v>
          </cell>
        </row>
        <row r="113">
          <cell r="C113" t="str">
            <v>Moldova</v>
          </cell>
          <cell r="F113">
            <v>2.341008</v>
          </cell>
          <cell r="G113">
            <v>2.674922</v>
          </cell>
          <cell r="H113">
            <v>3.0919080000000001</v>
          </cell>
          <cell r="I113">
            <v>3.4493870000000002</v>
          </cell>
          <cell r="J113">
            <v>3.690763</v>
          </cell>
          <cell r="K113">
            <v>3.8928470000000002</v>
          </cell>
          <cell r="L113">
            <v>4.0853090000000005</v>
          </cell>
          <cell r="M113">
            <v>4.2809669999999995</v>
          </cell>
          <cell r="N113">
            <v>4.4721700000000002</v>
          </cell>
          <cell r="O113">
            <v>4.4738129999999998</v>
          </cell>
          <cell r="P113">
            <v>4.2766459999999995</v>
          </cell>
          <cell r="Q113">
            <v>4.0268090000000001</v>
          </cell>
          <cell r="R113">
            <v>3.718286</v>
          </cell>
          <cell r="S113">
            <v>3.3058260000000002</v>
          </cell>
          <cell r="T113">
            <v>3.0950220000000002</v>
          </cell>
          <cell r="U113">
            <v>3.054306</v>
          </cell>
          <cell r="V113">
            <v>2.927238</v>
          </cell>
          <cell r="W113">
            <v>2.7987859999999998</v>
          </cell>
          <cell r="X113">
            <v>2.6842639999999998</v>
          </cell>
          <cell r="Y113">
            <v>2.5851569999999997</v>
          </cell>
          <cell r="Z113">
            <v>2.4956430000000003</v>
          </cell>
          <cell r="AA113">
            <v>2.4068130000000001</v>
          </cell>
          <cell r="AB113">
            <v>2.3168670000000002</v>
          </cell>
          <cell r="AC113">
            <v>2.2300990000000001</v>
          </cell>
          <cell r="AD113">
            <v>2.1480230000000002</v>
          </cell>
          <cell r="AE113">
            <v>2.0720839999999998</v>
          </cell>
          <cell r="AF113">
            <v>2.0029189999999999</v>
          </cell>
          <cell r="AG113">
            <v>1.941106</v>
          </cell>
          <cell r="AH113">
            <v>1.8864300000000001</v>
          </cell>
          <cell r="AI113">
            <v>1.8369420000000001</v>
          </cell>
          <cell r="AJ113">
            <v>1.7895490000000001</v>
          </cell>
        </row>
        <row r="114">
          <cell r="C114" t="str">
            <v>Madagascar</v>
          </cell>
          <cell r="F114">
            <v>3.9060250000000001</v>
          </cell>
          <cell r="G114">
            <v>4.4118680000000001</v>
          </cell>
          <cell r="H114">
            <v>5.0078329999999998</v>
          </cell>
          <cell r="I114">
            <v>5.7041469999999999</v>
          </cell>
          <cell r="J114">
            <v>6.5424910000000001</v>
          </cell>
          <cell r="K114">
            <v>7.6050259999999996</v>
          </cell>
          <cell r="L114">
            <v>8.8193199999999994</v>
          </cell>
          <cell r="M114">
            <v>10.154222000000001</v>
          </cell>
          <cell r="N114">
            <v>11.705333000000001</v>
          </cell>
          <cell r="O114">
            <v>13.648398</v>
          </cell>
          <cell r="P114">
            <v>15.972674000000001</v>
          </cell>
          <cell r="Q114">
            <v>18.517654999999998</v>
          </cell>
          <cell r="R114">
            <v>21.422991000000003</v>
          </cell>
          <cell r="S114">
            <v>24.531082999999999</v>
          </cell>
          <cell r="T114">
            <v>27.879129000000002</v>
          </cell>
          <cell r="U114">
            <v>31.356939000000001</v>
          </cell>
          <cell r="V114">
            <v>34.976894000000001</v>
          </cell>
          <cell r="W114">
            <v>38.583829999999899</v>
          </cell>
          <cell r="X114">
            <v>42.116028</v>
          </cell>
          <cell r="Y114">
            <v>45.578975</v>
          </cell>
          <cell r="Z114">
            <v>48.910574000000004</v>
          </cell>
          <cell r="AA114">
            <v>52.025027000000001</v>
          </cell>
          <cell r="AB114">
            <v>54.916646999999998</v>
          </cell>
          <cell r="AC114">
            <v>57.503785999999998</v>
          </cell>
          <cell r="AD114">
            <v>59.753769999999996</v>
          </cell>
          <cell r="AE114">
            <v>61.632299000000003</v>
          </cell>
          <cell r="AF114">
            <v>63.165612000000003</v>
          </cell>
          <cell r="AG114">
            <v>64.395723000000004</v>
          </cell>
          <cell r="AH114">
            <v>65.329567999999995</v>
          </cell>
          <cell r="AI114">
            <v>65.986185000000006</v>
          </cell>
          <cell r="AJ114">
            <v>66.361899999999991</v>
          </cell>
        </row>
        <row r="115">
          <cell r="C115" t="str">
            <v>Maldives</v>
          </cell>
          <cell r="F115">
            <v>7.3839000000000002E-2</v>
          </cell>
          <cell r="G115">
            <v>8.098699999999999E-2</v>
          </cell>
          <cell r="H115">
            <v>9.0517E-2</v>
          </cell>
          <cell r="I115">
            <v>0.10247400000000001</v>
          </cell>
          <cell r="J115">
            <v>0.121367</v>
          </cell>
          <cell r="K115">
            <v>0.14097399999999999</v>
          </cell>
          <cell r="L115">
            <v>0.16252800000000001</v>
          </cell>
          <cell r="M115">
            <v>0.18706100000000001</v>
          </cell>
          <cell r="N115">
            <v>0.22132300000000002</v>
          </cell>
          <cell r="O115">
            <v>0.25527300000000003</v>
          </cell>
          <cell r="P115">
            <v>0.28017000000000003</v>
          </cell>
          <cell r="Q115">
            <v>0.30458100000000005</v>
          </cell>
          <cell r="R115">
            <v>0.35521400000000003</v>
          </cell>
          <cell r="S115">
            <v>0.426153</v>
          </cell>
          <cell r="T115">
            <v>0.51088100000000003</v>
          </cell>
          <cell r="U115">
            <v>0.54814000000000007</v>
          </cell>
          <cell r="V115">
            <v>0.58072000000000001</v>
          </cell>
          <cell r="W115">
            <v>0.60989000000000004</v>
          </cell>
          <cell r="X115">
            <v>0.63808199999999993</v>
          </cell>
          <cell r="Y115">
            <v>0.66584100000000002</v>
          </cell>
          <cell r="Z115">
            <v>0.691438</v>
          </cell>
          <cell r="AA115">
            <v>0.71263599999999905</v>
          </cell>
          <cell r="AB115">
            <v>0.72850900000000007</v>
          </cell>
          <cell r="AC115">
            <v>0.73772100000000007</v>
          </cell>
          <cell r="AD115">
            <v>0.74118100000000009</v>
          </cell>
          <cell r="AE115">
            <v>0.73857699999999904</v>
          </cell>
          <cell r="AF115">
            <v>0.729634</v>
          </cell>
          <cell r="AG115">
            <v>0.71465800000000002</v>
          </cell>
          <cell r="AH115">
            <v>0.695496</v>
          </cell>
          <cell r="AI115">
            <v>0.67504500000000001</v>
          </cell>
          <cell r="AJ115">
            <v>0.65579699999999908</v>
          </cell>
        </row>
        <row r="116">
          <cell r="C116" t="str">
            <v>Mexico</v>
          </cell>
          <cell r="F116">
            <v>27.231560000000002</v>
          </cell>
          <cell r="G116">
            <v>31.025611000000001</v>
          </cell>
          <cell r="H116">
            <v>35.704512999999999</v>
          </cell>
          <cell r="I116">
            <v>42.023049</v>
          </cell>
          <cell r="J116">
            <v>49.494100000000003</v>
          </cell>
          <cell r="K116">
            <v>57.811389000000005</v>
          </cell>
          <cell r="L116">
            <v>66.890129000000002</v>
          </cell>
          <cell r="M116">
            <v>74.184959000000006</v>
          </cell>
          <cell r="N116">
            <v>80.900795000000002</v>
          </cell>
          <cell r="O116">
            <v>89.155152000000001</v>
          </cell>
          <cell r="P116">
            <v>97.112121999999999</v>
          </cell>
          <cell r="Q116">
            <v>104.713291</v>
          </cell>
          <cell r="R116">
            <v>111.73375800000001</v>
          </cell>
          <cell r="S116">
            <v>119.472303</v>
          </cell>
          <cell r="T116">
            <v>125.61046400000001</v>
          </cell>
          <cell r="U116">
            <v>130.410526</v>
          </cell>
          <cell r="V116">
            <v>135.61856899999998</v>
          </cell>
          <cell r="W116">
            <v>140.225449</v>
          </cell>
          <cell r="X116">
            <v>144.09974499999998</v>
          </cell>
          <cell r="Y116">
            <v>147.15673100000001</v>
          </cell>
          <cell r="Z116">
            <v>149.4179</v>
          </cell>
          <cell r="AA116">
            <v>151.052044</v>
          </cell>
          <cell r="AB116">
            <v>152.07494699999998</v>
          </cell>
          <cell r="AC116">
            <v>152.57693400000002</v>
          </cell>
          <cell r="AD116">
            <v>152.59419299999999</v>
          </cell>
          <cell r="AE116">
            <v>152.15549999999999</v>
          </cell>
          <cell r="AF116">
            <v>151.339146</v>
          </cell>
          <cell r="AG116">
            <v>150.23143900000002</v>
          </cell>
          <cell r="AH116">
            <v>148.88929199999998</v>
          </cell>
          <cell r="AI116">
            <v>147.40967300000003</v>
          </cell>
          <cell r="AJ116">
            <v>145.73682399999998</v>
          </cell>
        </row>
        <row r="117">
          <cell r="C117" t="str">
            <v>North Macedonia</v>
          </cell>
          <cell r="F117">
            <v>1.2344110000000001</v>
          </cell>
          <cell r="G117">
            <v>1.3711410000000002</v>
          </cell>
          <cell r="H117">
            <v>1.4539300000000002</v>
          </cell>
          <cell r="I117">
            <v>1.5385630000000001</v>
          </cell>
          <cell r="J117">
            <v>1.645213</v>
          </cell>
          <cell r="K117">
            <v>1.761528</v>
          </cell>
          <cell r="L117">
            <v>1.893181</v>
          </cell>
          <cell r="M117">
            <v>1.9954970000000001</v>
          </cell>
          <cell r="N117">
            <v>2.0428389999999998</v>
          </cell>
          <cell r="O117">
            <v>1.9793130000000001</v>
          </cell>
          <cell r="P117">
            <v>2.0304990000000003</v>
          </cell>
          <cell r="Q117">
            <v>2.0775419999999998</v>
          </cell>
          <cell r="R117">
            <v>2.0917289999999999</v>
          </cell>
          <cell r="S117">
            <v>2.1068350000000002</v>
          </cell>
          <cell r="T117">
            <v>2.114026</v>
          </cell>
          <cell r="U117">
            <v>2.0953680000000001</v>
          </cell>
          <cell r="V117">
            <v>2.1026410000000002</v>
          </cell>
          <cell r="W117">
            <v>2.0998139999999998</v>
          </cell>
          <cell r="X117">
            <v>2.0866210000000001</v>
          </cell>
          <cell r="Y117">
            <v>2.066589</v>
          </cell>
          <cell r="Z117">
            <v>2.0434830000000002</v>
          </cell>
          <cell r="AA117">
            <v>2.019196</v>
          </cell>
          <cell r="AB117">
            <v>1.9938250000000002</v>
          </cell>
          <cell r="AC117">
            <v>1.9655340000000001</v>
          </cell>
          <cell r="AD117">
            <v>1.933135</v>
          </cell>
          <cell r="AE117">
            <v>1.8966020000000001</v>
          </cell>
          <cell r="AF117">
            <v>1.8571360000000001</v>
          </cell>
          <cell r="AG117">
            <v>1.8167559999999998</v>
          </cell>
          <cell r="AH117">
            <v>1.7769550000000001</v>
          </cell>
          <cell r="AI117">
            <v>1.738359</v>
          </cell>
          <cell r="AJ117">
            <v>1.7003089999999998</v>
          </cell>
        </row>
        <row r="118">
          <cell r="C118" t="str">
            <v>Mali</v>
          </cell>
          <cell r="F118">
            <v>4.6621629999999996</v>
          </cell>
          <cell r="G118">
            <v>4.9827450000000004</v>
          </cell>
          <cell r="H118">
            <v>5.3104019999999998</v>
          </cell>
          <cell r="I118">
            <v>5.6862139999999997</v>
          </cell>
          <cell r="J118">
            <v>6.1064040000000004</v>
          </cell>
          <cell r="K118">
            <v>6.6273599999999995</v>
          </cell>
          <cell r="L118">
            <v>7.2928839999999999</v>
          </cell>
          <cell r="M118">
            <v>8.1115580000000005</v>
          </cell>
          <cell r="N118">
            <v>8.8565220000000018</v>
          </cell>
          <cell r="O118">
            <v>9.8173110000000001</v>
          </cell>
          <cell r="P118">
            <v>11.072704</v>
          </cell>
          <cell r="Q118">
            <v>12.962831</v>
          </cell>
          <cell r="R118">
            <v>15.276049</v>
          </cell>
          <cell r="S118">
            <v>17.827780999999998</v>
          </cell>
          <cell r="T118">
            <v>20.886783000000001</v>
          </cell>
          <cell r="U118">
            <v>24.361066999999998</v>
          </cell>
          <cell r="V118">
            <v>28.185196000000001</v>
          </cell>
          <cell r="W118">
            <v>32.226755000000004</v>
          </cell>
          <cell r="X118">
            <v>36.353449999999995</v>
          </cell>
          <cell r="Y118">
            <v>40.468642000000003</v>
          </cell>
          <cell r="Z118">
            <v>44.479254999999903</v>
          </cell>
          <cell r="AA118">
            <v>48.364587</v>
          </cell>
          <cell r="AB118">
            <v>52.031898000000005</v>
          </cell>
          <cell r="AC118">
            <v>55.501303</v>
          </cell>
          <cell r="AD118">
            <v>58.717452000000002</v>
          </cell>
          <cell r="AE118">
            <v>61.589275000000001</v>
          </cell>
          <cell r="AF118">
            <v>64.148415999999997</v>
          </cell>
          <cell r="AG118">
            <v>66.233725000000007</v>
          </cell>
          <cell r="AH118">
            <v>67.880580000000108</v>
          </cell>
          <cell r="AI118">
            <v>69.079085000000092</v>
          </cell>
          <cell r="AJ118">
            <v>69.973562999999999</v>
          </cell>
        </row>
        <row r="119">
          <cell r="C119" t="str">
            <v>Malta</v>
          </cell>
          <cell r="F119">
            <v>0.28873000000000004</v>
          </cell>
          <cell r="G119">
            <v>0.320741</v>
          </cell>
          <cell r="H119">
            <v>0.33744299999999999</v>
          </cell>
          <cell r="I119">
            <v>0.32820299999999997</v>
          </cell>
          <cell r="J119">
            <v>0.31573700000000005</v>
          </cell>
          <cell r="K119">
            <v>0.31847000000000003</v>
          </cell>
          <cell r="L119">
            <v>0.33205299999999999</v>
          </cell>
          <cell r="M119">
            <v>0.34762400000000004</v>
          </cell>
          <cell r="N119">
            <v>0.36367700000000003</v>
          </cell>
          <cell r="O119">
            <v>0.38016899999999998</v>
          </cell>
          <cell r="P119">
            <v>0.39766699999999999</v>
          </cell>
          <cell r="Q119">
            <v>0.409609</v>
          </cell>
          <cell r="R119">
            <v>0.416771</v>
          </cell>
          <cell r="S119">
            <v>0.45124300000000001</v>
          </cell>
          <cell r="T119">
            <v>0.50958599999999998</v>
          </cell>
          <cell r="U119">
            <v>0.51739499999999905</v>
          </cell>
          <cell r="V119">
            <v>0.52119199999999999</v>
          </cell>
          <cell r="W119">
            <v>0.52122199999999996</v>
          </cell>
          <cell r="X119">
            <v>0.51869599999999993</v>
          </cell>
          <cell r="Y119">
            <v>0.51589299999999993</v>
          </cell>
          <cell r="Z119">
            <v>0.51482500000000009</v>
          </cell>
          <cell r="AA119">
            <v>0.51366200000000006</v>
          </cell>
          <cell r="AB119">
            <v>0.51155799999999996</v>
          </cell>
          <cell r="AC119">
            <v>0.50686900000000001</v>
          </cell>
          <cell r="AD119">
            <v>0.49912399999999996</v>
          </cell>
          <cell r="AE119">
            <v>0.48824700000000004</v>
          </cell>
          <cell r="AF119">
            <v>0.47479099999999996</v>
          </cell>
          <cell r="AG119">
            <v>0.45943500000000004</v>
          </cell>
          <cell r="AH119">
            <v>0.44319899999999995</v>
          </cell>
          <cell r="AI119">
            <v>0.42724700000000004</v>
          </cell>
          <cell r="AJ119">
            <v>0.41236700000000004</v>
          </cell>
        </row>
        <row r="120">
          <cell r="C120" t="str">
            <v>Myanmar</v>
          </cell>
          <cell r="F120">
            <v>17.573124</v>
          </cell>
          <cell r="G120">
            <v>19.320646</v>
          </cell>
          <cell r="H120">
            <v>21.482668</v>
          </cell>
          <cell r="I120">
            <v>24.006176</v>
          </cell>
          <cell r="J120">
            <v>26.968962000000001</v>
          </cell>
          <cell r="K120">
            <v>30.046415000000003</v>
          </cell>
          <cell r="L120">
            <v>33.140940999999998</v>
          </cell>
          <cell r="M120">
            <v>36.526752999999999</v>
          </cell>
          <cell r="N120">
            <v>39.799245000000006</v>
          </cell>
          <cell r="O120">
            <v>42.612037000000001</v>
          </cell>
          <cell r="P120">
            <v>45.296589999999995</v>
          </cell>
          <cell r="Q120">
            <v>47.539188000000003</v>
          </cell>
          <cell r="R120">
            <v>49.197199999999995</v>
          </cell>
          <cell r="S120">
            <v>51.280307999999998</v>
          </cell>
          <cell r="T120">
            <v>53.227974000000003</v>
          </cell>
          <cell r="U120">
            <v>54.951013999999901</v>
          </cell>
          <cell r="V120">
            <v>56.293766000000005</v>
          </cell>
          <cell r="W120">
            <v>57.117642999999902</v>
          </cell>
          <cell r="X120">
            <v>57.455266999999999</v>
          </cell>
          <cell r="Y120">
            <v>57.43618</v>
          </cell>
          <cell r="Z120">
            <v>57.142286999999996</v>
          </cell>
          <cell r="AA120">
            <v>56.590888</v>
          </cell>
          <cell r="AB120">
            <v>55.818289999999898</v>
          </cell>
          <cell r="AC120">
            <v>54.863616999999998</v>
          </cell>
          <cell r="AD120">
            <v>53.775706</v>
          </cell>
          <cell r="AE120">
            <v>52.609245000000001</v>
          </cell>
          <cell r="AF120">
            <v>51.400841999999997</v>
          </cell>
          <cell r="AG120">
            <v>50.160198999999999</v>
          </cell>
          <cell r="AH120">
            <v>48.914366999999999</v>
          </cell>
          <cell r="AI120">
            <v>47.642896</v>
          </cell>
          <cell r="AJ120">
            <v>46.355611999999901</v>
          </cell>
        </row>
        <row r="121">
          <cell r="C121" t="str">
            <v>Montenegro</v>
          </cell>
          <cell r="F121">
            <v>0.39895600000000003</v>
          </cell>
          <cell r="G121">
            <v>0.43821800000000005</v>
          </cell>
          <cell r="H121">
            <v>0.46992899999999999</v>
          </cell>
          <cell r="I121">
            <v>0.50032600000000005</v>
          </cell>
          <cell r="J121">
            <v>0.52785500000000007</v>
          </cell>
          <cell r="K121">
            <v>0.55626500000000001</v>
          </cell>
          <cell r="L121">
            <v>0.586287</v>
          </cell>
          <cell r="M121">
            <v>0.60315700000000005</v>
          </cell>
          <cell r="N121">
            <v>0.61963699999999999</v>
          </cell>
          <cell r="O121">
            <v>0.63149800000000011</v>
          </cell>
          <cell r="P121">
            <v>0.63348000000000004</v>
          </cell>
          <cell r="Q121">
            <v>0.63290099999999994</v>
          </cell>
          <cell r="R121">
            <v>0.63103599999999993</v>
          </cell>
          <cell r="S121">
            <v>0.63427500000000003</v>
          </cell>
          <cell r="T121">
            <v>0.629888</v>
          </cell>
          <cell r="U121">
            <v>0.64860699999999805</v>
          </cell>
          <cell r="V121">
            <v>0.64130299999999996</v>
          </cell>
          <cell r="W121">
            <v>0.63394799999999996</v>
          </cell>
          <cell r="X121">
            <v>0.62750800000000007</v>
          </cell>
          <cell r="Y121">
            <v>0.62176799999999999</v>
          </cell>
          <cell r="Z121">
            <v>0.61650899999999997</v>
          </cell>
          <cell r="AA121">
            <v>0.61108199999999901</v>
          </cell>
          <cell r="AB121">
            <v>0.60515799999999997</v>
          </cell>
          <cell r="AC121">
            <v>0.59859699999999993</v>
          </cell>
          <cell r="AD121">
            <v>0.591421999999999</v>
          </cell>
          <cell r="AE121">
            <v>0.58366399999999996</v>
          </cell>
          <cell r="AF121">
            <v>0.57550099999999993</v>
          </cell>
          <cell r="AG121">
            <v>0.56720500000000007</v>
          </cell>
          <cell r="AH121">
            <v>0.55883000000000005</v>
          </cell>
          <cell r="AI121">
            <v>0.55021799999999998</v>
          </cell>
          <cell r="AJ121">
            <v>0.54119100000000009</v>
          </cell>
        </row>
        <row r="122">
          <cell r="C122" t="str">
            <v>Mongolia</v>
          </cell>
          <cell r="F122">
            <v>0.77534199999999998</v>
          </cell>
          <cell r="G122">
            <v>0.837507</v>
          </cell>
          <cell r="H122">
            <v>0.96112300000000006</v>
          </cell>
          <cell r="I122">
            <v>1.1185689999999999</v>
          </cell>
          <cell r="J122">
            <v>1.277441</v>
          </cell>
          <cell r="K122">
            <v>1.4640709999999999</v>
          </cell>
          <cell r="L122">
            <v>1.677335</v>
          </cell>
          <cell r="M122">
            <v>1.8951359999999999</v>
          </cell>
          <cell r="N122">
            <v>2.1416370000000002</v>
          </cell>
          <cell r="O122">
            <v>2.3164609999999999</v>
          </cell>
          <cell r="P122">
            <v>2.4403609999999998</v>
          </cell>
          <cell r="Q122">
            <v>2.5486219999999999</v>
          </cell>
          <cell r="R122">
            <v>2.6843400000000002</v>
          </cell>
          <cell r="S122">
            <v>2.9328609999999999</v>
          </cell>
          <cell r="T122">
            <v>3.2664599999999999</v>
          </cell>
          <cell r="U122">
            <v>3.507638</v>
          </cell>
          <cell r="V122">
            <v>3.7238340000000001</v>
          </cell>
          <cell r="W122">
            <v>3.9339779999999998</v>
          </cell>
          <cell r="X122">
            <v>4.1449210000000001</v>
          </cell>
          <cell r="Y122">
            <v>4.3563130000000099</v>
          </cell>
          <cell r="Z122">
            <v>4.5619660000000009</v>
          </cell>
          <cell r="AA122">
            <v>4.7433580000000006</v>
          </cell>
          <cell r="AB122">
            <v>4.8874269999999997</v>
          </cell>
          <cell r="AC122">
            <v>5.0045149999999996</v>
          </cell>
          <cell r="AD122">
            <v>5.0988639999999998</v>
          </cell>
          <cell r="AE122">
            <v>5.1765460000000001</v>
          </cell>
          <cell r="AF122">
            <v>5.2447049999999997</v>
          </cell>
          <cell r="AG122">
            <v>5.307226</v>
          </cell>
          <cell r="AH122">
            <v>5.359909</v>
          </cell>
          <cell r="AI122">
            <v>5.398462000000011</v>
          </cell>
          <cell r="AJ122">
            <v>5.4153830000000003</v>
          </cell>
        </row>
        <row r="123">
          <cell r="C123" t="str">
            <v>Mozambique</v>
          </cell>
          <cell r="F123">
            <v>5.8784390000000002</v>
          </cell>
          <cell r="G123">
            <v>6.2772079999999999</v>
          </cell>
          <cell r="H123">
            <v>6.7285699999999995</v>
          </cell>
          <cell r="I123">
            <v>7.4415519999999997</v>
          </cell>
          <cell r="J123">
            <v>8.3112130000000004</v>
          </cell>
          <cell r="K123">
            <v>9.5486360000000001</v>
          </cell>
          <cell r="L123">
            <v>11.32099</v>
          </cell>
          <cell r="M123">
            <v>12.555598</v>
          </cell>
          <cell r="N123">
            <v>13.176188</v>
          </cell>
          <cell r="O123">
            <v>15.355381</v>
          </cell>
          <cell r="P123">
            <v>17.548017999999999</v>
          </cell>
          <cell r="Q123">
            <v>19.952763999999998</v>
          </cell>
          <cell r="R123">
            <v>22.740704000000001</v>
          </cell>
          <cell r="S123">
            <v>26.435068999999999</v>
          </cell>
          <cell r="T123">
            <v>30.720751</v>
          </cell>
          <cell r="U123">
            <v>35.042008000000003</v>
          </cell>
          <cell r="V123">
            <v>39.580486999999899</v>
          </cell>
          <cell r="W123">
            <v>44.212085000000002</v>
          </cell>
          <cell r="X123">
            <v>48.831821000000005</v>
          </cell>
          <cell r="Y123">
            <v>53.367642000000004</v>
          </cell>
          <cell r="Z123">
            <v>57.710610000000003</v>
          </cell>
          <cell r="AA123">
            <v>61.814554999999899</v>
          </cell>
          <cell r="AB123">
            <v>65.59831299999999</v>
          </cell>
          <cell r="AC123">
            <v>68.959592999999913</v>
          </cell>
          <cell r="AD123">
            <v>71.901769000000002</v>
          </cell>
          <cell r="AE123">
            <v>74.257716000000002</v>
          </cell>
          <cell r="AF123">
            <v>76.060494000000091</v>
          </cell>
          <cell r="AG123">
            <v>77.281198000000003</v>
          </cell>
          <cell r="AH123">
            <v>78.064270000000008</v>
          </cell>
          <cell r="AI123">
            <v>78.492873000000003</v>
          </cell>
          <cell r="AJ123">
            <v>78.606617999999997</v>
          </cell>
        </row>
        <row r="124">
          <cell r="C124" t="str">
            <v>Mauritania</v>
          </cell>
          <cell r="F124">
            <v>0.65134300000000001</v>
          </cell>
          <cell r="G124">
            <v>0.72969600000000001</v>
          </cell>
          <cell r="H124">
            <v>0.82718100000000006</v>
          </cell>
          <cell r="I124">
            <v>0.95140200000000008</v>
          </cell>
          <cell r="J124">
            <v>1.105307</v>
          </cell>
          <cell r="K124">
            <v>1.2831079999999999</v>
          </cell>
          <cell r="L124">
            <v>1.4846700000000002</v>
          </cell>
          <cell r="M124">
            <v>1.7206700000000001</v>
          </cell>
          <cell r="N124">
            <v>1.976413</v>
          </cell>
          <cell r="O124">
            <v>2.3543440000000002</v>
          </cell>
          <cell r="P124">
            <v>2.6574819999999999</v>
          </cell>
          <cell r="Q124">
            <v>2.9787849999999998</v>
          </cell>
          <cell r="R124">
            <v>3.3690520000000004</v>
          </cell>
          <cell r="S124">
            <v>3.894028</v>
          </cell>
          <cell r="T124">
            <v>4.4409279999999987</v>
          </cell>
          <cell r="U124">
            <v>5.0090669999999999</v>
          </cell>
          <cell r="V124">
            <v>5.6178500000000007</v>
          </cell>
          <cell r="W124">
            <v>6.2403689999999994</v>
          </cell>
          <cell r="X124">
            <v>6.859254</v>
          </cell>
          <cell r="Y124">
            <v>7.4633890000000003</v>
          </cell>
          <cell r="Z124">
            <v>8.0356649999999998</v>
          </cell>
          <cell r="AA124">
            <v>8.5707649999999997</v>
          </cell>
          <cell r="AB124">
            <v>9.0632210000000004</v>
          </cell>
          <cell r="AC124">
            <v>9.5108540000000001</v>
          </cell>
          <cell r="AD124">
            <v>9.9099520000000112</v>
          </cell>
          <cell r="AE124">
            <v>10.24213</v>
          </cell>
          <cell r="AF124">
            <v>10.500674000000002</v>
          </cell>
          <cell r="AG124">
            <v>10.705829</v>
          </cell>
          <cell r="AH124">
            <v>10.863391</v>
          </cell>
          <cell r="AI124">
            <v>10.976730999999999</v>
          </cell>
          <cell r="AJ124">
            <v>11.04715</v>
          </cell>
        </row>
        <row r="125">
          <cell r="C125" t="str">
            <v>Martinique</v>
          </cell>
          <cell r="F125">
            <v>0.22931299999999999</v>
          </cell>
          <cell r="G125">
            <v>0.25954500000000003</v>
          </cell>
          <cell r="H125">
            <v>0.28719</v>
          </cell>
          <cell r="I125">
            <v>0.31170500000000001</v>
          </cell>
          <cell r="J125">
            <v>0.32596800000000004</v>
          </cell>
          <cell r="K125">
            <v>0.32810700000000004</v>
          </cell>
          <cell r="L125">
            <v>0.33354200000000001</v>
          </cell>
          <cell r="M125">
            <v>0.346474</v>
          </cell>
          <cell r="N125">
            <v>0.37118700000000004</v>
          </cell>
          <cell r="O125">
            <v>0.406387</v>
          </cell>
          <cell r="P125">
            <v>0.43392700000000001</v>
          </cell>
          <cell r="Q125">
            <v>0.40543499999999999</v>
          </cell>
          <cell r="R125">
            <v>0.39332299999999998</v>
          </cell>
          <cell r="S125">
            <v>0.38510000000000005</v>
          </cell>
          <cell r="T125">
            <v>0.37095</v>
          </cell>
          <cell r="U125">
            <v>0.36630799999999997</v>
          </cell>
          <cell r="V125">
            <v>0.363261</v>
          </cell>
          <cell r="W125">
            <v>0.36044000000000004</v>
          </cell>
          <cell r="X125">
            <v>0.35630900000000004</v>
          </cell>
          <cell r="Y125">
            <v>0.34986099999999998</v>
          </cell>
          <cell r="Z125">
            <v>0.34145000000000003</v>
          </cell>
          <cell r="AA125">
            <v>0.332505</v>
          </cell>
          <cell r="AB125">
            <v>0.32456299999999999</v>
          </cell>
          <cell r="AC125">
            <v>0.318909</v>
          </cell>
          <cell r="AD125">
            <v>0.31556599999999901</v>
          </cell>
          <cell r="AE125">
            <v>0.31384599999999996</v>
          </cell>
          <cell r="AF125">
            <v>0.31322099999999997</v>
          </cell>
          <cell r="AG125">
            <v>0.31311500000000003</v>
          </cell>
          <cell r="AH125">
            <v>0.31315299999999996</v>
          </cell>
          <cell r="AI125">
            <v>0.31305700000000003</v>
          </cell>
          <cell r="AJ125">
            <v>0.31263799999999903</v>
          </cell>
        </row>
        <row r="126">
          <cell r="C126" t="str">
            <v>Mauritius</v>
          </cell>
          <cell r="F126">
            <v>0.51792399999999994</v>
          </cell>
          <cell r="G126">
            <v>0.58973400000000009</v>
          </cell>
          <cell r="H126">
            <v>0.66839400000000004</v>
          </cell>
          <cell r="I126">
            <v>0.75059000000000009</v>
          </cell>
          <cell r="J126">
            <v>0.82377300000000009</v>
          </cell>
          <cell r="K126">
            <v>0.88245000000000007</v>
          </cell>
          <cell r="L126">
            <v>0.94735000000000003</v>
          </cell>
          <cell r="M126">
            <v>1.019001</v>
          </cell>
          <cell r="N126">
            <v>1.083361</v>
          </cell>
          <cell r="O126">
            <v>1.1539459999999999</v>
          </cell>
          <cell r="P126">
            <v>1.2109649999999998</v>
          </cell>
          <cell r="Q126">
            <v>1.2543759999999999</v>
          </cell>
          <cell r="R126">
            <v>1.281722</v>
          </cell>
          <cell r="S126">
            <v>1.2927999999999999</v>
          </cell>
          <cell r="T126">
            <v>1.2969710000000001</v>
          </cell>
          <cell r="U126">
            <v>1.298576</v>
          </cell>
          <cell r="V126">
            <v>1.2985060000000002</v>
          </cell>
          <cell r="W126">
            <v>1.2921309999999999</v>
          </cell>
          <cell r="X126">
            <v>1.2778160000000001</v>
          </cell>
          <cell r="Y126">
            <v>1.256065</v>
          </cell>
          <cell r="Z126">
            <v>1.228834</v>
          </cell>
          <cell r="AA126">
            <v>1.199336</v>
          </cell>
          <cell r="AB126">
            <v>1.1697850000000001</v>
          </cell>
          <cell r="AC126">
            <v>1.140719</v>
          </cell>
          <cell r="AD126">
            <v>1.110981</v>
          </cell>
          <cell r="AE126">
            <v>1.08003</v>
          </cell>
          <cell r="AF126">
            <v>1.0481400000000001</v>
          </cell>
          <cell r="AG126">
            <v>1.0160769999999999</v>
          </cell>
          <cell r="AH126">
            <v>0.98433900000000008</v>
          </cell>
          <cell r="AI126">
            <v>0.95358599999999905</v>
          </cell>
          <cell r="AJ126">
            <v>0.9243880000000001</v>
          </cell>
        </row>
        <row r="127">
          <cell r="C127" t="str">
            <v>Malawi</v>
          </cell>
          <cell r="F127">
            <v>2.9250579999999999</v>
          </cell>
          <cell r="G127">
            <v>3.2071730000000001</v>
          </cell>
          <cell r="H127">
            <v>3.5784319999999998</v>
          </cell>
          <cell r="I127">
            <v>4.0391180000000002</v>
          </cell>
          <cell r="J127">
            <v>4.5679350000000003</v>
          </cell>
          <cell r="K127">
            <v>5.2052630000000004</v>
          </cell>
          <cell r="L127">
            <v>6.144298</v>
          </cell>
          <cell r="M127">
            <v>7.4807220000000001</v>
          </cell>
          <cell r="N127">
            <v>9.3820080000000008</v>
          </cell>
          <cell r="O127">
            <v>10.014128000000001</v>
          </cell>
          <cell r="P127">
            <v>11.098801999999999</v>
          </cell>
          <cell r="Q127">
            <v>12.578085999999999</v>
          </cell>
          <cell r="R127">
            <v>14.506543000000001</v>
          </cell>
          <cell r="S127">
            <v>16.706994999999999</v>
          </cell>
          <cell r="T127">
            <v>19.120888999999998</v>
          </cell>
          <cell r="U127">
            <v>21.722330000000003</v>
          </cell>
          <cell r="V127">
            <v>24.535521000000003</v>
          </cell>
          <cell r="W127">
            <v>27.500128</v>
          </cell>
          <cell r="X127">
            <v>30.483957</v>
          </cell>
          <cell r="Y127">
            <v>33.426739000000005</v>
          </cell>
          <cell r="Z127">
            <v>36.265307</v>
          </cell>
          <cell r="AA127">
            <v>38.972990999999901</v>
          </cell>
          <cell r="AB127">
            <v>41.515264999999999</v>
          </cell>
          <cell r="AC127">
            <v>43.800742</v>
          </cell>
          <cell r="AD127">
            <v>45.813478000000003</v>
          </cell>
          <cell r="AE127">
            <v>47.486098999999903</v>
          </cell>
          <cell r="AF127">
            <v>48.830914</v>
          </cell>
          <cell r="AG127">
            <v>49.830742000000001</v>
          </cell>
          <cell r="AH127">
            <v>50.571400000000004</v>
          </cell>
          <cell r="AI127">
            <v>51.098604000000002</v>
          </cell>
          <cell r="AJ127">
            <v>51.426885000000006</v>
          </cell>
        </row>
        <row r="128">
          <cell r="C128" t="str">
            <v>Malaysia</v>
          </cell>
          <cell r="F128">
            <v>5.9022479999999993</v>
          </cell>
          <cell r="G128">
            <v>6.6932030000000005</v>
          </cell>
          <cell r="H128">
            <v>7.7156260000000003</v>
          </cell>
          <cell r="I128">
            <v>8.9639150000000019</v>
          </cell>
          <cell r="J128">
            <v>10.18256</v>
          </cell>
          <cell r="K128">
            <v>11.473626000000001</v>
          </cell>
          <cell r="L128">
            <v>13.042191000000001</v>
          </cell>
          <cell r="M128">
            <v>14.889276000000001</v>
          </cell>
          <cell r="N128">
            <v>17.266773000000001</v>
          </cell>
          <cell r="O128">
            <v>19.863075000000002</v>
          </cell>
          <cell r="P128">
            <v>22.647180000000002</v>
          </cell>
          <cell r="Q128">
            <v>25.630648000000001</v>
          </cell>
          <cell r="R128">
            <v>28.488621999999999</v>
          </cell>
          <cell r="S128">
            <v>30.842299000000001</v>
          </cell>
          <cell r="T128">
            <v>33.003633000000001</v>
          </cell>
          <cell r="U128">
            <v>34.7236949999999</v>
          </cell>
          <cell r="V128">
            <v>36.316553999999996</v>
          </cell>
          <cell r="W128">
            <v>37.751398999999999</v>
          </cell>
          <cell r="X128">
            <v>39.005419000000003</v>
          </cell>
          <cell r="Y128">
            <v>40.092042999999997</v>
          </cell>
          <cell r="Z128">
            <v>41.011060000000001</v>
          </cell>
          <cell r="AA128">
            <v>41.761294999999997</v>
          </cell>
          <cell r="AB128">
            <v>42.331578999999998</v>
          </cell>
          <cell r="AC128">
            <v>42.682120000000005</v>
          </cell>
          <cell r="AD128">
            <v>42.816839000000002</v>
          </cell>
          <cell r="AE128">
            <v>42.725020999999998</v>
          </cell>
          <cell r="AF128">
            <v>42.421118999999997</v>
          </cell>
          <cell r="AG128">
            <v>41.931209000000003</v>
          </cell>
          <cell r="AH128">
            <v>41.311858999999998</v>
          </cell>
          <cell r="AI128">
            <v>40.612901000000001</v>
          </cell>
          <cell r="AJ128">
            <v>39.856999999999999</v>
          </cell>
        </row>
        <row r="129">
          <cell r="C129" t="str">
            <v>Mayotte</v>
          </cell>
          <cell r="F129">
            <v>2.0336E-2</v>
          </cell>
          <cell r="G129">
            <v>2.2658999999999999E-2</v>
          </cell>
          <cell r="H129">
            <v>2.5808000000000001E-2</v>
          </cell>
          <cell r="I129">
            <v>2.9708999999999999E-2</v>
          </cell>
          <cell r="J129">
            <v>3.4825000000000002E-2</v>
          </cell>
          <cell r="K129">
            <v>4.1308999999999998E-2</v>
          </cell>
          <cell r="L129">
            <v>5.0875999999999998E-2</v>
          </cell>
          <cell r="M129">
            <v>6.6334999999999991E-2</v>
          </cell>
          <cell r="N129">
            <v>8.9854000000000003E-2</v>
          </cell>
          <cell r="O129">
            <v>0.121333</v>
          </cell>
          <cell r="P129">
            <v>0.15590700000000002</v>
          </cell>
          <cell r="Q129">
            <v>0.185333</v>
          </cell>
          <cell r="R129">
            <v>0.20905199999999999</v>
          </cell>
          <cell r="S129">
            <v>0.24437300000000001</v>
          </cell>
          <cell r="T129">
            <v>0.30035400000000001</v>
          </cell>
          <cell r="U129">
            <v>0.35651700000000003</v>
          </cell>
          <cell r="V129">
            <v>0.41978099999999996</v>
          </cell>
          <cell r="W129">
            <v>0.49069199999999996</v>
          </cell>
          <cell r="X129">
            <v>0.57067099999999993</v>
          </cell>
          <cell r="Y129">
            <v>0.66065699999999994</v>
          </cell>
          <cell r="Z129">
            <v>0.76045199999999902</v>
          </cell>
          <cell r="AA129">
            <v>0.87004799999999993</v>
          </cell>
          <cell r="AB129">
            <v>0.98971900000000013</v>
          </cell>
          <cell r="AC129">
            <v>1.1217010000000001</v>
          </cell>
          <cell r="AD129">
            <v>1.267674999999999</v>
          </cell>
          <cell r="AE129">
            <v>1.4292959999999999</v>
          </cell>
          <cell r="AF129">
            <v>1.607845</v>
          </cell>
          <cell r="AG129">
            <v>1.8043580000000001</v>
          </cell>
          <cell r="AH129">
            <v>2.0199579999999999</v>
          </cell>
          <cell r="AI129">
            <v>2.2563019999999998</v>
          </cell>
          <cell r="AJ129">
            <v>2.5148470000000001</v>
          </cell>
        </row>
        <row r="130">
          <cell r="C130" t="str">
            <v>Namibia</v>
          </cell>
          <cell r="F130">
            <v>0.511768</v>
          </cell>
          <cell r="G130">
            <v>0.54389999999999994</v>
          </cell>
          <cell r="H130">
            <v>0.58483600000000002</v>
          </cell>
          <cell r="I130">
            <v>0.6496860000000001</v>
          </cell>
          <cell r="J130">
            <v>0.74348500000000006</v>
          </cell>
          <cell r="K130">
            <v>0.86302500000000004</v>
          </cell>
          <cell r="L130">
            <v>0.96927800000000008</v>
          </cell>
          <cell r="M130">
            <v>1.076781</v>
          </cell>
          <cell r="N130">
            <v>1.344965</v>
          </cell>
          <cell r="O130">
            <v>1.5824259999999999</v>
          </cell>
          <cell r="P130">
            <v>1.799315</v>
          </cell>
          <cell r="Q130">
            <v>1.951173</v>
          </cell>
          <cell r="R130">
            <v>2.0831599999999999</v>
          </cell>
          <cell r="S130">
            <v>2.2626219999999999</v>
          </cell>
          <cell r="T130">
            <v>2.4670779999999999</v>
          </cell>
          <cell r="U130">
            <v>2.6792790000000002</v>
          </cell>
          <cell r="V130">
            <v>2.8958409999999999</v>
          </cell>
          <cell r="W130">
            <v>3.0981969999999999</v>
          </cell>
          <cell r="X130">
            <v>3.2916909999999993</v>
          </cell>
          <cell r="Y130">
            <v>3.4716480000000001</v>
          </cell>
          <cell r="Z130">
            <v>3.6350629999999997</v>
          </cell>
          <cell r="AA130">
            <v>3.7747329999999999</v>
          </cell>
          <cell r="AB130">
            <v>3.882666</v>
          </cell>
          <cell r="AC130">
            <v>3.965938</v>
          </cell>
          <cell r="AD130">
            <v>4.0239630000000002</v>
          </cell>
          <cell r="AE130">
            <v>4.0643390000000004</v>
          </cell>
          <cell r="AF130">
            <v>4.0908930000000003</v>
          </cell>
          <cell r="AG130">
            <v>4.1046250000000004</v>
          </cell>
          <cell r="AH130">
            <v>4.104406</v>
          </cell>
          <cell r="AI130">
            <v>4.0875120000000003</v>
          </cell>
          <cell r="AJ130">
            <v>4.0575369999999999</v>
          </cell>
        </row>
        <row r="131">
          <cell r="C131" t="str">
            <v>New Caledonia</v>
          </cell>
          <cell r="F131">
            <v>6.3335000000000002E-2</v>
          </cell>
          <cell r="G131">
            <v>6.9281000000000009E-2</v>
          </cell>
          <cell r="H131">
            <v>7.9875000000000002E-2</v>
          </cell>
          <cell r="I131">
            <v>9.3507999999999994E-2</v>
          </cell>
          <cell r="J131">
            <v>0.108651</v>
          </cell>
          <cell r="K131">
            <v>0.134186</v>
          </cell>
          <cell r="L131">
            <v>0.147781</v>
          </cell>
          <cell r="M131">
            <v>0.15819999999999998</v>
          </cell>
          <cell r="N131">
            <v>0.17508600000000002</v>
          </cell>
          <cell r="O131">
            <v>0.19749000000000003</v>
          </cell>
          <cell r="P131">
            <v>0.21930600000000003</v>
          </cell>
          <cell r="Q131">
            <v>0.24052199999999999</v>
          </cell>
          <cell r="R131">
            <v>0.25902400000000003</v>
          </cell>
          <cell r="S131">
            <v>0.28263499999999997</v>
          </cell>
          <cell r="T131">
            <v>0.28561900000000001</v>
          </cell>
          <cell r="U131">
            <v>0.299236</v>
          </cell>
          <cell r="V131">
            <v>0.31107399999999996</v>
          </cell>
          <cell r="W131">
            <v>0.321522999999999</v>
          </cell>
          <cell r="X131">
            <v>0.33110700000000004</v>
          </cell>
          <cell r="Y131">
            <v>0.33960299999999999</v>
          </cell>
          <cell r="Z131">
            <v>0.34665899999999999</v>
          </cell>
          <cell r="AA131">
            <v>0.35216399999999998</v>
          </cell>
          <cell r="AB131">
            <v>0.35613600000000001</v>
          </cell>
          <cell r="AC131">
            <v>0.35868000000000005</v>
          </cell>
          <cell r="AD131">
            <v>0.36019199999999996</v>
          </cell>
          <cell r="AE131">
            <v>0.36091899999999999</v>
          </cell>
          <cell r="AF131">
            <v>0.36093500000000001</v>
          </cell>
          <cell r="AG131">
            <v>0.36018700000000003</v>
          </cell>
          <cell r="AH131">
            <v>0.35856499999999997</v>
          </cell>
          <cell r="AI131">
            <v>0.356074</v>
          </cell>
          <cell r="AJ131">
            <v>0.352767</v>
          </cell>
        </row>
        <row r="132">
          <cell r="C132" t="str">
            <v>Niger</v>
          </cell>
          <cell r="F132">
            <v>2.5237479999999999</v>
          </cell>
          <cell r="G132">
            <v>2.973265</v>
          </cell>
          <cell r="H132">
            <v>3.4457820000000003</v>
          </cell>
          <cell r="I132">
            <v>3.9947789999999999</v>
          </cell>
          <cell r="J132">
            <v>4.6059109999999999</v>
          </cell>
          <cell r="K132">
            <v>5.2664</v>
          </cell>
          <cell r="L132">
            <v>6.0782860000000003</v>
          </cell>
          <cell r="M132">
            <v>7.078919</v>
          </cell>
          <cell r="N132">
            <v>8.2404159999999997</v>
          </cell>
          <cell r="O132">
            <v>9.6473790000000008</v>
          </cell>
          <cell r="P132">
            <v>11.422084999999999</v>
          </cell>
          <cell r="Q132">
            <v>13.60561</v>
          </cell>
          <cell r="R132">
            <v>16.335720999999999</v>
          </cell>
          <cell r="S132">
            <v>19.739585999999999</v>
          </cell>
          <cell r="T132">
            <v>23.881689999999999</v>
          </cell>
          <cell r="U132">
            <v>28.709452000000002</v>
          </cell>
          <cell r="V132">
            <v>34.353583</v>
          </cell>
          <cell r="W132">
            <v>40.754722000000001</v>
          </cell>
          <cell r="X132">
            <v>47.862938</v>
          </cell>
          <cell r="Y132">
            <v>55.566157999999902</v>
          </cell>
          <cell r="Z132">
            <v>63.821668000000003</v>
          </cell>
          <cell r="AA132">
            <v>72.458723000000006</v>
          </cell>
          <cell r="AB132">
            <v>81.321411999999896</v>
          </cell>
          <cell r="AC132">
            <v>90.193630000000113</v>
          </cell>
          <cell r="AD132">
            <v>98.908467000000002</v>
          </cell>
          <cell r="AE132">
            <v>107.36471400000001</v>
          </cell>
          <cell r="AF132">
            <v>115.3305</v>
          </cell>
          <cell r="AG132">
            <v>122.87874099999999</v>
          </cell>
          <cell r="AH132">
            <v>129.796592</v>
          </cell>
          <cell r="AI132">
            <v>135.94743800000001</v>
          </cell>
          <cell r="AJ132">
            <v>141.06274299999998</v>
          </cell>
        </row>
        <row r="133">
          <cell r="C133" t="str">
            <v>Nigeria</v>
          </cell>
          <cell r="F133">
            <v>36.835614</v>
          </cell>
          <cell r="G133">
            <v>40.455152000000005</v>
          </cell>
          <cell r="H133">
            <v>44.475826000000005</v>
          </cell>
          <cell r="I133">
            <v>49.381059</v>
          </cell>
          <cell r="J133">
            <v>54.944571000000003</v>
          </cell>
          <cell r="K133">
            <v>61.971369000000003</v>
          </cell>
          <cell r="L133">
            <v>71.827861999999996</v>
          </cell>
          <cell r="M133">
            <v>82.472309999999993</v>
          </cell>
          <cell r="N133">
            <v>93.963392000000013</v>
          </cell>
          <cell r="O133">
            <v>106.819805</v>
          </cell>
          <cell r="P133">
            <v>121.235485</v>
          </cell>
          <cell r="Q133">
            <v>138.60326999999998</v>
          </cell>
          <cell r="R133">
            <v>158.733204</v>
          </cell>
          <cell r="S133">
            <v>181.70266100000001</v>
          </cell>
          <cell r="T133">
            <v>205.78060000000002</v>
          </cell>
          <cell r="U133">
            <v>232.14363299999999</v>
          </cell>
          <cell r="V133">
            <v>261.136008</v>
          </cell>
          <cell r="W133">
            <v>292.86136099999999</v>
          </cell>
          <cell r="X133">
            <v>327.14808000000005</v>
          </cell>
          <cell r="Y133">
            <v>363.29766600000005</v>
          </cell>
          <cell r="Z133">
            <v>400.59611200000001</v>
          </cell>
          <cell r="AA133">
            <v>437.79846800000001</v>
          </cell>
          <cell r="AB133">
            <v>474.46672899999999</v>
          </cell>
          <cell r="AC133">
            <v>510.22527300000002</v>
          </cell>
          <cell r="AD133">
            <v>544.62122199999908</v>
          </cell>
          <cell r="AE133">
            <v>577.42230200000006</v>
          </cell>
          <cell r="AF133">
            <v>608.08036700000002</v>
          </cell>
          <cell r="AG133">
            <v>635.68199300000003</v>
          </cell>
          <cell r="AH133">
            <v>660.15193199999999</v>
          </cell>
          <cell r="AI133">
            <v>680.53964000000099</v>
          </cell>
          <cell r="AJ133">
            <v>696.72972500000003</v>
          </cell>
        </row>
        <row r="134">
          <cell r="C134" t="str">
            <v>Nicaragua</v>
          </cell>
          <cell r="F134">
            <v>1.310837</v>
          </cell>
          <cell r="G134">
            <v>1.5166740000000001</v>
          </cell>
          <cell r="H134">
            <v>1.7627220000000001</v>
          </cell>
          <cell r="I134">
            <v>2.05186</v>
          </cell>
          <cell r="J134">
            <v>2.4049989999999997</v>
          </cell>
          <cell r="K134">
            <v>2.8128640000000003</v>
          </cell>
          <cell r="L134">
            <v>3.2560439999999997</v>
          </cell>
          <cell r="M134">
            <v>3.7188510000000004</v>
          </cell>
          <cell r="N134">
            <v>4.1784179999999997</v>
          </cell>
          <cell r="O134">
            <v>4.6741299999999999</v>
          </cell>
          <cell r="P134">
            <v>5.0875219999999999</v>
          </cell>
          <cell r="Q134">
            <v>5.4177280000000003</v>
          </cell>
          <cell r="R134">
            <v>5.8127010000000006</v>
          </cell>
          <cell r="S134">
            <v>6.2534669999999997</v>
          </cell>
          <cell r="T134">
            <v>6.7097039999999986</v>
          </cell>
          <cell r="U134">
            <v>7.1597390000000098</v>
          </cell>
          <cell r="V134">
            <v>7.5644370000000096</v>
          </cell>
          <cell r="W134">
            <v>7.9159019999999902</v>
          </cell>
          <cell r="X134">
            <v>8.204337999999991</v>
          </cell>
          <cell r="Y134">
            <v>8.4263889999999986</v>
          </cell>
          <cell r="Z134">
            <v>8.5956810000000008</v>
          </cell>
          <cell r="AA134">
            <v>8.7178909999999998</v>
          </cell>
          <cell r="AB134">
            <v>8.7889810000000104</v>
          </cell>
          <cell r="AC134">
            <v>8.8209950000000017</v>
          </cell>
          <cell r="AD134">
            <v>8.8109260000000003</v>
          </cell>
          <cell r="AE134">
            <v>8.7649179999999998</v>
          </cell>
          <cell r="AF134">
            <v>8.6859190000000108</v>
          </cell>
          <cell r="AG134">
            <v>8.5866370000000014</v>
          </cell>
          <cell r="AH134">
            <v>8.4717380000000002</v>
          </cell>
          <cell r="AI134">
            <v>8.3510450000000009</v>
          </cell>
          <cell r="AJ134">
            <v>8.2305589999999995</v>
          </cell>
        </row>
        <row r="135">
          <cell r="C135" t="str">
            <v>Netherlands</v>
          </cell>
          <cell r="F135">
            <v>10.027047000000001</v>
          </cell>
          <cell r="G135">
            <v>10.699266</v>
          </cell>
          <cell r="H135">
            <v>11.418143000000001</v>
          </cell>
          <cell r="I135">
            <v>12.199101000000001</v>
          </cell>
          <cell r="J135">
            <v>12.960941999999999</v>
          </cell>
          <cell r="K135">
            <v>13.615283</v>
          </cell>
          <cell r="L135">
            <v>14.085317</v>
          </cell>
          <cell r="M135">
            <v>14.47845</v>
          </cell>
          <cell r="N135">
            <v>14.894311999999999</v>
          </cell>
          <cell r="O135">
            <v>15.399771000000001</v>
          </cell>
          <cell r="P135">
            <v>15.855928</v>
          </cell>
          <cell r="Q135">
            <v>16.230064000000002</v>
          </cell>
          <cell r="R135">
            <v>16.575583999999999</v>
          </cell>
          <cell r="S135">
            <v>16.999762</v>
          </cell>
          <cell r="T135">
            <v>17.402279</v>
          </cell>
          <cell r="U135">
            <v>17.584105999999998</v>
          </cell>
          <cell r="V135">
            <v>17.715827000000001</v>
          </cell>
          <cell r="W135">
            <v>17.810057</v>
          </cell>
          <cell r="X135">
            <v>17.853432000000002</v>
          </cell>
          <cell r="Y135">
            <v>17.860264000000001</v>
          </cell>
          <cell r="Z135">
            <v>17.863999</v>
          </cell>
          <cell r="AA135">
            <v>17.842416</v>
          </cell>
          <cell r="AB135">
            <v>17.817109000000002</v>
          </cell>
          <cell r="AC135">
            <v>17.801107999999999</v>
          </cell>
          <cell r="AD135">
            <v>17.813033999999998</v>
          </cell>
          <cell r="AE135">
            <v>17.843700000000002</v>
          </cell>
          <cell r="AF135">
            <v>17.860624999999999</v>
          </cell>
          <cell r="AG135">
            <v>17.834112000000001</v>
          </cell>
          <cell r="AH135">
            <v>17.760733000000002</v>
          </cell>
          <cell r="AI135">
            <v>17.652288000000002</v>
          </cell>
          <cell r="AJ135">
            <v>17.521713999999999</v>
          </cell>
        </row>
        <row r="136">
          <cell r="C136" t="str">
            <v>Norway</v>
          </cell>
          <cell r="F136">
            <v>3.2821419999999999</v>
          </cell>
          <cell r="G136">
            <v>3.4114390000000001</v>
          </cell>
          <cell r="H136">
            <v>3.5681069999999999</v>
          </cell>
          <cell r="I136">
            <v>3.7089569999999998</v>
          </cell>
          <cell r="J136">
            <v>3.8630400000000003</v>
          </cell>
          <cell r="K136">
            <v>3.9976669999999999</v>
          </cell>
          <cell r="L136">
            <v>4.079053</v>
          </cell>
          <cell r="M136">
            <v>4.1459799999999998</v>
          </cell>
          <cell r="N136">
            <v>4.2332900000000002</v>
          </cell>
          <cell r="O136">
            <v>4.348529000000001</v>
          </cell>
          <cell r="P136">
            <v>4.4787169999999996</v>
          </cell>
          <cell r="Q136">
            <v>4.6067460000000002</v>
          </cell>
          <cell r="R136">
            <v>4.8587009999999999</v>
          </cell>
          <cell r="S136">
            <v>5.1662809999999997</v>
          </cell>
          <cell r="T136">
            <v>5.3679480000000002</v>
          </cell>
          <cell r="U136">
            <v>5.5068029999999997</v>
          </cell>
          <cell r="V136">
            <v>5.6246020000000003</v>
          </cell>
          <cell r="W136">
            <v>5.7416049999999998</v>
          </cell>
          <cell r="X136">
            <v>5.8580220000000001</v>
          </cell>
          <cell r="Y136">
            <v>5.9752799999999899</v>
          </cell>
          <cell r="Z136">
            <v>6.1002830000000001</v>
          </cell>
          <cell r="AA136">
            <v>6.2050770000000002</v>
          </cell>
          <cell r="AB136">
            <v>6.296424</v>
          </cell>
          <cell r="AC136">
            <v>6.3750120000000097</v>
          </cell>
          <cell r="AD136">
            <v>6.4493150000000101</v>
          </cell>
          <cell r="AE136">
            <v>6.5212579999999987</v>
          </cell>
          <cell r="AF136">
            <v>6.5825529999999999</v>
          </cell>
          <cell r="AG136">
            <v>6.622369</v>
          </cell>
          <cell r="AH136">
            <v>6.639602</v>
          </cell>
          <cell r="AI136">
            <v>6.6424710000000005</v>
          </cell>
          <cell r="AJ136">
            <v>6.6368349999999996</v>
          </cell>
        </row>
        <row r="137">
          <cell r="C137" t="str">
            <v>Nepal</v>
          </cell>
          <cell r="F137">
            <v>8.3085679999999993</v>
          </cell>
          <cell r="G137">
            <v>9.1980390000000014</v>
          </cell>
          <cell r="H137">
            <v>10.071769</v>
          </cell>
          <cell r="I137">
            <v>11.115459999999999</v>
          </cell>
          <cell r="J137">
            <v>12.364129999999999</v>
          </cell>
          <cell r="K137">
            <v>13.773818</v>
          </cell>
          <cell r="L137">
            <v>15.416235</v>
          </cell>
          <cell r="M137">
            <v>17.341203</v>
          </cell>
          <cell r="N137">
            <v>19.367158</v>
          </cell>
          <cell r="O137">
            <v>22.063395</v>
          </cell>
          <cell r="P137">
            <v>24.358301000000001</v>
          </cell>
          <cell r="Q137">
            <v>26.155027</v>
          </cell>
          <cell r="R137">
            <v>27.095355000000001</v>
          </cell>
          <cell r="S137">
            <v>27.517470000000003</v>
          </cell>
          <cell r="T137">
            <v>28.999223000000001</v>
          </cell>
          <cell r="U137">
            <v>30.601018</v>
          </cell>
          <cell r="V137">
            <v>31.961480000000002</v>
          </cell>
          <cell r="W137">
            <v>33.013760000000005</v>
          </cell>
          <cell r="X137">
            <v>33.817323999999999</v>
          </cell>
          <cell r="Y137">
            <v>34.435605000000002</v>
          </cell>
          <cell r="Z137">
            <v>34.891007999999999</v>
          </cell>
          <cell r="AA137">
            <v>35.188086000000006</v>
          </cell>
          <cell r="AB137">
            <v>35.295653000000001</v>
          </cell>
          <cell r="AC137">
            <v>35.2683379999999</v>
          </cell>
          <cell r="AD137">
            <v>35.124442999999999</v>
          </cell>
          <cell r="AE137">
            <v>34.872838000000002</v>
          </cell>
          <cell r="AF137">
            <v>34.521499000000006</v>
          </cell>
          <cell r="AG137">
            <v>34.060711000000005</v>
          </cell>
          <cell r="AH137">
            <v>33.523129000000004</v>
          </cell>
          <cell r="AI137">
            <v>32.961512999999997</v>
          </cell>
          <cell r="AJ137">
            <v>32.442129999999999</v>
          </cell>
        </row>
        <row r="138">
          <cell r="C138" t="str">
            <v>New Zealand</v>
          </cell>
          <cell r="F138">
            <v>1.8926880000000001</v>
          </cell>
          <cell r="G138">
            <v>2.1189110000000002</v>
          </cell>
          <cell r="H138">
            <v>2.3578870000000003</v>
          </cell>
          <cell r="I138">
            <v>2.6151230000000001</v>
          </cell>
          <cell r="J138">
            <v>2.803058</v>
          </cell>
          <cell r="K138">
            <v>3.0733960000000002</v>
          </cell>
          <cell r="L138">
            <v>3.1426640000000003</v>
          </cell>
          <cell r="M138">
            <v>3.262893</v>
          </cell>
          <cell r="N138">
            <v>3.3448829999999998</v>
          </cell>
          <cell r="O138">
            <v>3.646118</v>
          </cell>
          <cell r="P138">
            <v>3.8433560000000004</v>
          </cell>
          <cell r="Q138">
            <v>4.1081210000000006</v>
          </cell>
          <cell r="R138">
            <v>4.3257690000000002</v>
          </cell>
          <cell r="S138">
            <v>4.552041</v>
          </cell>
          <cell r="T138">
            <v>5.0264850000000001</v>
          </cell>
          <cell r="U138">
            <v>5.1802140000000003</v>
          </cell>
          <cell r="V138">
            <v>5.3217569999999998</v>
          </cell>
          <cell r="W138">
            <v>5.4493800000000014</v>
          </cell>
          <cell r="X138">
            <v>5.5657060000000005</v>
          </cell>
          <cell r="Y138">
            <v>5.6741480000000006</v>
          </cell>
          <cell r="Z138">
            <v>5.7750060000000003</v>
          </cell>
          <cell r="AA138">
            <v>5.85921</v>
          </cell>
          <cell r="AB138">
            <v>5.9318680000000015</v>
          </cell>
          <cell r="AC138">
            <v>5.9929650000000105</v>
          </cell>
          <cell r="AD138">
            <v>6.0451189999999997</v>
          </cell>
          <cell r="AE138">
            <v>6.0856080000000006</v>
          </cell>
          <cell r="AF138">
            <v>6.1106800000000003</v>
          </cell>
          <cell r="AG138">
            <v>6.1166349999999996</v>
          </cell>
          <cell r="AH138">
            <v>6.1022660000000002</v>
          </cell>
          <cell r="AI138">
            <v>6.0704440000000002</v>
          </cell>
          <cell r="AJ138">
            <v>6.025995</v>
          </cell>
        </row>
        <row r="139">
          <cell r="C139" t="str">
            <v>Oman</v>
          </cell>
          <cell r="F139">
            <v>0.45418200000000003</v>
          </cell>
          <cell r="G139">
            <v>0.48848700000000006</v>
          </cell>
          <cell r="H139">
            <v>0.53181</v>
          </cell>
          <cell r="I139">
            <v>0.58713199999999999</v>
          </cell>
          <cell r="J139">
            <v>0.66191999999999995</v>
          </cell>
          <cell r="K139">
            <v>0.77010599999999996</v>
          </cell>
          <cell r="L139">
            <v>0.98957100000000009</v>
          </cell>
          <cell r="M139">
            <v>1.308068</v>
          </cell>
          <cell r="N139">
            <v>1.7591289999999999</v>
          </cell>
          <cell r="O139">
            <v>2.1536140000000001</v>
          </cell>
          <cell r="P139">
            <v>2.3287370000000003</v>
          </cell>
          <cell r="Q139">
            <v>2.4922900000000001</v>
          </cell>
          <cell r="R139">
            <v>2.7212130000000001</v>
          </cell>
          <cell r="S139">
            <v>4.0852079999999997</v>
          </cell>
          <cell r="T139">
            <v>4.5891350000000006</v>
          </cell>
          <cell r="U139">
            <v>4.9912810000000096</v>
          </cell>
          <cell r="V139">
            <v>5.3589649999999995</v>
          </cell>
          <cell r="W139">
            <v>5.6772359999999997</v>
          </cell>
          <cell r="X139">
            <v>5.963025</v>
          </cell>
          <cell r="Y139">
            <v>6.2396830000000003</v>
          </cell>
          <cell r="Z139">
            <v>6.4974489999999996</v>
          </cell>
          <cell r="AA139">
            <v>6.7057900000000004</v>
          </cell>
          <cell r="AB139">
            <v>6.8414570000000001</v>
          </cell>
          <cell r="AC139">
            <v>6.8963040000000007</v>
          </cell>
          <cell r="AD139">
            <v>6.8804179999999997</v>
          </cell>
          <cell r="AE139">
            <v>6.8104820000000004</v>
          </cell>
          <cell r="AF139">
            <v>6.7133940000000001</v>
          </cell>
          <cell r="AG139">
            <v>6.6102220000000003</v>
          </cell>
          <cell r="AH139">
            <v>6.5229100000000004</v>
          </cell>
          <cell r="AI139">
            <v>6.4524120000000007</v>
          </cell>
          <cell r="AJ139">
            <v>6.3828480000000001</v>
          </cell>
        </row>
        <row r="140">
          <cell r="C140" t="str">
            <v>Pakistan</v>
          </cell>
          <cell r="F140">
            <v>37.459000000000003</v>
          </cell>
          <cell r="G140">
            <v>40.607236</v>
          </cell>
          <cell r="H140">
            <v>45.383345999999996</v>
          </cell>
          <cell r="I140">
            <v>51.182042000000003</v>
          </cell>
          <cell r="J140">
            <v>58.466090999999999</v>
          </cell>
          <cell r="K140">
            <v>67.104312000000007</v>
          </cell>
          <cell r="L140">
            <v>78.826071999999996</v>
          </cell>
          <cell r="M140">
            <v>95.385024000000001</v>
          </cell>
          <cell r="N140">
            <v>113.528316</v>
          </cell>
          <cell r="O140">
            <v>131.04009099999999</v>
          </cell>
          <cell r="P140">
            <v>151.82248999999999</v>
          </cell>
          <cell r="Q140">
            <v>172.55139700000001</v>
          </cell>
          <cell r="R140">
            <v>192.28440499999999</v>
          </cell>
          <cell r="S140">
            <v>209.65896700000002</v>
          </cell>
          <cell r="T140">
            <v>225.11285900000001</v>
          </cell>
          <cell r="U140">
            <v>248.71995900000002</v>
          </cell>
          <cell r="V140">
            <v>273.61896999999999</v>
          </cell>
          <cell r="W140">
            <v>298.84568899999999</v>
          </cell>
          <cell r="X140">
            <v>323.60750000000002</v>
          </cell>
          <cell r="Y140">
            <v>347.45790199999999</v>
          </cell>
          <cell r="Z140">
            <v>370.48461300000002</v>
          </cell>
          <cell r="AA140">
            <v>392.058111</v>
          </cell>
          <cell r="AB140">
            <v>412.12355500000001</v>
          </cell>
          <cell r="AC140">
            <v>429.94959700000004</v>
          </cell>
          <cell r="AD140">
            <v>445.34890799999999</v>
          </cell>
          <cell r="AE140">
            <v>458.12375700000001</v>
          </cell>
          <cell r="AF140">
            <v>468.261235</v>
          </cell>
          <cell r="AG140">
            <v>476.335285</v>
          </cell>
          <cell r="AH140">
            <v>482.800274</v>
          </cell>
          <cell r="AI140">
            <v>487.76865700000002</v>
          </cell>
          <cell r="AJ140">
            <v>491.45155599999998</v>
          </cell>
        </row>
        <row r="141">
          <cell r="C141" t="str">
            <v>Panama</v>
          </cell>
          <cell r="F141">
            <v>0.85060000000000002</v>
          </cell>
          <cell r="G141">
            <v>0.96689499999999995</v>
          </cell>
          <cell r="H141">
            <v>1.1104749999999999</v>
          </cell>
          <cell r="I141">
            <v>1.2908060000000001</v>
          </cell>
          <cell r="J141">
            <v>1.4949459999999999</v>
          </cell>
          <cell r="K141">
            <v>1.712771</v>
          </cell>
          <cell r="L141">
            <v>1.9342000000000001</v>
          </cell>
          <cell r="M141">
            <v>2.172237</v>
          </cell>
          <cell r="N141">
            <v>2.4238620000000002</v>
          </cell>
          <cell r="O141">
            <v>2.68852</v>
          </cell>
          <cell r="P141">
            <v>2.9722730000000004</v>
          </cell>
          <cell r="Q141">
            <v>3.2745290000000002</v>
          </cell>
          <cell r="R141">
            <v>3.5914200000000003</v>
          </cell>
          <cell r="S141">
            <v>3.9226640000000002</v>
          </cell>
          <cell r="T141">
            <v>4.2655420000000008</v>
          </cell>
          <cell r="U141">
            <v>4.5397789999999905</v>
          </cell>
          <cell r="V141">
            <v>4.7988990000000005</v>
          </cell>
          <cell r="W141">
            <v>5.0349009999999996</v>
          </cell>
          <cell r="X141">
            <v>5.2384019999999998</v>
          </cell>
          <cell r="Y141">
            <v>5.4116090000000003</v>
          </cell>
          <cell r="Z141">
            <v>5.546951</v>
          </cell>
          <cell r="AA141">
            <v>5.6531120000000001</v>
          </cell>
          <cell r="AB141">
            <v>5.7355640000000001</v>
          </cell>
          <cell r="AC141">
            <v>5.7943180000000005</v>
          </cell>
          <cell r="AD141">
            <v>5.8312550000000005</v>
          </cell>
          <cell r="AE141">
            <v>5.8436380000000003</v>
          </cell>
          <cell r="AF141">
            <v>5.8356530000000006</v>
          </cell>
          <cell r="AG141">
            <v>5.8074530000000006</v>
          </cell>
          <cell r="AH141">
            <v>5.7639300000000002</v>
          </cell>
          <cell r="AI141">
            <v>5.7051959999999999</v>
          </cell>
          <cell r="AJ141">
            <v>5.6323569999999998</v>
          </cell>
        </row>
        <row r="142">
          <cell r="C142" t="str">
            <v>Peru</v>
          </cell>
          <cell r="F142">
            <v>7.571186</v>
          </cell>
          <cell r="G142">
            <v>8.7025710000000007</v>
          </cell>
          <cell r="H142">
            <v>10.022346000000001</v>
          </cell>
          <cell r="I142">
            <v>11.609335</v>
          </cell>
          <cell r="J142">
            <v>13.402077999999999</v>
          </cell>
          <cell r="K142">
            <v>15.248381999999999</v>
          </cell>
          <cell r="L142">
            <v>17.271626000000001</v>
          </cell>
          <cell r="M142">
            <v>19.514721000000002</v>
          </cell>
          <cell r="N142">
            <v>21.865371</v>
          </cell>
          <cell r="O142">
            <v>24.22006</v>
          </cell>
          <cell r="P142">
            <v>26.462243000000001</v>
          </cell>
          <cell r="Q142">
            <v>28.026964</v>
          </cell>
          <cell r="R142">
            <v>29.112470000000002</v>
          </cell>
          <cell r="S142">
            <v>30.520693999999999</v>
          </cell>
          <cell r="T142">
            <v>33.090275000000005</v>
          </cell>
          <cell r="U142">
            <v>34.546681</v>
          </cell>
          <cell r="V142">
            <v>35.994536999999994</v>
          </cell>
          <cell r="W142">
            <v>37.216843999999902</v>
          </cell>
          <cell r="X142">
            <v>38.169317000000007</v>
          </cell>
          <cell r="Y142">
            <v>38.888902000000002</v>
          </cell>
          <cell r="Z142">
            <v>39.386173000000007</v>
          </cell>
          <cell r="AA142">
            <v>39.693603000000003</v>
          </cell>
          <cell r="AB142">
            <v>39.812968000000005</v>
          </cell>
          <cell r="AC142">
            <v>39.757692000000006</v>
          </cell>
          <cell r="AD142">
            <v>39.550013999999905</v>
          </cell>
          <cell r="AE142">
            <v>39.211423000000003</v>
          </cell>
          <cell r="AF142">
            <v>38.760053999999997</v>
          </cell>
          <cell r="AG142">
            <v>38.227694000000007</v>
          </cell>
          <cell r="AH142">
            <v>37.644158000000004</v>
          </cell>
          <cell r="AI142">
            <v>37.015646000000004</v>
          </cell>
          <cell r="AJ142">
            <v>36.351131000000002</v>
          </cell>
        </row>
        <row r="143">
          <cell r="C143" t="str">
            <v>Philippines</v>
          </cell>
          <cell r="F143">
            <v>18.062056000000002</v>
          </cell>
          <cell r="G143">
            <v>22.514403999999999</v>
          </cell>
          <cell r="H143">
            <v>28.049970000000002</v>
          </cell>
          <cell r="I143">
            <v>32.356729999999999</v>
          </cell>
          <cell r="J143">
            <v>36.942957</v>
          </cell>
          <cell r="K143">
            <v>41.873860999999998</v>
          </cell>
          <cell r="L143">
            <v>47.786287999999999</v>
          </cell>
          <cell r="M143">
            <v>54.161737000000002</v>
          </cell>
          <cell r="N143">
            <v>60.817097000000004</v>
          </cell>
          <cell r="O143">
            <v>68.442172999999997</v>
          </cell>
          <cell r="P143">
            <v>77.120792000000009</v>
          </cell>
          <cell r="Q143">
            <v>85.443956999999997</v>
          </cell>
          <cell r="R143">
            <v>93.786878000000002</v>
          </cell>
          <cell r="S143">
            <v>102.125514</v>
          </cell>
          <cell r="T143">
            <v>111.28762399999999</v>
          </cell>
          <cell r="U143">
            <v>119.75404899999999</v>
          </cell>
          <cell r="V143">
            <v>128.09757000000002</v>
          </cell>
          <cell r="W143">
            <v>135.86743300000001</v>
          </cell>
          <cell r="X143">
            <v>142.85899000000001</v>
          </cell>
          <cell r="Y143">
            <v>149.04640700000002</v>
          </cell>
          <cell r="Z143">
            <v>154.34364400000001</v>
          </cell>
          <cell r="AA143">
            <v>158.61792800000001</v>
          </cell>
          <cell r="AB143">
            <v>161.80742800000002</v>
          </cell>
          <cell r="AC143">
            <v>164.256327</v>
          </cell>
          <cell r="AD143">
            <v>166.08175599999998</v>
          </cell>
          <cell r="AE143">
            <v>167.214079</v>
          </cell>
          <cell r="AF143">
            <v>167.689425</v>
          </cell>
          <cell r="AG143">
            <v>167.365827</v>
          </cell>
          <cell r="AH143">
            <v>166.37241399999999</v>
          </cell>
          <cell r="AI143">
            <v>164.90675300000001</v>
          </cell>
          <cell r="AJ143">
            <v>163.138451</v>
          </cell>
        </row>
        <row r="144">
          <cell r="C144" t="str">
            <v>Papua New Guinea</v>
          </cell>
          <cell r="F144">
            <v>1.526961</v>
          </cell>
          <cell r="G144">
            <v>1.71191</v>
          </cell>
          <cell r="H144">
            <v>1.9590380000000001</v>
          </cell>
          <cell r="I144">
            <v>2.1984490000000001</v>
          </cell>
          <cell r="J144">
            <v>2.4593539999999998</v>
          </cell>
          <cell r="K144">
            <v>2.7638730000000002</v>
          </cell>
          <cell r="L144">
            <v>3.0731120000000001</v>
          </cell>
          <cell r="M144">
            <v>3.4104190000000001</v>
          </cell>
          <cell r="N144">
            <v>3.808516</v>
          </cell>
          <cell r="O144">
            <v>4.5329350000000002</v>
          </cell>
          <cell r="P144">
            <v>5.4141490000000001</v>
          </cell>
          <cell r="Q144">
            <v>6.3950320000000005</v>
          </cell>
          <cell r="R144">
            <v>7.4701060000000004</v>
          </cell>
          <cell r="S144">
            <v>8.5732999999999997</v>
          </cell>
          <cell r="T144">
            <v>9.6488160000000001</v>
          </cell>
          <cell r="U144">
            <v>10.656870000000001</v>
          </cell>
          <cell r="V144">
            <v>11.631244000000001</v>
          </cell>
          <cell r="W144">
            <v>12.557918000000001</v>
          </cell>
          <cell r="X144">
            <v>13.432214</v>
          </cell>
          <cell r="Y144">
            <v>14.231831</v>
          </cell>
          <cell r="Z144">
            <v>14.94589</v>
          </cell>
          <cell r="AA144">
            <v>15.549522999999999</v>
          </cell>
          <cell r="AB144">
            <v>16.046834999999998</v>
          </cell>
          <cell r="AC144">
            <v>16.414739000000001</v>
          </cell>
          <cell r="AD144">
            <v>16.682565</v>
          </cell>
          <cell r="AE144">
            <v>16.860667000000003</v>
          </cell>
          <cell r="AF144">
            <v>16.951150000000002</v>
          </cell>
          <cell r="AG144">
            <v>16.941509</v>
          </cell>
          <cell r="AH144">
            <v>16.836116999999998</v>
          </cell>
          <cell r="AI144">
            <v>16.640308000000001</v>
          </cell>
          <cell r="AJ144">
            <v>16.368977999999998</v>
          </cell>
        </row>
        <row r="145">
          <cell r="C145" t="str">
            <v>Poland</v>
          </cell>
          <cell r="F145">
            <v>24.563596</v>
          </cell>
          <cell r="G145">
            <v>26.857794999999999</v>
          </cell>
          <cell r="H145">
            <v>29.296983000000001</v>
          </cell>
          <cell r="I145">
            <v>31.079307</v>
          </cell>
          <cell r="J145">
            <v>32.381491000000004</v>
          </cell>
          <cell r="K145">
            <v>33.739052999999998</v>
          </cell>
          <cell r="L145">
            <v>35.359553999999996</v>
          </cell>
          <cell r="M145">
            <v>37.039241000000004</v>
          </cell>
          <cell r="N145">
            <v>38.008178999999998</v>
          </cell>
          <cell r="O145">
            <v>38.402445</v>
          </cell>
          <cell r="P145">
            <v>38.340883999999996</v>
          </cell>
          <cell r="Q145">
            <v>38.586229000000003</v>
          </cell>
          <cell r="R145">
            <v>38.579785000000001</v>
          </cell>
          <cell r="S145">
            <v>38.574014000000005</v>
          </cell>
          <cell r="T145">
            <v>38.477961000000001</v>
          </cell>
          <cell r="U145">
            <v>39.009406000000006</v>
          </cell>
          <cell r="V145">
            <v>38.207428</v>
          </cell>
          <cell r="W145">
            <v>37.377688000000006</v>
          </cell>
          <cell r="X145">
            <v>36.570065999999997</v>
          </cell>
          <cell r="Y145">
            <v>35.797781000000001</v>
          </cell>
          <cell r="Z145">
            <v>35.098745999999998</v>
          </cell>
          <cell r="AA145">
            <v>34.380014000000003</v>
          </cell>
          <cell r="AB145">
            <v>33.630750999999997</v>
          </cell>
          <cell r="AC145">
            <v>32.834282000000002</v>
          </cell>
          <cell r="AD145">
            <v>31.978964000000001</v>
          </cell>
          <cell r="AE145">
            <v>31.091824000000003</v>
          </cell>
          <cell r="AF145">
            <v>30.228751000000003</v>
          </cell>
          <cell r="AG145">
            <v>29.440769</v>
          </cell>
          <cell r="AH145">
            <v>28.760532000000001</v>
          </cell>
          <cell r="AI145">
            <v>28.185582999999998</v>
          </cell>
          <cell r="AJ145">
            <v>27.682684000000002</v>
          </cell>
        </row>
        <row r="146">
          <cell r="C146" t="str">
            <v>Puerto Rico</v>
          </cell>
          <cell r="F146">
            <v>2.2193960000000001</v>
          </cell>
          <cell r="G146">
            <v>2.3040959999999999</v>
          </cell>
          <cell r="H146">
            <v>2.347353</v>
          </cell>
          <cell r="I146">
            <v>2.5454940000000001</v>
          </cell>
          <cell r="J146">
            <v>2.7166840000000003</v>
          </cell>
          <cell r="K146">
            <v>2.9482370000000002</v>
          </cell>
          <cell r="L146">
            <v>3.1912030000000002</v>
          </cell>
          <cell r="M146">
            <v>3.3913159999999998</v>
          </cell>
          <cell r="N146">
            <v>3.5266690000000001</v>
          </cell>
          <cell r="O146">
            <v>3.6907040000000002</v>
          </cell>
          <cell r="P146">
            <v>3.8223539999999998</v>
          </cell>
          <cell r="Q146">
            <v>3.8119650000000003</v>
          </cell>
          <cell r="R146">
            <v>3.729555</v>
          </cell>
          <cell r="S146">
            <v>3.5290219999999999</v>
          </cell>
          <cell r="T146">
            <v>3.2802189999999989</v>
          </cell>
          <cell r="U146">
            <v>3.1088779999999998</v>
          </cell>
          <cell r="V146">
            <v>2.9486159999999999</v>
          </cell>
          <cell r="W146">
            <v>2.7941479999999999</v>
          </cell>
          <cell r="X146">
            <v>2.6467320000000001</v>
          </cell>
          <cell r="Y146">
            <v>2.507619</v>
          </cell>
          <cell r="Z146">
            <v>2.3824399999999999</v>
          </cell>
          <cell r="AA146">
            <v>2.2670369999999989</v>
          </cell>
          <cell r="AB146">
            <v>2.1645289999999999</v>
          </cell>
          <cell r="AC146">
            <v>2.07681</v>
          </cell>
          <cell r="AD146">
            <v>2.0016750000000001</v>
          </cell>
          <cell r="AE146">
            <v>1.93615</v>
          </cell>
          <cell r="AF146">
            <v>1.8772479999999998</v>
          </cell>
          <cell r="AG146">
            <v>1.822411</v>
          </cell>
          <cell r="AH146">
            <v>1.7697039999999999</v>
          </cell>
          <cell r="AI146">
            <v>1.717403</v>
          </cell>
          <cell r="AJ146">
            <v>1.66472</v>
          </cell>
        </row>
        <row r="147">
          <cell r="C147" t="str">
            <v>North Korea</v>
          </cell>
          <cell r="F147">
            <v>11.394743</v>
          </cell>
          <cell r="G147">
            <v>10.269489999999999</v>
          </cell>
          <cell r="H147">
            <v>11.519933000000002</v>
          </cell>
          <cell r="I147">
            <v>12.943955000000001</v>
          </cell>
          <cell r="J147">
            <v>14.801011000000001</v>
          </cell>
          <cell r="K147">
            <v>16.583981999999999</v>
          </cell>
          <cell r="L147">
            <v>17.845115000000003</v>
          </cell>
          <cell r="M147">
            <v>19.183536</v>
          </cell>
          <cell r="N147">
            <v>20.644151999999998</v>
          </cell>
          <cell r="O147">
            <v>22.268225999999999</v>
          </cell>
          <cell r="P147">
            <v>23.290620999999998</v>
          </cell>
          <cell r="Q147">
            <v>24.029722000000003</v>
          </cell>
          <cell r="R147">
            <v>24.638656000000001</v>
          </cell>
          <cell r="S147">
            <v>25.190799999999999</v>
          </cell>
          <cell r="T147">
            <v>25.813238000000002</v>
          </cell>
          <cell r="U147">
            <v>26.398722000000003</v>
          </cell>
          <cell r="V147">
            <v>26.531974999999999</v>
          </cell>
          <cell r="W147">
            <v>26.376481000000002</v>
          </cell>
          <cell r="X147">
            <v>26.077582</v>
          </cell>
          <cell r="Y147">
            <v>25.672252</v>
          </cell>
          <cell r="Z147">
            <v>25.211244000000001</v>
          </cell>
          <cell r="AA147">
            <v>24.682406</v>
          </cell>
          <cell r="AB147">
            <v>24.019682</v>
          </cell>
          <cell r="AC147">
            <v>23.256589999999999</v>
          </cell>
          <cell r="AD147">
            <v>22.484900000000003</v>
          </cell>
          <cell r="AE147">
            <v>21.732924000000001</v>
          </cell>
          <cell r="AF147">
            <v>20.997316999999999</v>
          </cell>
          <cell r="AG147">
            <v>20.258277999999997</v>
          </cell>
          <cell r="AH147">
            <v>19.492185000000003</v>
          </cell>
          <cell r="AI147">
            <v>18.699669999999998</v>
          </cell>
          <cell r="AJ147">
            <v>17.918599999999998</v>
          </cell>
        </row>
        <row r="148">
          <cell r="C148" t="str">
            <v>Portugal</v>
          </cell>
          <cell r="F148">
            <v>8.3863570000000003</v>
          </cell>
          <cell r="G148">
            <v>8.6411830000000016</v>
          </cell>
          <cell r="H148">
            <v>8.8726839999999996</v>
          </cell>
          <cell r="I148">
            <v>8.9050080000000005</v>
          </cell>
          <cell r="J148">
            <v>8.7360100000000003</v>
          </cell>
          <cell r="K148">
            <v>9.1400349999999992</v>
          </cell>
          <cell r="L148">
            <v>9.7388209999999997</v>
          </cell>
          <cell r="M148">
            <v>9.989021000000001</v>
          </cell>
          <cell r="N148">
            <v>10.017127</v>
          </cell>
          <cell r="O148">
            <v>10.034224</v>
          </cell>
          <cell r="P148">
            <v>10.261987999999999</v>
          </cell>
          <cell r="Q148">
            <v>10.513809</v>
          </cell>
          <cell r="R148">
            <v>10.596794000000001</v>
          </cell>
          <cell r="S148">
            <v>10.382201999999999</v>
          </cell>
          <cell r="T148">
            <v>10.298401</v>
          </cell>
          <cell r="U148">
            <v>10.195082000000001</v>
          </cell>
          <cell r="V148">
            <v>10.066522000000001</v>
          </cell>
          <cell r="W148">
            <v>9.9564430000000108</v>
          </cell>
          <cell r="X148">
            <v>9.8539060000000003</v>
          </cell>
          <cell r="Y148">
            <v>9.7527000000000008</v>
          </cell>
          <cell r="Z148">
            <v>9.6511209999999998</v>
          </cell>
          <cell r="AA148">
            <v>9.5389370000000113</v>
          </cell>
          <cell r="AB148">
            <v>9.4206600000000105</v>
          </cell>
          <cell r="AC148">
            <v>9.2929709999999996</v>
          </cell>
          <cell r="AD148">
            <v>9.1655200000000008</v>
          </cell>
          <cell r="AE148">
            <v>9.0478650000000105</v>
          </cell>
          <cell r="AF148">
            <v>8.9488799999999991</v>
          </cell>
          <cell r="AG148">
            <v>8.866949</v>
          </cell>
          <cell r="AH148">
            <v>8.7869219999999899</v>
          </cell>
          <cell r="AI148">
            <v>8.6934369999999994</v>
          </cell>
          <cell r="AJ148">
            <v>8.5803259999999995</v>
          </cell>
        </row>
        <row r="149">
          <cell r="C149" t="str">
            <v>Paraguay</v>
          </cell>
          <cell r="F149">
            <v>1.487827</v>
          </cell>
          <cell r="G149">
            <v>1.6664269999999999</v>
          </cell>
          <cell r="H149">
            <v>1.8720830000000002</v>
          </cell>
          <cell r="I149">
            <v>2.1168080000000002</v>
          </cell>
          <cell r="J149">
            <v>2.3818239999999999</v>
          </cell>
          <cell r="K149">
            <v>2.681057</v>
          </cell>
          <cell r="L149">
            <v>3.037973</v>
          </cell>
          <cell r="M149">
            <v>3.4858420000000003</v>
          </cell>
          <cell r="N149">
            <v>4.0049029999999997</v>
          </cell>
          <cell r="O149">
            <v>4.5497969999999999</v>
          </cell>
          <cell r="P149">
            <v>5.0764670000000001</v>
          </cell>
          <cell r="Q149">
            <v>5.4472529999999999</v>
          </cell>
          <cell r="R149">
            <v>5.7322950000000006</v>
          </cell>
          <cell r="S149">
            <v>6.1338350000000004</v>
          </cell>
          <cell r="T149">
            <v>6.5730360000000001</v>
          </cell>
          <cell r="U149">
            <v>7.0025950000000003</v>
          </cell>
          <cell r="V149">
            <v>7.4237750000000098</v>
          </cell>
          <cell r="W149">
            <v>7.7862690000000008</v>
          </cell>
          <cell r="X149">
            <v>8.103095999999999</v>
          </cell>
          <cell r="Y149">
            <v>8.3610390000000105</v>
          </cell>
          <cell r="Z149">
            <v>8.5662210000000005</v>
          </cell>
          <cell r="AA149">
            <v>8.7099469999999997</v>
          </cell>
          <cell r="AB149">
            <v>8.8033580000000011</v>
          </cell>
          <cell r="AC149">
            <v>8.86225500000001</v>
          </cell>
          <cell r="AD149">
            <v>8.8869360000000004</v>
          </cell>
          <cell r="AE149">
            <v>8.8768580000000004</v>
          </cell>
          <cell r="AF149">
            <v>8.8292890000000011</v>
          </cell>
          <cell r="AG149">
            <v>8.7546060000000008</v>
          </cell>
          <cell r="AH149">
            <v>8.6597490000000104</v>
          </cell>
          <cell r="AI149">
            <v>8.5558619999999994</v>
          </cell>
          <cell r="AJ149">
            <v>8.4443320000000011</v>
          </cell>
        </row>
        <row r="150">
          <cell r="C150" t="str">
            <v>Palestine</v>
          </cell>
          <cell r="F150">
            <v>0.94073099999999998</v>
          </cell>
          <cell r="G150">
            <v>0.99067800000000006</v>
          </cell>
          <cell r="H150">
            <v>1.0650440000000001</v>
          </cell>
          <cell r="I150">
            <v>1.14622</v>
          </cell>
          <cell r="J150">
            <v>1.113005</v>
          </cell>
          <cell r="K150">
            <v>1.2448140000000001</v>
          </cell>
          <cell r="L150">
            <v>1.4324239999999999</v>
          </cell>
          <cell r="M150">
            <v>1.7120760000000002</v>
          </cell>
          <cell r="N150">
            <v>2.0813410000000001</v>
          </cell>
          <cell r="O150">
            <v>2.568368</v>
          </cell>
          <cell r="P150">
            <v>3.0914830000000002</v>
          </cell>
          <cell r="Q150">
            <v>3.4991100000000004</v>
          </cell>
          <cell r="R150">
            <v>3.944855</v>
          </cell>
          <cell r="S150">
            <v>4.4298950000000001</v>
          </cell>
          <cell r="T150">
            <v>4.9619840000000002</v>
          </cell>
          <cell r="U150">
            <v>5.5591970000000002</v>
          </cell>
          <cell r="V150">
            <v>6.149</v>
          </cell>
          <cell r="W150">
            <v>6.7163540000000008</v>
          </cell>
          <cell r="X150">
            <v>7.2534580000000002</v>
          </cell>
          <cell r="Y150">
            <v>7.7536189999999996</v>
          </cell>
          <cell r="Z150">
            <v>8.2147740000000002</v>
          </cell>
          <cell r="AA150">
            <v>8.6121500000000104</v>
          </cell>
          <cell r="AB150">
            <v>8.9446190000000012</v>
          </cell>
          <cell r="AC150">
            <v>9.22041299999999</v>
          </cell>
          <cell r="AD150">
            <v>9.4462690000000098</v>
          </cell>
          <cell r="AE150">
            <v>9.6399460000000001</v>
          </cell>
          <cell r="AF150">
            <v>9.809118999999999</v>
          </cell>
          <cell r="AG150">
            <v>9.9508849999999889</v>
          </cell>
          <cell r="AH150">
            <v>10.07432</v>
          </cell>
          <cell r="AI150">
            <v>10.173002</v>
          </cell>
          <cell r="AJ150">
            <v>10.255156999999999</v>
          </cell>
        </row>
        <row r="151">
          <cell r="C151" t="str">
            <v>French Polynesia</v>
          </cell>
          <cell r="F151">
            <v>6.3591999999999996E-2</v>
          </cell>
          <cell r="G151">
            <v>7.3322999999999999E-2</v>
          </cell>
          <cell r="H151">
            <v>8.3833000000000005E-2</v>
          </cell>
          <cell r="I151">
            <v>9.6901000000000001E-2</v>
          </cell>
          <cell r="J151">
            <v>0.11581900000000001</v>
          </cell>
          <cell r="K151">
            <v>0.13759299999999999</v>
          </cell>
          <cell r="L151">
            <v>0.16101099999999999</v>
          </cell>
          <cell r="M151">
            <v>0.185282</v>
          </cell>
          <cell r="N151">
            <v>0.20885599999999999</v>
          </cell>
          <cell r="O151">
            <v>0.22961300000000001</v>
          </cell>
          <cell r="P151">
            <v>0.24885100000000002</v>
          </cell>
          <cell r="Q151">
            <v>0.26909899999999998</v>
          </cell>
          <cell r="R151">
            <v>0.28302100000000002</v>
          </cell>
          <cell r="S151">
            <v>0.29087400000000002</v>
          </cell>
          <cell r="T151">
            <v>1.0096240000000001</v>
          </cell>
          <cell r="U151">
            <v>1.0505089999999999</v>
          </cell>
          <cell r="V151">
            <v>1.0869789999999999</v>
          </cell>
          <cell r="W151">
            <v>1.117326</v>
          </cell>
          <cell r="X151">
            <v>1.1415</v>
          </cell>
          <cell r="Y151">
            <v>1.158631</v>
          </cell>
          <cell r="Z151">
            <v>1.168234</v>
          </cell>
          <cell r="AA151">
            <v>1.168809</v>
          </cell>
          <cell r="AB151">
            <v>1.1622439999999989</v>
          </cell>
          <cell r="AC151">
            <v>1.1537770000000001</v>
          </cell>
          <cell r="AD151">
            <v>1.1445209999999999</v>
          </cell>
          <cell r="AE151">
            <v>1.134933</v>
          </cell>
          <cell r="AF151">
            <v>1.1251990000000001</v>
          </cell>
          <cell r="AG151">
            <v>1.115867999999999</v>
          </cell>
          <cell r="AH151">
            <v>1.107313</v>
          </cell>
          <cell r="AI151">
            <v>1.1000969999999999</v>
          </cell>
          <cell r="AJ151">
            <v>1.094195</v>
          </cell>
        </row>
        <row r="152">
          <cell r="C152" t="str">
            <v>Qatar</v>
          </cell>
          <cell r="F152">
            <v>2.3899999999999998E-2</v>
          </cell>
          <cell r="G152">
            <v>2.8173E-2</v>
          </cell>
          <cell r="H152">
            <v>3.4951999999999997E-2</v>
          </cell>
          <cell r="I152">
            <v>6.1002000000000001E-2</v>
          </cell>
          <cell r="J152">
            <v>0.110503</v>
          </cell>
          <cell r="K152">
            <v>0.18712500000000001</v>
          </cell>
          <cell r="L152">
            <v>0.26882200000000001</v>
          </cell>
          <cell r="M152">
            <v>0.35709500000000005</v>
          </cell>
          <cell r="N152">
            <v>0.43427399999999999</v>
          </cell>
          <cell r="O152">
            <v>0.50797300000000001</v>
          </cell>
          <cell r="P152">
            <v>0.629552</v>
          </cell>
          <cell r="Q152">
            <v>0.78986699999999999</v>
          </cell>
          <cell r="R152">
            <v>1.673214</v>
          </cell>
          <cell r="S152">
            <v>2.3146979999999999</v>
          </cell>
          <cell r="T152">
            <v>2.8286289999999998</v>
          </cell>
          <cell r="U152">
            <v>3.124126</v>
          </cell>
          <cell r="V152">
            <v>3.4043169999999998</v>
          </cell>
          <cell r="W152">
            <v>3.6756799999999998</v>
          </cell>
          <cell r="X152">
            <v>3.945268</v>
          </cell>
          <cell r="Y152">
            <v>4.2098880000000003</v>
          </cell>
          <cell r="Z152">
            <v>4.4550939999999999</v>
          </cell>
          <cell r="AA152">
            <v>4.6695510000000002</v>
          </cell>
          <cell r="AB152">
            <v>4.8439220000000001</v>
          </cell>
          <cell r="AC152">
            <v>4.9493950000000009</v>
          </cell>
          <cell r="AD152">
            <v>4.9856009999999999</v>
          </cell>
          <cell r="AE152">
            <v>4.9550179999999999</v>
          </cell>
          <cell r="AF152">
            <v>4.8669209999999996</v>
          </cell>
          <cell r="AG152">
            <v>4.734286</v>
          </cell>
          <cell r="AH152">
            <v>4.5834620000000008</v>
          </cell>
          <cell r="AI152">
            <v>4.4349080000000001</v>
          </cell>
          <cell r="AJ152">
            <v>4.2898860000000107</v>
          </cell>
        </row>
        <row r="153">
          <cell r="C153" t="str">
            <v>R?union</v>
          </cell>
          <cell r="F153">
            <v>0.24452600000000002</v>
          </cell>
          <cell r="G153">
            <v>0.29532999999999998</v>
          </cell>
          <cell r="H153">
            <v>0.35900200000000004</v>
          </cell>
          <cell r="I153">
            <v>0.42286800000000002</v>
          </cell>
          <cell r="J153">
            <v>0.46921400000000002</v>
          </cell>
          <cell r="K153">
            <v>0.51183299999999998</v>
          </cell>
          <cell r="L153">
            <v>0.54799100000000001</v>
          </cell>
          <cell r="M153">
            <v>0.59345500000000007</v>
          </cell>
          <cell r="N153">
            <v>0.65233000000000008</v>
          </cell>
          <cell r="O153">
            <v>0.7196570000000001</v>
          </cell>
          <cell r="P153">
            <v>0.78027599999999997</v>
          </cell>
          <cell r="Q153">
            <v>0.82911900000000005</v>
          </cell>
          <cell r="R153">
            <v>0.88692100000000007</v>
          </cell>
          <cell r="S153">
            <v>0.92015999999999998</v>
          </cell>
          <cell r="T153">
            <v>0.95352000000000003</v>
          </cell>
          <cell r="U153">
            <v>1.000767</v>
          </cell>
          <cell r="V153">
            <v>1.039482</v>
          </cell>
          <cell r="W153">
            <v>1.0723689999999999</v>
          </cell>
          <cell r="X153">
            <v>1.102571999999999</v>
          </cell>
          <cell r="Y153">
            <v>1.1284909999999999</v>
          </cell>
          <cell r="Z153">
            <v>1.1493720000000001</v>
          </cell>
          <cell r="AA153">
            <v>1.166164</v>
          </cell>
          <cell r="AB153">
            <v>1.1797070000000001</v>
          </cell>
          <cell r="AC153">
            <v>1.191567</v>
          </cell>
          <cell r="AD153">
            <v>1.203279</v>
          </cell>
          <cell r="AE153">
            <v>1.215497</v>
          </cell>
          <cell r="AF153">
            <v>1.227471</v>
          </cell>
          <cell r="AG153">
            <v>1.238464</v>
          </cell>
          <cell r="AH153">
            <v>1.24742</v>
          </cell>
          <cell r="AI153">
            <v>1.253708</v>
          </cell>
          <cell r="AJ153">
            <v>1.25678</v>
          </cell>
        </row>
        <row r="154">
          <cell r="C154" t="str">
            <v>Romania</v>
          </cell>
          <cell r="F154">
            <v>16.281956000000001</v>
          </cell>
          <cell r="G154">
            <v>17.355432</v>
          </cell>
          <cell r="H154">
            <v>18.374092000000001</v>
          </cell>
          <cell r="I154">
            <v>19.066579000000001</v>
          </cell>
          <cell r="J154">
            <v>19.814519000000001</v>
          </cell>
          <cell r="K154">
            <v>21.027383999999998</v>
          </cell>
          <cell r="L154">
            <v>22.064212000000001</v>
          </cell>
          <cell r="M154">
            <v>22.495973000000003</v>
          </cell>
          <cell r="N154">
            <v>22.825617999999999</v>
          </cell>
          <cell r="O154">
            <v>22.586051000000001</v>
          </cell>
          <cell r="P154">
            <v>21.979080999999997</v>
          </cell>
          <cell r="Q154">
            <v>21.188487000000002</v>
          </cell>
          <cell r="R154">
            <v>20.403317000000001</v>
          </cell>
          <cell r="S154">
            <v>19.959350000000001</v>
          </cell>
          <cell r="T154">
            <v>19.489725</v>
          </cell>
          <cell r="U154">
            <v>18.885438999999998</v>
          </cell>
          <cell r="V154">
            <v>18.310068999999999</v>
          </cell>
          <cell r="W154">
            <v>17.702618999999999</v>
          </cell>
          <cell r="X154">
            <v>17.107246</v>
          </cell>
          <cell r="Y154">
            <v>16.5181</v>
          </cell>
          <cell r="Z154">
            <v>15.936712</v>
          </cell>
          <cell r="AA154">
            <v>15.359781000000002</v>
          </cell>
          <cell r="AB154">
            <v>14.766757999999999</v>
          </cell>
          <cell r="AC154">
            <v>14.169632999999999</v>
          </cell>
          <cell r="AD154">
            <v>13.600066999999999</v>
          </cell>
          <cell r="AE154">
            <v>13.086751000000001</v>
          </cell>
          <cell r="AF154">
            <v>12.632408999999999</v>
          </cell>
          <cell r="AG154">
            <v>12.233466</v>
          </cell>
          <cell r="AH154">
            <v>11.881701999999999</v>
          </cell>
          <cell r="AI154">
            <v>11.563013999999999</v>
          </cell>
          <cell r="AJ154">
            <v>11.254584999999999</v>
          </cell>
        </row>
        <row r="155">
          <cell r="C155" t="str">
            <v>Russian Federation</v>
          </cell>
          <cell r="F155">
            <v>101.80062100000001</v>
          </cell>
          <cell r="G155">
            <v>110.092202</v>
          </cell>
          <cell r="H155">
            <v>118.87321300000001</v>
          </cell>
          <cell r="I155">
            <v>125.94125</v>
          </cell>
          <cell r="J155">
            <v>129.82968300000002</v>
          </cell>
          <cell r="K155">
            <v>133.387505</v>
          </cell>
          <cell r="L155">
            <v>137.89374100000001</v>
          </cell>
          <cell r="M155">
            <v>142.388206</v>
          </cell>
          <cell r="N155">
            <v>147.68991299999999</v>
          </cell>
          <cell r="O155">
            <v>148.72557800000001</v>
          </cell>
          <cell r="P155">
            <v>147.12976500000002</v>
          </cell>
          <cell r="Q155">
            <v>144.082953</v>
          </cell>
          <cell r="R155">
            <v>143.22938200000002</v>
          </cell>
          <cell r="S155">
            <v>144.44186300000001</v>
          </cell>
          <cell r="T155">
            <v>145.761661</v>
          </cell>
          <cell r="U155">
            <v>145.370496</v>
          </cell>
          <cell r="V155">
            <v>143.399731</v>
          </cell>
          <cell r="W155">
            <v>141.56771700000002</v>
          </cell>
          <cell r="X155">
            <v>140.19014200000001</v>
          </cell>
          <cell r="Y155">
            <v>139.33203700000001</v>
          </cell>
          <cell r="Z155">
            <v>138.756418</v>
          </cell>
          <cell r="AA155">
            <v>137.96865599999998</v>
          </cell>
          <cell r="AB155">
            <v>136.942308</v>
          </cell>
          <cell r="AC155">
            <v>135.62305499999999</v>
          </cell>
          <cell r="AD155">
            <v>134.17839000000001</v>
          </cell>
          <cell r="AE155">
            <v>132.732924</v>
          </cell>
          <cell r="AF155">
            <v>131.31643599999998</v>
          </cell>
          <cell r="AG155">
            <v>129.934473</v>
          </cell>
          <cell r="AH155">
            <v>128.54372699999999</v>
          </cell>
          <cell r="AI155">
            <v>127.04475100000001</v>
          </cell>
          <cell r="AJ155">
            <v>125.272058</v>
          </cell>
        </row>
        <row r="156">
          <cell r="C156" t="str">
            <v>Rwanda</v>
          </cell>
          <cell r="F156">
            <v>2.117998</v>
          </cell>
          <cell r="G156">
            <v>2.4970650000000001</v>
          </cell>
          <cell r="H156">
            <v>2.9245050000000004</v>
          </cell>
          <cell r="I156">
            <v>3.3034160000000004</v>
          </cell>
          <cell r="J156">
            <v>3.836465</v>
          </cell>
          <cell r="K156">
            <v>4.4503909999999998</v>
          </cell>
          <cell r="L156">
            <v>5.1560540000000001</v>
          </cell>
          <cell r="M156">
            <v>6.1555410000000004</v>
          </cell>
          <cell r="N156">
            <v>7.2300119999999994</v>
          </cell>
          <cell r="O156">
            <v>5.4088159999999998</v>
          </cell>
          <cell r="P156">
            <v>8.0573060000000005</v>
          </cell>
          <cell r="Q156">
            <v>8.9071230000000003</v>
          </cell>
          <cell r="R156">
            <v>10.175163000000001</v>
          </cell>
          <cell r="S156">
            <v>11.503907</v>
          </cell>
          <cell r="T156">
            <v>12.987328999999999</v>
          </cell>
          <cell r="U156">
            <v>14.570277000000001</v>
          </cell>
          <cell r="V156">
            <v>16.198558999999999</v>
          </cell>
          <cell r="W156">
            <v>17.829131</v>
          </cell>
          <cell r="X156">
            <v>19.432428000000002</v>
          </cell>
          <cell r="Y156">
            <v>20.978745</v>
          </cell>
          <cell r="Z156">
            <v>22.453391</v>
          </cell>
          <cell r="AA156">
            <v>23.817691</v>
          </cell>
          <cell r="AB156">
            <v>25.057157</v>
          </cell>
          <cell r="AC156">
            <v>26.118632000000002</v>
          </cell>
          <cell r="AD156">
            <v>27.008901000000002</v>
          </cell>
          <cell r="AE156">
            <v>27.706205999999998</v>
          </cell>
          <cell r="AF156">
            <v>28.223672000000001</v>
          </cell>
          <cell r="AG156">
            <v>28.614132000000001</v>
          </cell>
          <cell r="AH156">
            <v>28.900575</v>
          </cell>
          <cell r="AI156">
            <v>29.074080000000002</v>
          </cell>
          <cell r="AJ156">
            <v>29.141064999999998</v>
          </cell>
        </row>
        <row r="157">
          <cell r="C157" t="str">
            <v>Saudi Arabia</v>
          </cell>
          <cell r="F157">
            <v>3.0431500000000002</v>
          </cell>
          <cell r="G157">
            <v>3.5287910000000005</v>
          </cell>
          <cell r="H157">
            <v>4.0985680000000002</v>
          </cell>
          <cell r="I157">
            <v>4.8844440000000002</v>
          </cell>
          <cell r="J157">
            <v>5.9695010000000002</v>
          </cell>
          <cell r="K157">
            <v>7.6875780000000002</v>
          </cell>
          <cell r="L157">
            <v>9.9217130000000004</v>
          </cell>
          <cell r="M157">
            <v>12.596275</v>
          </cell>
          <cell r="N157">
            <v>15.676137000000001</v>
          </cell>
          <cell r="O157">
            <v>18.629668000000002</v>
          </cell>
          <cell r="P157">
            <v>21.278401000000002</v>
          </cell>
          <cell r="Q157">
            <v>23.913270000000001</v>
          </cell>
          <cell r="R157">
            <v>29.009302000000002</v>
          </cell>
          <cell r="S157">
            <v>32.441885999999997</v>
          </cell>
          <cell r="T157">
            <v>36.229968999999997</v>
          </cell>
          <cell r="U157">
            <v>39.222853000000001</v>
          </cell>
          <cell r="V157">
            <v>41.914676</v>
          </cell>
          <cell r="W157">
            <v>44.325474999999997</v>
          </cell>
          <cell r="X157">
            <v>46.439472000000002</v>
          </cell>
          <cell r="Y157">
            <v>48.200252999999996</v>
          </cell>
          <cell r="Z157">
            <v>49.564406000000005</v>
          </cell>
          <cell r="AA157">
            <v>50.536026</v>
          </cell>
          <cell r="AB157">
            <v>51.122322999999994</v>
          </cell>
          <cell r="AC157">
            <v>51.308354999999899</v>
          </cell>
          <cell r="AD157">
            <v>51.200379999999996</v>
          </cell>
          <cell r="AE157">
            <v>50.895884000000002</v>
          </cell>
          <cell r="AF157">
            <v>50.489567000000001</v>
          </cell>
          <cell r="AG157">
            <v>50.021689000000002</v>
          </cell>
          <cell r="AH157">
            <v>49.475763000000001</v>
          </cell>
          <cell r="AI157">
            <v>48.798165000000004</v>
          </cell>
          <cell r="AJ157">
            <v>47.984712000000002</v>
          </cell>
        </row>
        <row r="158">
          <cell r="C158" t="str">
            <v>Sudan</v>
          </cell>
          <cell r="F158">
            <v>6.0986540000000007</v>
          </cell>
          <cell r="G158">
            <v>7.0841670000000008</v>
          </cell>
          <cell r="H158">
            <v>8.2035970000000002</v>
          </cell>
          <cell r="I158">
            <v>9.5602479999999996</v>
          </cell>
          <cell r="J158">
            <v>11.131803</v>
          </cell>
          <cell r="K158">
            <v>13.218029000000001</v>
          </cell>
          <cell r="L158">
            <v>16.313936999999999</v>
          </cell>
          <cell r="M158">
            <v>19.345510999999998</v>
          </cell>
          <cell r="N158">
            <v>20.904819</v>
          </cell>
          <cell r="O158">
            <v>23.01041</v>
          </cell>
          <cell r="P158">
            <v>25.965057000000002</v>
          </cell>
          <cell r="Q158">
            <v>29.163762999999999</v>
          </cell>
          <cell r="R158">
            <v>33.399608999999998</v>
          </cell>
          <cell r="S158">
            <v>37.585673999999997</v>
          </cell>
          <cell r="T158">
            <v>43.828060000000001</v>
          </cell>
          <cell r="U158">
            <v>49.750741999999896</v>
          </cell>
          <cell r="V158">
            <v>55.691338000000002</v>
          </cell>
          <cell r="W158">
            <v>61.5039149999999</v>
          </cell>
          <cell r="X158">
            <v>67.119331000000003</v>
          </cell>
          <cell r="Y158">
            <v>72.632299000000103</v>
          </cell>
          <cell r="Z158">
            <v>77.942111000000011</v>
          </cell>
          <cell r="AA158">
            <v>82.855931999999996</v>
          </cell>
          <cell r="AB158">
            <v>87.279406000000009</v>
          </cell>
          <cell r="AC158">
            <v>91.147047999999998</v>
          </cell>
          <cell r="AD158">
            <v>94.400626000000003</v>
          </cell>
          <cell r="AE158">
            <v>96.937164999999993</v>
          </cell>
          <cell r="AF158">
            <v>98.894104000000013</v>
          </cell>
          <cell r="AG158">
            <v>100.201284</v>
          </cell>
          <cell r="AH158">
            <v>101.03379200000001</v>
          </cell>
          <cell r="AI158">
            <v>101.428301</v>
          </cell>
          <cell r="AJ158">
            <v>101.401662</v>
          </cell>
        </row>
        <row r="159">
          <cell r="C159" t="str">
            <v>Senegal</v>
          </cell>
          <cell r="F159">
            <v>2.464083</v>
          </cell>
          <cell r="G159">
            <v>2.8084259999999999</v>
          </cell>
          <cell r="H159">
            <v>3.226909</v>
          </cell>
          <cell r="I159">
            <v>3.7165909999999998</v>
          </cell>
          <cell r="J159">
            <v>4.3033029999999997</v>
          </cell>
          <cell r="K159">
            <v>4.9806210000000002</v>
          </cell>
          <cell r="L159">
            <v>5.6319219999999994</v>
          </cell>
          <cell r="M159">
            <v>6.4283970000000004</v>
          </cell>
          <cell r="N159">
            <v>7.4273090000000002</v>
          </cell>
          <cell r="O159">
            <v>8.5260319999999989</v>
          </cell>
          <cell r="P159">
            <v>9.5896350000000012</v>
          </cell>
          <cell r="Q159">
            <v>10.833157</v>
          </cell>
          <cell r="R159">
            <v>12.360120999999999</v>
          </cell>
          <cell r="S159">
            <v>14.161512</v>
          </cell>
          <cell r="T159">
            <v>16.215468000000001</v>
          </cell>
          <cell r="U159">
            <v>18.370252000000001</v>
          </cell>
          <cell r="V159">
            <v>20.635182</v>
          </cell>
          <cell r="W159">
            <v>22.977701</v>
          </cell>
          <cell r="X159">
            <v>25.353058000000001</v>
          </cell>
          <cell r="Y159">
            <v>27.733526999999999</v>
          </cell>
          <cell r="Z159">
            <v>30.039929000000001</v>
          </cell>
          <cell r="AA159">
            <v>32.200520000000004</v>
          </cell>
          <cell r="AB159">
            <v>34.205883</v>
          </cell>
          <cell r="AC159">
            <v>36.054076000000002</v>
          </cell>
          <cell r="AD159">
            <v>37.735552000000098</v>
          </cell>
          <cell r="AE159">
            <v>39.231061000000004</v>
          </cell>
          <cell r="AF159">
            <v>40.491427000000002</v>
          </cell>
          <cell r="AG159">
            <v>41.510416999999897</v>
          </cell>
          <cell r="AH159">
            <v>42.347248</v>
          </cell>
          <cell r="AI159">
            <v>43.024146999999999</v>
          </cell>
          <cell r="AJ159">
            <v>43.541351000000006</v>
          </cell>
        </row>
        <row r="160">
          <cell r="C160" t="str">
            <v>Singapore</v>
          </cell>
          <cell r="F160">
            <v>0.9867490000000001</v>
          </cell>
          <cell r="G160">
            <v>1.236175</v>
          </cell>
          <cell r="H160">
            <v>1.5719380000000001</v>
          </cell>
          <cell r="I160">
            <v>1.836854</v>
          </cell>
          <cell r="J160">
            <v>2.0447929999999999</v>
          </cell>
          <cell r="K160">
            <v>2.2181299999999999</v>
          </cell>
          <cell r="L160">
            <v>2.3771360000000001</v>
          </cell>
          <cell r="M160">
            <v>2.6545120000000004</v>
          </cell>
          <cell r="N160">
            <v>2.9778850000000001</v>
          </cell>
          <cell r="O160">
            <v>3.49072</v>
          </cell>
          <cell r="P160">
            <v>4.0149020000000002</v>
          </cell>
          <cell r="Q160">
            <v>4.2911919999999997</v>
          </cell>
          <cell r="R160">
            <v>5.0960320000000001</v>
          </cell>
          <cell r="S160">
            <v>5.6153620000000002</v>
          </cell>
          <cell r="T160">
            <v>5.8935209999999998</v>
          </cell>
          <cell r="U160">
            <v>6.1094539999999986</v>
          </cell>
          <cell r="V160">
            <v>6.2988400000000002</v>
          </cell>
          <cell r="W160">
            <v>6.4439750000000009</v>
          </cell>
          <cell r="X160">
            <v>6.5422600000000006</v>
          </cell>
          <cell r="Y160">
            <v>6.6024969999999996</v>
          </cell>
          <cell r="Z160">
            <v>6.6400259999999998</v>
          </cell>
          <cell r="AA160">
            <v>6.6504610000000106</v>
          </cell>
          <cell r="AB160">
            <v>6.64251400000001</v>
          </cell>
          <cell r="AC160">
            <v>6.6005669999999999</v>
          </cell>
          <cell r="AD160">
            <v>6.5302769999999999</v>
          </cell>
          <cell r="AE160">
            <v>6.4340750000000098</v>
          </cell>
          <cell r="AF160">
            <v>6.3102819999999999</v>
          </cell>
          <cell r="AG160">
            <v>6.1573280000000015</v>
          </cell>
          <cell r="AH160">
            <v>5.9751329999999898</v>
          </cell>
          <cell r="AI160">
            <v>5.7661989999999994</v>
          </cell>
          <cell r="AJ160">
            <v>5.5352550000000003</v>
          </cell>
        </row>
        <row r="161">
          <cell r="C161" t="str">
            <v>Solomon Islands</v>
          </cell>
          <cell r="F161">
            <v>0.10433100000000001</v>
          </cell>
          <cell r="G161">
            <v>0.115842</v>
          </cell>
          <cell r="H161">
            <v>0.131801</v>
          </cell>
          <cell r="I161">
            <v>0.14951700000000001</v>
          </cell>
          <cell r="J161">
            <v>0.17063</v>
          </cell>
          <cell r="K161">
            <v>0.194938</v>
          </cell>
          <cell r="L161">
            <v>0.229654</v>
          </cell>
          <cell r="M161">
            <v>0.27246399999999998</v>
          </cell>
          <cell r="N161">
            <v>0.31932199999999999</v>
          </cell>
          <cell r="O161">
            <v>0.36978300000000003</v>
          </cell>
          <cell r="P161">
            <v>0.42472500000000002</v>
          </cell>
          <cell r="Q161">
            <v>0.47710000000000002</v>
          </cell>
          <cell r="R161">
            <v>0.53391600000000006</v>
          </cell>
          <cell r="S161">
            <v>0.60497500000000004</v>
          </cell>
          <cell r="T161">
            <v>0.68289700000000009</v>
          </cell>
          <cell r="U161">
            <v>0.7681959999999991</v>
          </cell>
          <cell r="V161">
            <v>0.85450899999999907</v>
          </cell>
          <cell r="W161">
            <v>0.94037699999999991</v>
          </cell>
          <cell r="X161">
            <v>1.0255139999999989</v>
          </cell>
          <cell r="Y161">
            <v>1.107442</v>
          </cell>
          <cell r="Z161">
            <v>1.1843379999999999</v>
          </cell>
          <cell r="AA161">
            <v>1.2549269999999999</v>
          </cell>
          <cell r="AB161">
            <v>1.317437</v>
          </cell>
          <cell r="AC161">
            <v>1.372868</v>
          </cell>
          <cell r="AD161">
            <v>1.4185029999999998</v>
          </cell>
          <cell r="AE161">
            <v>1.4555289999999999</v>
          </cell>
          <cell r="AF161">
            <v>1.4826839999999999</v>
          </cell>
          <cell r="AG161">
            <v>1.5023710000000001</v>
          </cell>
          <cell r="AH161">
            <v>1.515212</v>
          </cell>
          <cell r="AI161">
            <v>1.521234</v>
          </cell>
          <cell r="AJ161">
            <v>1.5194239999999999</v>
          </cell>
        </row>
        <row r="162">
          <cell r="C162" t="str">
            <v>Sierra Leone</v>
          </cell>
          <cell r="F162">
            <v>1.9879380000000002</v>
          </cell>
          <cell r="G162">
            <v>2.1207449999999999</v>
          </cell>
          <cell r="H162">
            <v>2.2820169999999997</v>
          </cell>
          <cell r="I162">
            <v>2.4961739999999999</v>
          </cell>
          <cell r="J162">
            <v>2.7513570000000001</v>
          </cell>
          <cell r="K162">
            <v>3.0272730000000001</v>
          </cell>
          <cell r="L162">
            <v>3.3329460000000002</v>
          </cell>
          <cell r="M162">
            <v>3.7071649999999998</v>
          </cell>
          <cell r="N162">
            <v>4.2074669999999994</v>
          </cell>
          <cell r="O162">
            <v>4.3286290000000003</v>
          </cell>
          <cell r="P162">
            <v>4.4853239999999994</v>
          </cell>
          <cell r="Q162">
            <v>5.6136869999999996</v>
          </cell>
          <cell r="R162">
            <v>6.3497240000000001</v>
          </cell>
          <cell r="S162">
            <v>7.2277370000000003</v>
          </cell>
          <cell r="T162">
            <v>8.1402070000000002</v>
          </cell>
          <cell r="U162">
            <v>9.0707060000000101</v>
          </cell>
          <cell r="V162">
            <v>9.9965020000000013</v>
          </cell>
          <cell r="W162">
            <v>10.896889999999999</v>
          </cell>
          <cell r="X162">
            <v>11.757061999999999</v>
          </cell>
          <cell r="Y162">
            <v>12.551752</v>
          </cell>
          <cell r="Z162">
            <v>13.273097</v>
          </cell>
          <cell r="AA162">
            <v>13.907014</v>
          </cell>
          <cell r="AB162">
            <v>14.439378000000001</v>
          </cell>
          <cell r="AC162">
            <v>14.863246</v>
          </cell>
          <cell r="AD162">
            <v>15.16746</v>
          </cell>
          <cell r="AE162">
            <v>15.34769</v>
          </cell>
          <cell r="AF162">
            <v>15.434238000000001</v>
          </cell>
          <cell r="AG162">
            <v>15.44472</v>
          </cell>
          <cell r="AH162">
            <v>15.38374</v>
          </cell>
          <cell r="AI162">
            <v>15.262545000000001</v>
          </cell>
          <cell r="AJ162">
            <v>15.084406000000001</v>
          </cell>
        </row>
        <row r="163">
          <cell r="C163" t="str">
            <v>El Salvador</v>
          </cell>
          <cell r="F163">
            <v>2.1574960000000001</v>
          </cell>
          <cell r="G163">
            <v>2.4190510000000001</v>
          </cell>
          <cell r="H163">
            <v>2.7407650000000001</v>
          </cell>
          <cell r="I163">
            <v>3.1363080000000001</v>
          </cell>
          <cell r="J163">
            <v>3.5744670000000003</v>
          </cell>
          <cell r="K163">
            <v>4.0307310000000003</v>
          </cell>
          <cell r="L163">
            <v>4.4754290000000001</v>
          </cell>
          <cell r="M163">
            <v>4.8290950000000006</v>
          </cell>
          <cell r="N163">
            <v>5.3180100000000001</v>
          </cell>
          <cell r="O163">
            <v>5.7227200000000007</v>
          </cell>
          <cell r="P163">
            <v>5.9422070000000007</v>
          </cell>
          <cell r="Q163">
            <v>6.0387310000000003</v>
          </cell>
          <cell r="R163">
            <v>6.1024700000000003</v>
          </cell>
          <cell r="S163">
            <v>6.2212480000000001</v>
          </cell>
          <cell r="T163">
            <v>6.2809160000000004</v>
          </cell>
          <cell r="U163">
            <v>6.3729190000000004</v>
          </cell>
          <cell r="V163">
            <v>6.451937</v>
          </cell>
          <cell r="W163">
            <v>6.4866909999999987</v>
          </cell>
          <cell r="X163">
            <v>6.4810590000000001</v>
          </cell>
          <cell r="Y163">
            <v>6.4422880000000093</v>
          </cell>
          <cell r="Z163">
            <v>6.3724590000000001</v>
          </cell>
          <cell r="AA163">
            <v>6.2757009999999998</v>
          </cell>
          <cell r="AB163">
            <v>6.1543520000000003</v>
          </cell>
          <cell r="AC163">
            <v>6.0272930000000002</v>
          </cell>
          <cell r="AD163">
            <v>5.8946779999999999</v>
          </cell>
          <cell r="AE163">
            <v>5.7577280000000002</v>
          </cell>
          <cell r="AF163">
            <v>5.6161919999999999</v>
          </cell>
          <cell r="AG163">
            <v>5.4736260000000003</v>
          </cell>
          <cell r="AH163">
            <v>5.3339799999999986</v>
          </cell>
          <cell r="AI163">
            <v>5.2039060000000097</v>
          </cell>
          <cell r="AJ163">
            <v>5.0926860000000094</v>
          </cell>
        </row>
        <row r="164">
          <cell r="C164" t="str">
            <v>Somalia</v>
          </cell>
          <cell r="F164">
            <v>2.1813670000000003</v>
          </cell>
          <cell r="G164">
            <v>2.4974750000000001</v>
          </cell>
          <cell r="H164">
            <v>2.83379</v>
          </cell>
          <cell r="I164">
            <v>3.2248429999999999</v>
          </cell>
          <cell r="J164">
            <v>3.6723210000000002</v>
          </cell>
          <cell r="K164">
            <v>4.1762700000000006</v>
          </cell>
          <cell r="L164">
            <v>5.773981</v>
          </cell>
          <cell r="M164">
            <v>6.4972129999999995</v>
          </cell>
          <cell r="N164">
            <v>7.0127449999999998</v>
          </cell>
          <cell r="O164">
            <v>7.0545249999999999</v>
          </cell>
          <cell r="P164">
            <v>8.5462950000000006</v>
          </cell>
          <cell r="Q164">
            <v>10.295494000000001</v>
          </cell>
          <cell r="R164">
            <v>11.875663000000001</v>
          </cell>
          <cell r="S164">
            <v>13.538114</v>
          </cell>
          <cell r="T164">
            <v>16.272863000000001</v>
          </cell>
          <cell r="U164">
            <v>19.019479</v>
          </cell>
          <cell r="V164">
            <v>22.155721000000003</v>
          </cell>
          <cell r="W164">
            <v>25.556502000000002</v>
          </cell>
          <cell r="X164">
            <v>29.174671</v>
          </cell>
          <cell r="Y164">
            <v>32.981654999999996</v>
          </cell>
          <cell r="Z164">
            <v>36.908008000000002</v>
          </cell>
          <cell r="AA164">
            <v>40.862811000000001</v>
          </cell>
          <cell r="AB164">
            <v>44.734722000000005</v>
          </cell>
          <cell r="AC164">
            <v>48.523933</v>
          </cell>
          <cell r="AD164">
            <v>52.182578999999997</v>
          </cell>
          <cell r="AE164">
            <v>55.66677</v>
          </cell>
          <cell r="AF164">
            <v>58.946394999999995</v>
          </cell>
          <cell r="AG164">
            <v>61.9727519999999</v>
          </cell>
          <cell r="AH164">
            <v>64.708773000000008</v>
          </cell>
          <cell r="AI164">
            <v>67.040972999999994</v>
          </cell>
          <cell r="AJ164">
            <v>69.034085999999888</v>
          </cell>
        </row>
        <row r="165">
          <cell r="C165" t="str">
            <v>Serbia</v>
          </cell>
          <cell r="F165">
            <v>5.9804650000000006</v>
          </cell>
          <cell r="G165">
            <v>6.3219320000000003</v>
          </cell>
          <cell r="H165">
            <v>6.551831</v>
          </cell>
          <cell r="I165">
            <v>6.870768</v>
          </cell>
          <cell r="J165">
            <v>7.1681980000000003</v>
          </cell>
          <cell r="K165">
            <v>7.4478280000000003</v>
          </cell>
          <cell r="L165">
            <v>7.7538549999999997</v>
          </cell>
          <cell r="M165">
            <v>7.9013800000000005</v>
          </cell>
          <cell r="N165">
            <v>7.9834149999999999</v>
          </cell>
          <cell r="O165">
            <v>7.9754939999999994</v>
          </cell>
          <cell r="P165">
            <v>7.9460630000000005</v>
          </cell>
          <cell r="Q165">
            <v>7.8487939999999998</v>
          </cell>
          <cell r="R165">
            <v>7.6703400000000004</v>
          </cell>
          <cell r="S165">
            <v>7.5325879999999996</v>
          </cell>
          <cell r="T165">
            <v>7.3840630000000003</v>
          </cell>
          <cell r="U165">
            <v>7.1535029999999997</v>
          </cell>
          <cell r="V165">
            <v>7.0431300000000014</v>
          </cell>
          <cell r="W165">
            <v>6.9317430000000009</v>
          </cell>
          <cell r="X165">
            <v>6.8166700000000002</v>
          </cell>
          <cell r="Y165">
            <v>6.7089020000000001</v>
          </cell>
          <cell r="Z165">
            <v>6.6136890000000008</v>
          </cell>
          <cell r="AA165">
            <v>6.5286440000000008</v>
          </cell>
          <cell r="AB165">
            <v>6.4471980000000002</v>
          </cell>
          <cell r="AC165">
            <v>6.3567799999999997</v>
          </cell>
          <cell r="AD165">
            <v>6.2577199999999999</v>
          </cell>
          <cell r="AE165">
            <v>6.1536010000000001</v>
          </cell>
          <cell r="AF165">
            <v>6.04750600000001</v>
          </cell>
          <cell r="AG165">
            <v>5.9410810000000005</v>
          </cell>
          <cell r="AH165">
            <v>5.833971</v>
          </cell>
          <cell r="AI165">
            <v>5.723312</v>
          </cell>
          <cell r="AJ165">
            <v>5.6043230000000008</v>
          </cell>
        </row>
        <row r="166">
          <cell r="C166" t="str">
            <v>South Sudan</v>
          </cell>
          <cell r="F166">
            <v>2.4760149999999999</v>
          </cell>
          <cell r="G166">
            <v>2.6714690000000001</v>
          </cell>
          <cell r="H166">
            <v>2.887575</v>
          </cell>
          <cell r="I166">
            <v>3.1194310000000001</v>
          </cell>
          <cell r="J166">
            <v>3.3214510000000002</v>
          </cell>
          <cell r="K166">
            <v>3.673467</v>
          </cell>
          <cell r="L166">
            <v>4.1417099999999998</v>
          </cell>
          <cell r="M166">
            <v>4.6521729999999994</v>
          </cell>
          <cell r="N166">
            <v>4.6935529999999996</v>
          </cell>
          <cell r="O166">
            <v>5.2370299999999999</v>
          </cell>
          <cell r="P166">
            <v>5.9775060000000009</v>
          </cell>
          <cell r="Q166">
            <v>7.4842129999999996</v>
          </cell>
          <cell r="R166">
            <v>9.4283830000000002</v>
          </cell>
          <cell r="S166">
            <v>11.132072000000001</v>
          </cell>
          <cell r="T166">
            <v>10.545439</v>
          </cell>
          <cell r="U166">
            <v>11.080722</v>
          </cell>
          <cell r="V166">
            <v>11.712292</v>
          </cell>
          <cell r="W166">
            <v>12.407351</v>
          </cell>
          <cell r="X166">
            <v>13.060431000000001</v>
          </cell>
          <cell r="Y166">
            <v>13.532789000000001</v>
          </cell>
          <cell r="Z166">
            <v>13.780876000000001</v>
          </cell>
          <cell r="AA166">
            <v>13.892473000000001</v>
          </cell>
          <cell r="AB166">
            <v>13.94842</v>
          </cell>
          <cell r="AC166">
            <v>14.017312</v>
          </cell>
          <cell r="AD166">
            <v>14.065938000000001</v>
          </cell>
          <cell r="AE166">
            <v>14.053234000000002</v>
          </cell>
          <cell r="AF166">
            <v>13.977181999999999</v>
          </cell>
          <cell r="AG166">
            <v>13.881935</v>
          </cell>
          <cell r="AH166">
            <v>13.804075000000001</v>
          </cell>
          <cell r="AI166">
            <v>13.756209999999999</v>
          </cell>
          <cell r="AJ166">
            <v>13.747551</v>
          </cell>
        </row>
        <row r="167">
          <cell r="C167" t="str">
            <v>Sao Tome and Principe</v>
          </cell>
          <cell r="F167">
            <v>6.0426000000000001E-2</v>
          </cell>
          <cell r="G167">
            <v>6.4968999999999999E-2</v>
          </cell>
          <cell r="H167">
            <v>6.7801E-2</v>
          </cell>
          <cell r="I167">
            <v>7.1345000000000006E-2</v>
          </cell>
          <cell r="J167">
            <v>7.6749999999999999E-2</v>
          </cell>
          <cell r="K167">
            <v>8.5068000000000005E-2</v>
          </cell>
          <cell r="L167">
            <v>9.6167000000000002E-2</v>
          </cell>
          <cell r="M167">
            <v>0.10547100000000001</v>
          </cell>
          <cell r="N167">
            <v>0.118893</v>
          </cell>
          <cell r="O167">
            <v>0.13188900000000001</v>
          </cell>
          <cell r="P167">
            <v>0.142789</v>
          </cell>
          <cell r="Q167">
            <v>0.15967599999999998</v>
          </cell>
          <cell r="R167">
            <v>0.180174</v>
          </cell>
          <cell r="S167">
            <v>0.19934299999999999</v>
          </cell>
          <cell r="T167">
            <v>0.21622000000000002</v>
          </cell>
          <cell r="U167">
            <v>0.23747100000000002</v>
          </cell>
          <cell r="V167">
            <v>0.25881400000000004</v>
          </cell>
          <cell r="W167">
            <v>0.27953899999999998</v>
          </cell>
          <cell r="X167">
            <v>0.298813</v>
          </cell>
          <cell r="Y167">
            <v>0.316417</v>
          </cell>
          <cell r="Z167">
            <v>0.33173900000000001</v>
          </cell>
          <cell r="AA167">
            <v>0.34430200000000005</v>
          </cell>
          <cell r="AB167">
            <v>0.35432400000000003</v>
          </cell>
          <cell r="AC167">
            <v>0.36216899999999902</v>
          </cell>
          <cell r="AD167">
            <v>0.367724</v>
          </cell>
          <cell r="AE167">
            <v>0.37130900000000006</v>
          </cell>
          <cell r="AF167">
            <v>0.37357299999999999</v>
          </cell>
          <cell r="AG167">
            <v>0.37471699999999902</v>
          </cell>
          <cell r="AH167">
            <v>0.374533</v>
          </cell>
          <cell r="AI167">
            <v>0.37306299999999998</v>
          </cell>
          <cell r="AJ167">
            <v>0.37063599999999997</v>
          </cell>
        </row>
        <row r="168">
          <cell r="C168" t="str">
            <v>Suriname</v>
          </cell>
          <cell r="F168">
            <v>0.193525</v>
          </cell>
          <cell r="G168">
            <v>0.223555</v>
          </cell>
          <cell r="H168">
            <v>0.26371600000000001</v>
          </cell>
          <cell r="I168">
            <v>0.31563400000000003</v>
          </cell>
          <cell r="J168">
            <v>0.37375700000000001</v>
          </cell>
          <cell r="K168">
            <v>0.39346100000000001</v>
          </cell>
          <cell r="L168">
            <v>0.37492899999999996</v>
          </cell>
          <cell r="M168">
            <v>0.38456900000000005</v>
          </cell>
          <cell r="N168">
            <v>0.41120400000000001</v>
          </cell>
          <cell r="O168">
            <v>0.42973200000000006</v>
          </cell>
          <cell r="P168">
            <v>0.47476999999999997</v>
          </cell>
          <cell r="Q168">
            <v>0.51335600000000003</v>
          </cell>
          <cell r="R168">
            <v>0.54302800000000007</v>
          </cell>
          <cell r="S168">
            <v>0.57252999999999998</v>
          </cell>
          <cell r="T168">
            <v>0.60380699999999998</v>
          </cell>
          <cell r="U168">
            <v>0.63328299999999993</v>
          </cell>
          <cell r="V168">
            <v>0.662353999999999</v>
          </cell>
          <cell r="W168">
            <v>0.68812200000000001</v>
          </cell>
          <cell r="X168">
            <v>0.710179</v>
          </cell>
          <cell r="Y168">
            <v>0.72856399999999999</v>
          </cell>
          <cell r="Z168">
            <v>0.74350999999999901</v>
          </cell>
          <cell r="AA168">
            <v>0.75512799999999902</v>
          </cell>
          <cell r="AB168">
            <v>0.76360299999999903</v>
          </cell>
          <cell r="AC168">
            <v>0.76951399999999903</v>
          </cell>
          <cell r="AD168">
            <v>0.77346700000000002</v>
          </cell>
          <cell r="AE168">
            <v>0.77557799999999999</v>
          </cell>
          <cell r="AF168">
            <v>0.77569699999999997</v>
          </cell>
          <cell r="AG168">
            <v>0.7742150000000001</v>
          </cell>
          <cell r="AH168">
            <v>0.770702</v>
          </cell>
          <cell r="AI168">
            <v>0.7657209999999991</v>
          </cell>
          <cell r="AJ168">
            <v>0.75932400000000111</v>
          </cell>
        </row>
        <row r="169">
          <cell r="C169" t="str">
            <v>Slovakia</v>
          </cell>
          <cell r="F169">
            <v>3.4383859999999999</v>
          </cell>
          <cell r="G169">
            <v>3.7612589999999999</v>
          </cell>
          <cell r="H169">
            <v>4.0936579999999996</v>
          </cell>
          <cell r="I169">
            <v>4.3442560000000006</v>
          </cell>
          <cell r="J169">
            <v>4.5065489999999997</v>
          </cell>
          <cell r="K169">
            <v>4.7128750000000004</v>
          </cell>
          <cell r="L169">
            <v>4.9546609999999998</v>
          </cell>
          <cell r="M169">
            <v>5.1311689999999999</v>
          </cell>
          <cell r="N169">
            <v>5.2539199999999999</v>
          </cell>
          <cell r="O169">
            <v>5.3459250000000003</v>
          </cell>
          <cell r="P169">
            <v>5.3762280000000002</v>
          </cell>
          <cell r="Q169">
            <v>5.3757619999999999</v>
          </cell>
          <cell r="R169">
            <v>5.3935959999999996</v>
          </cell>
          <cell r="S169">
            <v>5.4221199999999996</v>
          </cell>
          <cell r="T169">
            <v>5.4575420000000001</v>
          </cell>
          <cell r="U169">
            <v>5.5019</v>
          </cell>
          <cell r="V169">
            <v>5.4638770000000001</v>
          </cell>
          <cell r="W169">
            <v>5.4036470000000101</v>
          </cell>
          <cell r="X169">
            <v>5.3295020000000006</v>
          </cell>
          <cell r="Y169">
            <v>5.2532350000000001</v>
          </cell>
          <cell r="Z169">
            <v>5.1792090000000099</v>
          </cell>
          <cell r="AA169">
            <v>5.1038829999999997</v>
          </cell>
          <cell r="AB169">
            <v>5.0210140000000001</v>
          </cell>
          <cell r="AC169">
            <v>4.9251380000000102</v>
          </cell>
          <cell r="AD169">
            <v>4.8180500000000004</v>
          </cell>
          <cell r="AE169">
            <v>4.7056300000000002</v>
          </cell>
          <cell r="AF169">
            <v>4.5992459999999999</v>
          </cell>
          <cell r="AG169">
            <v>4.5044779999999998</v>
          </cell>
          <cell r="AH169">
            <v>4.4229190000000003</v>
          </cell>
          <cell r="AI169">
            <v>4.3524399999999996</v>
          </cell>
          <cell r="AJ169">
            <v>4.287439</v>
          </cell>
        </row>
        <row r="170">
          <cell r="C170" t="str">
            <v>Slovenia</v>
          </cell>
          <cell r="F170">
            <v>1.4382600000000001</v>
          </cell>
          <cell r="G170">
            <v>1.5136010000000002</v>
          </cell>
          <cell r="H170">
            <v>1.59243</v>
          </cell>
          <cell r="I170">
            <v>1.662123</v>
          </cell>
          <cell r="J170">
            <v>1.7348320000000002</v>
          </cell>
          <cell r="K170">
            <v>1.808902</v>
          </cell>
          <cell r="L170">
            <v>1.8932739999999999</v>
          </cell>
          <cell r="M170">
            <v>1.9489529999999999</v>
          </cell>
          <cell r="N170">
            <v>1.9833460000000001</v>
          </cell>
          <cell r="O170">
            <v>1.9913160000000001</v>
          </cell>
          <cell r="P170">
            <v>1.9851830000000001</v>
          </cell>
          <cell r="Q170">
            <v>2.0006750000000002</v>
          </cell>
          <cell r="R170">
            <v>2.0512910000000004</v>
          </cell>
          <cell r="S170">
            <v>2.076171</v>
          </cell>
          <cell r="T170">
            <v>2.1162559999999999</v>
          </cell>
          <cell r="U170">
            <v>2.1145339999999999</v>
          </cell>
          <cell r="V170">
            <v>2.1031420000000001</v>
          </cell>
          <cell r="W170">
            <v>2.088584</v>
          </cell>
          <cell r="X170">
            <v>2.0736829999999999</v>
          </cell>
          <cell r="Y170">
            <v>2.0589589999999989</v>
          </cell>
          <cell r="Z170">
            <v>2.0425080000000002</v>
          </cell>
          <cell r="AA170">
            <v>2.0227089999999999</v>
          </cell>
          <cell r="AB170">
            <v>2.000575</v>
          </cell>
          <cell r="AC170">
            <v>1.9756610000000001</v>
          </cell>
          <cell r="AD170">
            <v>1.9499309999999999</v>
          </cell>
          <cell r="AE170">
            <v>1.924056</v>
          </cell>
          <cell r="AF170">
            <v>1.8983840000000001</v>
          </cell>
          <cell r="AG170">
            <v>1.8729749999999998</v>
          </cell>
          <cell r="AH170">
            <v>1.847823</v>
          </cell>
          <cell r="AI170">
            <v>1.8224400000000001</v>
          </cell>
          <cell r="AJ170">
            <v>1.7953589999999999</v>
          </cell>
        </row>
        <row r="171">
          <cell r="C171" t="str">
            <v>Sweden</v>
          </cell>
          <cell r="F171">
            <v>6.9861509999999996</v>
          </cell>
          <cell r="G171">
            <v>7.240361</v>
          </cell>
          <cell r="H171">
            <v>7.4724319999999995</v>
          </cell>
          <cell r="I171">
            <v>7.7237910000000003</v>
          </cell>
          <cell r="J171">
            <v>8.0045760000000001</v>
          </cell>
          <cell r="K171">
            <v>8.2110490000000009</v>
          </cell>
          <cell r="L171">
            <v>8.3037309999999991</v>
          </cell>
          <cell r="M171">
            <v>8.3802310000000002</v>
          </cell>
          <cell r="N171">
            <v>8.5256910000000001</v>
          </cell>
          <cell r="O171">
            <v>8.7434349999999998</v>
          </cell>
          <cell r="P171">
            <v>8.8587930000000004</v>
          </cell>
          <cell r="Q171">
            <v>9.0273330000000005</v>
          </cell>
          <cell r="R171">
            <v>9.3395340000000004</v>
          </cell>
          <cell r="S171">
            <v>9.7982759999999995</v>
          </cell>
          <cell r="T171">
            <v>10.321414000000001</v>
          </cell>
          <cell r="U171">
            <v>10.571058000000001</v>
          </cell>
          <cell r="V171">
            <v>10.773023999999999</v>
          </cell>
          <cell r="W171">
            <v>10.965475000000001</v>
          </cell>
          <cell r="X171">
            <v>11.175051999999999</v>
          </cell>
          <cell r="Y171">
            <v>11.420128</v>
          </cell>
          <cell r="Z171">
            <v>11.70294</v>
          </cell>
          <cell r="AA171">
            <v>11.967347999999999</v>
          </cell>
          <cell r="AB171">
            <v>12.20743</v>
          </cell>
          <cell r="AC171">
            <v>12.418030000000002</v>
          </cell>
          <cell r="AD171">
            <v>12.617617000000001</v>
          </cell>
          <cell r="AE171">
            <v>12.810313000000001</v>
          </cell>
          <cell r="AF171">
            <v>12.979937</v>
          </cell>
          <cell r="AG171">
            <v>13.103605</v>
          </cell>
          <cell r="AH171">
            <v>13.178967</v>
          </cell>
          <cell r="AI171">
            <v>13.229018</v>
          </cell>
          <cell r="AJ171">
            <v>13.272286000000001</v>
          </cell>
        </row>
        <row r="172">
          <cell r="C172" t="str">
            <v>Eswatini</v>
          </cell>
          <cell r="F172">
            <v>0.26820100000000002</v>
          </cell>
          <cell r="G172">
            <v>0.303421</v>
          </cell>
          <cell r="H172">
            <v>0.34114699999999998</v>
          </cell>
          <cell r="I172">
            <v>0.383187</v>
          </cell>
          <cell r="J172">
            <v>0.43698700000000001</v>
          </cell>
          <cell r="K172">
            <v>0.50185400000000002</v>
          </cell>
          <cell r="L172">
            <v>0.588669</v>
          </cell>
          <cell r="M172">
            <v>0.68851300000000004</v>
          </cell>
          <cell r="N172">
            <v>0.83635999999999999</v>
          </cell>
          <cell r="O172">
            <v>0.94314200000000004</v>
          </cell>
          <cell r="P172">
            <v>1.0247219999999999</v>
          </cell>
          <cell r="Q172">
            <v>1.069029</v>
          </cell>
          <cell r="R172">
            <v>1.097323</v>
          </cell>
          <cell r="S172">
            <v>1.1297539999999999</v>
          </cell>
          <cell r="T172">
            <v>1.17422</v>
          </cell>
          <cell r="U172">
            <v>1.2309350000000001</v>
          </cell>
          <cell r="V172">
            <v>1.2863359999999999</v>
          </cell>
          <cell r="W172">
            <v>1.3337379999999999</v>
          </cell>
          <cell r="X172">
            <v>1.3713109999999999</v>
          </cell>
          <cell r="Y172">
            <v>1.398685</v>
          </cell>
          <cell r="Z172">
            <v>1.4134600000000002</v>
          </cell>
          <cell r="AA172">
            <v>1.4148350000000001</v>
          </cell>
          <cell r="AB172">
            <v>1.403959</v>
          </cell>
          <cell r="AC172">
            <v>1.3880460000000001</v>
          </cell>
          <cell r="AD172">
            <v>1.367945999999999</v>
          </cell>
          <cell r="AE172">
            <v>1.3441830000000001</v>
          </cell>
          <cell r="AF172">
            <v>1.317318</v>
          </cell>
          <cell r="AG172">
            <v>1.287974</v>
          </cell>
          <cell r="AH172">
            <v>1.257252</v>
          </cell>
          <cell r="AI172">
            <v>1.225954</v>
          </cell>
          <cell r="AJ172">
            <v>1.19577</v>
          </cell>
        </row>
        <row r="173">
          <cell r="C173" t="str">
            <v>Seychelles</v>
          </cell>
          <cell r="F173">
            <v>3.8037999999999995E-2</v>
          </cell>
          <cell r="G173">
            <v>3.9532999999999999E-2</v>
          </cell>
          <cell r="H173">
            <v>4.2741000000000001E-2</v>
          </cell>
          <cell r="I173">
            <v>4.7566999999999998E-2</v>
          </cell>
          <cell r="J173">
            <v>5.3737E-2</v>
          </cell>
          <cell r="K173">
            <v>6.0261000000000002E-2</v>
          </cell>
          <cell r="L173">
            <v>6.4961000000000005E-2</v>
          </cell>
          <cell r="M173">
            <v>6.7602999999999996E-2</v>
          </cell>
          <cell r="N173">
            <v>7.0721000000000006E-2</v>
          </cell>
          <cell r="O173">
            <v>7.4329999999999993E-2</v>
          </cell>
          <cell r="P173">
            <v>7.9440999999999998E-2</v>
          </cell>
          <cell r="Q173">
            <v>8.5266999999999996E-2</v>
          </cell>
          <cell r="R173">
            <v>9.1733999999999996E-2</v>
          </cell>
          <cell r="S173">
            <v>9.8621E-2</v>
          </cell>
          <cell r="T173">
            <v>0.10501099999999999</v>
          </cell>
          <cell r="U173">
            <v>0.10905000000000001</v>
          </cell>
          <cell r="V173">
            <v>0.11271399999999999</v>
          </cell>
          <cell r="W173">
            <v>0.11578000000000001</v>
          </cell>
          <cell r="X173">
            <v>0.118173</v>
          </cell>
          <cell r="Y173">
            <v>0.119779</v>
          </cell>
          <cell r="Z173">
            <v>0.12070499999999999</v>
          </cell>
          <cell r="AA173">
            <v>0.121074</v>
          </cell>
          <cell r="AB173">
            <v>0.12097899999999999</v>
          </cell>
          <cell r="AC173">
            <v>0.12049399999999999</v>
          </cell>
          <cell r="AD173">
            <v>0.11969099999999999</v>
          </cell>
          <cell r="AE173">
            <v>0.11865000000000001</v>
          </cell>
          <cell r="AF173">
            <v>0.11740600000000001</v>
          </cell>
          <cell r="AG173">
            <v>0.11600400000000001</v>
          </cell>
          <cell r="AH173">
            <v>0.114369</v>
          </cell>
          <cell r="AI173">
            <v>0.11242400000000001</v>
          </cell>
          <cell r="AJ173">
            <v>0.11012899999999999</v>
          </cell>
        </row>
        <row r="174">
          <cell r="C174" t="str">
            <v>Syria</v>
          </cell>
          <cell r="F174">
            <v>3.5060990000000003</v>
          </cell>
          <cell r="G174">
            <v>3.9355579999999999</v>
          </cell>
          <cell r="H174">
            <v>4.5399330000000004</v>
          </cell>
          <cell r="I174">
            <v>5.2836119999999998</v>
          </cell>
          <cell r="J174">
            <v>6.2131959999999999</v>
          </cell>
          <cell r="K174">
            <v>7.3688130000000003</v>
          </cell>
          <cell r="L174">
            <v>8.747777000000001</v>
          </cell>
          <cell r="M174">
            <v>10.359724</v>
          </cell>
          <cell r="N174">
            <v>12.221755</v>
          </cell>
          <cell r="O174">
            <v>14.115619000000001</v>
          </cell>
          <cell r="P174">
            <v>16.102833</v>
          </cell>
          <cell r="Q174">
            <v>18.329923999999998</v>
          </cell>
          <cell r="R174">
            <v>22.085506000000002</v>
          </cell>
          <cell r="S174">
            <v>19.492131000000001</v>
          </cell>
          <cell r="T174">
            <v>20.486035000000001</v>
          </cell>
          <cell r="U174">
            <v>22.103795999999999</v>
          </cell>
          <cell r="V174">
            <v>23.891653999999999</v>
          </cell>
          <cell r="W174">
            <v>25.825292000000001</v>
          </cell>
          <cell r="X174">
            <v>27.654454000000001</v>
          </cell>
          <cell r="Y174">
            <v>29.231383000000001</v>
          </cell>
          <cell r="Z174">
            <v>30.500527999999999</v>
          </cell>
          <cell r="AA174">
            <v>31.584941999999998</v>
          </cell>
          <cell r="AB174">
            <v>32.562424</v>
          </cell>
          <cell r="AC174">
            <v>33.492449999999906</v>
          </cell>
          <cell r="AD174">
            <v>34.335672000000002</v>
          </cell>
          <cell r="AE174">
            <v>35.047215999999999</v>
          </cell>
          <cell r="AF174">
            <v>35.595311000000002</v>
          </cell>
          <cell r="AG174">
            <v>35.965038</v>
          </cell>
          <cell r="AH174">
            <v>36.179535000000001</v>
          </cell>
          <cell r="AI174">
            <v>36.223321000000006</v>
          </cell>
          <cell r="AJ174">
            <v>36.127648000000001</v>
          </cell>
        </row>
        <row r="175">
          <cell r="C175" t="str">
            <v>Chad</v>
          </cell>
          <cell r="F175">
            <v>2.4888279999999998</v>
          </cell>
          <cell r="G175">
            <v>2.7306330000000001</v>
          </cell>
          <cell r="H175">
            <v>2.9996239999999998</v>
          </cell>
          <cell r="I175">
            <v>3.305167</v>
          </cell>
          <cell r="J175">
            <v>3.630274</v>
          </cell>
          <cell r="K175">
            <v>4.0435559999999997</v>
          </cell>
          <cell r="L175">
            <v>4.4545900000000005</v>
          </cell>
          <cell r="M175">
            <v>4.9118410000000008</v>
          </cell>
          <cell r="N175">
            <v>5.763884</v>
          </cell>
          <cell r="O175">
            <v>6.7006860000000001</v>
          </cell>
          <cell r="P175">
            <v>8.1237410000000008</v>
          </cell>
          <cell r="Q175">
            <v>9.8279359999999993</v>
          </cell>
          <cell r="R175">
            <v>11.69125</v>
          </cell>
          <cell r="S175">
            <v>13.933273</v>
          </cell>
          <cell r="T175">
            <v>16.379190000000001</v>
          </cell>
          <cell r="U175">
            <v>19.218825000000002</v>
          </cell>
          <cell r="V175">
            <v>22.315159999999999</v>
          </cell>
          <cell r="W175">
            <v>25.670817</v>
          </cell>
          <cell r="X175">
            <v>29.235324000000002</v>
          </cell>
          <cell r="Y175">
            <v>32.898866999999996</v>
          </cell>
          <cell r="Z175">
            <v>36.610216000000001</v>
          </cell>
          <cell r="AA175">
            <v>40.294401999999899</v>
          </cell>
          <cell r="AB175">
            <v>43.867643999999899</v>
          </cell>
          <cell r="AC175">
            <v>47.299203999999996</v>
          </cell>
          <cell r="AD175">
            <v>50.5261789999999</v>
          </cell>
          <cell r="AE175">
            <v>53.547055</v>
          </cell>
          <cell r="AF175">
            <v>56.244565999999899</v>
          </cell>
          <cell r="AG175">
            <v>58.669542999999997</v>
          </cell>
          <cell r="AH175">
            <v>60.693832</v>
          </cell>
          <cell r="AI175">
            <v>62.267902000000007</v>
          </cell>
          <cell r="AJ175">
            <v>63.409584000000002</v>
          </cell>
        </row>
        <row r="176">
          <cell r="C176" t="str">
            <v>Togo</v>
          </cell>
          <cell r="F176">
            <v>1.387394</v>
          </cell>
          <cell r="G176">
            <v>1.5062059999999999</v>
          </cell>
          <cell r="H176">
            <v>1.6377300000000001</v>
          </cell>
          <cell r="I176">
            <v>1.7930200000000001</v>
          </cell>
          <cell r="J176">
            <v>2.160625</v>
          </cell>
          <cell r="K176">
            <v>2.479978</v>
          </cell>
          <cell r="L176">
            <v>2.7970390000000003</v>
          </cell>
          <cell r="M176">
            <v>3.2853530000000002</v>
          </cell>
          <cell r="N176">
            <v>3.8192520000000001</v>
          </cell>
          <cell r="O176">
            <v>4.1930889999999996</v>
          </cell>
          <cell r="P176">
            <v>4.9386640000000002</v>
          </cell>
          <cell r="Q176">
            <v>5.6380650000000001</v>
          </cell>
          <cell r="R176">
            <v>6.4840070000000001</v>
          </cell>
          <cell r="S176">
            <v>7.3799350000000006</v>
          </cell>
          <cell r="T176">
            <v>8.3422340000000101</v>
          </cell>
          <cell r="U176">
            <v>9.3537479999999995</v>
          </cell>
          <cell r="V176">
            <v>10.39002</v>
          </cell>
          <cell r="W176">
            <v>11.429377000000001</v>
          </cell>
          <cell r="X176">
            <v>12.453074000000001</v>
          </cell>
          <cell r="Y176">
            <v>13.441180000000001</v>
          </cell>
          <cell r="Z176">
            <v>14.369486999999999</v>
          </cell>
          <cell r="AA176">
            <v>15.229327</v>
          </cell>
          <cell r="AB176">
            <v>15.994818</v>
          </cell>
          <cell r="AC176">
            <v>16.678927000000002</v>
          </cell>
          <cell r="AD176">
            <v>17.249137999999999</v>
          </cell>
          <cell r="AE176">
            <v>17.718718000000003</v>
          </cell>
          <cell r="AF176">
            <v>18.074121999999999</v>
          </cell>
          <cell r="AG176">
            <v>18.341722000000001</v>
          </cell>
          <cell r="AH176">
            <v>18.528815999999999</v>
          </cell>
          <cell r="AI176">
            <v>18.63982</v>
          </cell>
          <cell r="AJ176">
            <v>18.677037000000002</v>
          </cell>
        </row>
        <row r="177">
          <cell r="C177" t="str">
            <v>Thailand</v>
          </cell>
          <cell r="F177">
            <v>20.167324000000001</v>
          </cell>
          <cell r="G177">
            <v>22.864901999999997</v>
          </cell>
          <cell r="H177">
            <v>26.206860000000002</v>
          </cell>
          <cell r="I177">
            <v>30.469628</v>
          </cell>
          <cell r="J177">
            <v>35.282538000000002</v>
          </cell>
          <cell r="K177">
            <v>40.409493000000005</v>
          </cell>
          <cell r="L177">
            <v>45.237549000000001</v>
          </cell>
          <cell r="M177">
            <v>50.116373000000003</v>
          </cell>
          <cell r="N177">
            <v>54.773760000000003</v>
          </cell>
          <cell r="O177">
            <v>59.029226999999999</v>
          </cell>
          <cell r="P177">
            <v>62.771335000000001</v>
          </cell>
          <cell r="Q177">
            <v>65.575665000000001</v>
          </cell>
          <cell r="R177">
            <v>68.052340999999998</v>
          </cell>
          <cell r="S177">
            <v>70.141672999999997</v>
          </cell>
          <cell r="T177">
            <v>71.389373000000006</v>
          </cell>
          <cell r="U177">
            <v>72.034105999999994</v>
          </cell>
          <cell r="V177">
            <v>72.189192000000105</v>
          </cell>
          <cell r="W177">
            <v>71.84621700000001</v>
          </cell>
          <cell r="X177">
            <v>70.980435999999997</v>
          </cell>
          <cell r="Y177">
            <v>69.666561000000002</v>
          </cell>
          <cell r="Z177">
            <v>67.942614000000006</v>
          </cell>
          <cell r="AA177">
            <v>65.911172999999991</v>
          </cell>
          <cell r="AB177">
            <v>63.713932</v>
          </cell>
          <cell r="AC177">
            <v>61.428739999999998</v>
          </cell>
          <cell r="AD177">
            <v>59.127137000000005</v>
          </cell>
          <cell r="AE177">
            <v>56.820715</v>
          </cell>
          <cell r="AF177">
            <v>54.534802000000006</v>
          </cell>
          <cell r="AG177">
            <v>52.2776789999999</v>
          </cell>
          <cell r="AH177">
            <v>50.066612999999904</v>
          </cell>
          <cell r="AI177">
            <v>47.938536999999997</v>
          </cell>
          <cell r="AJ177">
            <v>45.904883000000005</v>
          </cell>
        </row>
        <row r="178">
          <cell r="C178" t="str">
            <v>Tajikistan</v>
          </cell>
          <cell r="F178">
            <v>1.4975070000000001</v>
          </cell>
          <cell r="G178">
            <v>1.776459</v>
          </cell>
          <cell r="H178">
            <v>2.0948420000000003</v>
          </cell>
          <cell r="I178">
            <v>2.4950569999999996</v>
          </cell>
          <cell r="J178">
            <v>2.9467210000000001</v>
          </cell>
          <cell r="K178">
            <v>3.4288580000000004</v>
          </cell>
          <cell r="L178">
            <v>3.9893380000000005</v>
          </cell>
          <cell r="M178">
            <v>4.5949160000000004</v>
          </cell>
          <cell r="N178">
            <v>5.3509289999999998</v>
          </cell>
          <cell r="O178">
            <v>5.8569700000000005</v>
          </cell>
          <cell r="P178">
            <v>6.2038339999999996</v>
          </cell>
          <cell r="Q178">
            <v>6.8654770000000003</v>
          </cell>
          <cell r="R178">
            <v>7.5426970000000004</v>
          </cell>
          <cell r="S178">
            <v>8.4234619999999989</v>
          </cell>
          <cell r="T178">
            <v>9.4428140000000091</v>
          </cell>
          <cell r="U178">
            <v>10.416895</v>
          </cell>
          <cell r="V178">
            <v>11.325038000000001</v>
          </cell>
          <cell r="W178">
            <v>12.214765</v>
          </cell>
          <cell r="X178">
            <v>13.09552</v>
          </cell>
          <cell r="Y178">
            <v>13.924018</v>
          </cell>
          <cell r="Z178">
            <v>14.631448000000001</v>
          </cell>
          <cell r="AA178">
            <v>15.221409</v>
          </cell>
          <cell r="AB178">
            <v>15.697443999999999</v>
          </cell>
          <cell r="AC178">
            <v>16.090282999999999</v>
          </cell>
          <cell r="AD178">
            <v>16.404135</v>
          </cell>
          <cell r="AE178">
            <v>16.641945</v>
          </cell>
          <cell r="AF178">
            <v>16.806778999999999</v>
          </cell>
          <cell r="AG178">
            <v>16.914521000000001</v>
          </cell>
          <cell r="AH178">
            <v>16.962363</v>
          </cell>
          <cell r="AI178">
            <v>16.960764999999999</v>
          </cell>
          <cell r="AJ178">
            <v>16.909831999999998</v>
          </cell>
        </row>
        <row r="179">
          <cell r="C179" t="str">
            <v>Turkmenistan</v>
          </cell>
          <cell r="F179">
            <v>1.2031430000000001</v>
          </cell>
          <cell r="G179">
            <v>1.344106</v>
          </cell>
          <cell r="H179">
            <v>1.5743199999999999</v>
          </cell>
          <cell r="I179">
            <v>1.866849</v>
          </cell>
          <cell r="J179">
            <v>2.1702270000000001</v>
          </cell>
          <cell r="K179">
            <v>2.492518</v>
          </cell>
          <cell r="L179">
            <v>2.8286120000000001</v>
          </cell>
          <cell r="M179">
            <v>3.203198</v>
          </cell>
          <cell r="N179">
            <v>3.67042</v>
          </cell>
          <cell r="O179">
            <v>4.1819889999999997</v>
          </cell>
          <cell r="P179">
            <v>4.5355400000000001</v>
          </cell>
          <cell r="Q179">
            <v>4.8520820000000002</v>
          </cell>
          <cell r="R179">
            <v>5.2229470000000005</v>
          </cell>
          <cell r="S179">
            <v>5.7148479999999999</v>
          </cell>
          <cell r="T179">
            <v>6.2043619999999899</v>
          </cell>
          <cell r="U179">
            <v>6.714321</v>
          </cell>
          <cell r="V179">
            <v>7.1422129999999999</v>
          </cell>
          <cell r="W179">
            <v>7.5196990000000001</v>
          </cell>
          <cell r="X179">
            <v>7.8759980000000001</v>
          </cell>
          <cell r="Y179">
            <v>8.2142820000000096</v>
          </cell>
          <cell r="Z179">
            <v>8.5170180000000002</v>
          </cell>
          <cell r="AA179">
            <v>8.7510149999999989</v>
          </cell>
          <cell r="AB179">
            <v>8.9177930000000103</v>
          </cell>
          <cell r="AC179">
            <v>9.0273780000000006</v>
          </cell>
          <cell r="AD179">
            <v>9.1037160000000004</v>
          </cell>
          <cell r="AE179">
            <v>9.159733000000001</v>
          </cell>
          <cell r="AF179">
            <v>9.1941770000000105</v>
          </cell>
          <cell r="AG179">
            <v>9.202380999999999</v>
          </cell>
          <cell r="AH179">
            <v>9.1809359999999991</v>
          </cell>
          <cell r="AI179">
            <v>9.1300340000000002</v>
          </cell>
          <cell r="AJ179">
            <v>9.0510110000000097</v>
          </cell>
        </row>
        <row r="180">
          <cell r="C180" t="str">
            <v>Timor-Leste</v>
          </cell>
          <cell r="F180">
            <v>0.41323300000000002</v>
          </cell>
          <cell r="G180">
            <v>0.434699</v>
          </cell>
          <cell r="H180">
            <v>0.46503699999999998</v>
          </cell>
          <cell r="I180">
            <v>0.50320200000000004</v>
          </cell>
          <cell r="J180">
            <v>0.54909299999999994</v>
          </cell>
          <cell r="K180">
            <v>0.595553</v>
          </cell>
          <cell r="L180">
            <v>0.63776900000000003</v>
          </cell>
          <cell r="M180">
            <v>0.67632399999999993</v>
          </cell>
          <cell r="N180">
            <v>0.74900599999999995</v>
          </cell>
          <cell r="O180">
            <v>0.81317499999999998</v>
          </cell>
          <cell r="P180">
            <v>0.87189899999999998</v>
          </cell>
          <cell r="Q180">
            <v>0.95662900000000006</v>
          </cell>
          <cell r="R180">
            <v>1.0765199999999999</v>
          </cell>
          <cell r="S180">
            <v>1.196402</v>
          </cell>
          <cell r="T180">
            <v>1.289747</v>
          </cell>
          <cell r="U180">
            <v>1.393799</v>
          </cell>
          <cell r="V180">
            <v>1.4997609999999999</v>
          </cell>
          <cell r="W180">
            <v>1.6013299999999999</v>
          </cell>
          <cell r="X180">
            <v>1.6930319999999992</v>
          </cell>
          <cell r="Y180">
            <v>1.770624</v>
          </cell>
          <cell r="Z180">
            <v>1.8345389999999999</v>
          </cell>
          <cell r="AA180">
            <v>1.8840650000000001</v>
          </cell>
          <cell r="AB180">
            <v>1.9181729999999999</v>
          </cell>
          <cell r="AC180">
            <v>1.938647</v>
          </cell>
          <cell r="AD180">
            <v>1.9475210000000001</v>
          </cell>
          <cell r="AE180">
            <v>1.9448150000000002</v>
          </cell>
          <cell r="AF180">
            <v>1.932078</v>
          </cell>
          <cell r="AG180">
            <v>1.9102319999999999</v>
          </cell>
          <cell r="AH180">
            <v>1.8813659999999999</v>
          </cell>
          <cell r="AI180">
            <v>1.848106</v>
          </cell>
          <cell r="AJ180">
            <v>1.813183</v>
          </cell>
        </row>
        <row r="181">
          <cell r="C181" t="str">
            <v>Tonga</v>
          </cell>
          <cell r="F181">
            <v>4.9121000000000005E-2</v>
          </cell>
          <cell r="G181">
            <v>5.7088E-2</v>
          </cell>
          <cell r="H181">
            <v>6.6452999999999998E-2</v>
          </cell>
          <cell r="I181">
            <v>7.6605999999999994E-2</v>
          </cell>
          <cell r="J181">
            <v>8.5763000000000006E-2</v>
          </cell>
          <cell r="K181">
            <v>9.2741000000000004E-2</v>
          </cell>
          <cell r="L181">
            <v>9.6625000000000003E-2</v>
          </cell>
          <cell r="M181">
            <v>9.7045000000000006E-2</v>
          </cell>
          <cell r="N181">
            <v>9.857500000000001E-2</v>
          </cell>
          <cell r="O181">
            <v>9.9861000000000005E-2</v>
          </cell>
          <cell r="P181">
            <v>0.10229600000000001</v>
          </cell>
          <cell r="Q181">
            <v>0.10534900000000001</v>
          </cell>
          <cell r="R181">
            <v>0.107237</v>
          </cell>
          <cell r="S181">
            <v>0.10638599999999999</v>
          </cell>
          <cell r="T181">
            <v>0.10487600000000001</v>
          </cell>
          <cell r="U181">
            <v>0.10798199999999999</v>
          </cell>
          <cell r="V181">
            <v>0.11054699999999901</v>
          </cell>
          <cell r="W181">
            <v>0.112582</v>
          </cell>
          <cell r="X181">
            <v>0.11414099999999999</v>
          </cell>
          <cell r="Y181">
            <v>0.11488200000000001</v>
          </cell>
          <cell r="Z181">
            <v>0.114785</v>
          </cell>
          <cell r="AA181">
            <v>0.11376199999999999</v>
          </cell>
          <cell r="AB181">
            <v>0.11191100000000001</v>
          </cell>
          <cell r="AC181">
            <v>0.11008000000000001</v>
          </cell>
          <cell r="AD181">
            <v>0.10850900000000001</v>
          </cell>
          <cell r="AE181">
            <v>0.10724199999999999</v>
          </cell>
          <cell r="AF181">
            <v>0.10625000000000001</v>
          </cell>
          <cell r="AG181">
            <v>0.10545500000000001</v>
          </cell>
          <cell r="AH181">
            <v>0.10479600000000001</v>
          </cell>
          <cell r="AI181">
            <v>0.10433100000000001</v>
          </cell>
          <cell r="AJ181">
            <v>0.10413499999999999</v>
          </cell>
        </row>
        <row r="182">
          <cell r="C182" t="str">
            <v>Trinidad and Tobago</v>
          </cell>
          <cell r="F182">
            <v>0.64049199999999995</v>
          </cell>
          <cell r="G182">
            <v>0.73196000000000006</v>
          </cell>
          <cell r="H182">
            <v>0.83745899999999995</v>
          </cell>
          <cell r="I182">
            <v>0.92113400000000001</v>
          </cell>
          <cell r="J182">
            <v>0.98384000000000005</v>
          </cell>
          <cell r="K182">
            <v>1.0471969999999999</v>
          </cell>
          <cell r="L182">
            <v>1.1203109999999998</v>
          </cell>
          <cell r="M182">
            <v>1.191233</v>
          </cell>
          <cell r="N182">
            <v>1.261638</v>
          </cell>
          <cell r="O182">
            <v>1.3047940000000002</v>
          </cell>
          <cell r="P182">
            <v>1.3293050000000002</v>
          </cell>
          <cell r="Q182">
            <v>1.3651420000000001</v>
          </cell>
          <cell r="R182">
            <v>1.4056679999999999</v>
          </cell>
          <cell r="S182">
            <v>1.4555</v>
          </cell>
          <cell r="T182">
            <v>1.5139010000000002</v>
          </cell>
          <cell r="U182">
            <v>1.5278179999999999</v>
          </cell>
          <cell r="V182">
            <v>1.5322610000000001</v>
          </cell>
          <cell r="W182">
            <v>1.5287470000000001</v>
          </cell>
          <cell r="X182">
            <v>1.5185119999999999</v>
          </cell>
          <cell r="Y182">
            <v>1.502715</v>
          </cell>
          <cell r="Z182">
            <v>1.480524</v>
          </cell>
          <cell r="AA182">
            <v>1.453590999999999</v>
          </cell>
          <cell r="AB182">
            <v>1.423251</v>
          </cell>
          <cell r="AC182">
            <v>1.391386</v>
          </cell>
          <cell r="AD182">
            <v>1.3584480000000001</v>
          </cell>
          <cell r="AE182">
            <v>1.324978</v>
          </cell>
          <cell r="AF182">
            <v>1.291488</v>
          </cell>
          <cell r="AG182">
            <v>1.2603800000000001</v>
          </cell>
          <cell r="AH182">
            <v>1.232589999999999</v>
          </cell>
          <cell r="AI182">
            <v>1.2070400000000001</v>
          </cell>
          <cell r="AJ182">
            <v>1.1828829999999999</v>
          </cell>
        </row>
        <row r="183">
          <cell r="C183" t="str">
            <v>Tunisia</v>
          </cell>
          <cell r="F183">
            <v>3.5730920000000004</v>
          </cell>
          <cell r="G183">
            <v>3.933932</v>
          </cell>
          <cell r="H183">
            <v>4.1757219999999995</v>
          </cell>
          <cell r="I183">
            <v>4.4189089999999993</v>
          </cell>
          <cell r="J183">
            <v>4.9805700000000002</v>
          </cell>
          <cell r="K183">
            <v>5.6893840000000004</v>
          </cell>
          <cell r="L183">
            <v>6.4969380000000001</v>
          </cell>
          <cell r="M183">
            <v>7.3769730000000004</v>
          </cell>
          <cell r="N183">
            <v>8.3480319999999999</v>
          </cell>
          <cell r="O183">
            <v>9.2233260000000001</v>
          </cell>
          <cell r="P183">
            <v>9.8415110000000006</v>
          </cell>
          <cell r="Q183">
            <v>10.340847999999999</v>
          </cell>
          <cell r="R183">
            <v>10.837762000000001</v>
          </cell>
          <cell r="S183">
            <v>11.493401</v>
          </cell>
          <cell r="T183">
            <v>12.106245000000001</v>
          </cell>
          <cell r="U183">
            <v>12.623718</v>
          </cell>
          <cell r="V183">
            <v>13.057049000000001</v>
          </cell>
          <cell r="W183">
            <v>13.371357</v>
          </cell>
          <cell r="X183">
            <v>13.610002000000001</v>
          </cell>
          <cell r="Y183">
            <v>13.801311999999999</v>
          </cell>
          <cell r="Z183">
            <v>13.942258000000001</v>
          </cell>
          <cell r="AA183">
            <v>14.013275999999999</v>
          </cell>
          <cell r="AB183">
            <v>14.006888999999999</v>
          </cell>
          <cell r="AC183">
            <v>13.932888999999999</v>
          </cell>
          <cell r="AD183">
            <v>13.81366</v>
          </cell>
          <cell r="AE183">
            <v>13.669999000000001</v>
          </cell>
          <cell r="AF183">
            <v>13.516624999999999</v>
          </cell>
          <cell r="AG183">
            <v>13.361709999999999</v>
          </cell>
          <cell r="AH183">
            <v>13.202828</v>
          </cell>
          <cell r="AI183">
            <v>13.033673</v>
          </cell>
          <cell r="AJ183">
            <v>12.845345999999999</v>
          </cell>
        </row>
        <row r="184">
          <cell r="C184" t="str">
            <v>Turkey</v>
          </cell>
          <cell r="F184">
            <v>20.715337000000002</v>
          </cell>
          <cell r="G184">
            <v>23.544613000000002</v>
          </cell>
          <cell r="H184">
            <v>27.149198000000002</v>
          </cell>
          <cell r="I184">
            <v>30.999939999999999</v>
          </cell>
          <cell r="J184">
            <v>35.132373000000001</v>
          </cell>
          <cell r="K184">
            <v>39.276131999999997</v>
          </cell>
          <cell r="L184">
            <v>43.630906000000003</v>
          </cell>
          <cell r="M184">
            <v>48.644137000000001</v>
          </cell>
          <cell r="N184">
            <v>53.818432000000001</v>
          </cell>
          <cell r="O184">
            <v>58.820056000000001</v>
          </cell>
          <cell r="P184">
            <v>63.645023999999999</v>
          </cell>
          <cell r="Q184">
            <v>68.250854000000004</v>
          </cell>
          <cell r="R184">
            <v>72.703473000000002</v>
          </cell>
          <cell r="S184">
            <v>78.966299000000006</v>
          </cell>
          <cell r="T184">
            <v>83.811677000000003</v>
          </cell>
          <cell r="U184">
            <v>87.083182000000008</v>
          </cell>
          <cell r="V184">
            <v>89.949418999999992</v>
          </cell>
          <cell r="W184">
            <v>92.269605999999996</v>
          </cell>
          <cell r="X184">
            <v>94.146771000000001</v>
          </cell>
          <cell r="Y184">
            <v>95.556303</v>
          </cell>
          <cell r="Z184">
            <v>96.364127999999894</v>
          </cell>
          <cell r="AA184">
            <v>96.594149000000002</v>
          </cell>
          <cell r="AB184">
            <v>96.234290999999999</v>
          </cell>
          <cell r="AC184">
            <v>95.421650000000099</v>
          </cell>
          <cell r="AD184">
            <v>94.296102000000005</v>
          </cell>
          <cell r="AE184">
            <v>92.930326000000107</v>
          </cell>
          <cell r="AF184">
            <v>91.365808999999999</v>
          </cell>
          <cell r="AG184">
            <v>89.641546999999903</v>
          </cell>
          <cell r="AH184">
            <v>87.80754300000001</v>
          </cell>
          <cell r="AI184">
            <v>85.907063000000093</v>
          </cell>
          <cell r="AJ184">
            <v>83.957498000000015</v>
          </cell>
        </row>
        <row r="185">
          <cell r="C185" t="str">
            <v>Taiwan</v>
          </cell>
          <cell r="F185">
            <v>7.4684420000000005</v>
          </cell>
          <cell r="G185">
            <v>9.061808000000001</v>
          </cell>
          <cell r="H185">
            <v>10.793543</v>
          </cell>
          <cell r="I185">
            <v>12.848748000000001</v>
          </cell>
          <cell r="J185">
            <v>14.788778000000001</v>
          </cell>
          <cell r="K185">
            <v>16.397780000000001</v>
          </cell>
          <cell r="L185">
            <v>17.948252</v>
          </cell>
          <cell r="M185">
            <v>19.383239000000003</v>
          </cell>
          <cell r="N185">
            <v>20.494844000000001</v>
          </cell>
          <cell r="O185">
            <v>21.376148000000001</v>
          </cell>
          <cell r="P185">
            <v>22.127390999999999</v>
          </cell>
          <cell r="Q185">
            <v>22.753889000000001</v>
          </cell>
          <cell r="R185">
            <v>23.064914000000002</v>
          </cell>
          <cell r="S185">
            <v>23.467585</v>
          </cell>
          <cell r="T185">
            <v>23.800895000000001</v>
          </cell>
          <cell r="U185">
            <v>23.486823000000001</v>
          </cell>
          <cell r="V185">
            <v>23.078263</v>
          </cell>
          <cell r="W185">
            <v>22.543267</v>
          </cell>
          <cell r="X185">
            <v>21.840837000000001</v>
          </cell>
          <cell r="Y185">
            <v>21.009436000000001</v>
          </cell>
          <cell r="Z185">
            <v>20.118994999999998</v>
          </cell>
          <cell r="AA185">
            <v>19.145795999999997</v>
          </cell>
          <cell r="AB185">
            <v>18.151152999999997</v>
          </cell>
          <cell r="AC185">
            <v>17.185651000000004</v>
          </cell>
          <cell r="AD185">
            <v>16.249091</v>
          </cell>
          <cell r="AE185">
            <v>15.352684</v>
          </cell>
          <cell r="AF185">
            <v>14.529734000000001</v>
          </cell>
          <cell r="AG185">
            <v>13.796766</v>
          </cell>
          <cell r="AH185">
            <v>13.151927000000001</v>
          </cell>
          <cell r="AI185">
            <v>12.587789000000001</v>
          </cell>
          <cell r="AJ185">
            <v>12.091051999999999</v>
          </cell>
        </row>
        <row r="186">
          <cell r="C186" t="str">
            <v>Tanzania</v>
          </cell>
          <cell r="F186">
            <v>7.5333160000000001</v>
          </cell>
          <cell r="G186">
            <v>8.6056550000000005</v>
          </cell>
          <cell r="H186">
            <v>9.8989080000000005</v>
          </cell>
          <cell r="I186">
            <v>11.458259</v>
          </cell>
          <cell r="J186">
            <v>13.387290000000002</v>
          </cell>
          <cell r="K186">
            <v>15.951677999999999</v>
          </cell>
          <cell r="L186">
            <v>19.004651000000003</v>
          </cell>
          <cell r="M186">
            <v>22.181567000000001</v>
          </cell>
          <cell r="N186">
            <v>25.865476999999998</v>
          </cell>
          <cell r="O186">
            <v>30.184794999999998</v>
          </cell>
          <cell r="P186">
            <v>33.972122000000006</v>
          </cell>
          <cell r="Q186">
            <v>38.887332000000001</v>
          </cell>
          <cell r="R186">
            <v>44.474669000000006</v>
          </cell>
          <cell r="S186">
            <v>51.608413999999996</v>
          </cell>
          <cell r="T186">
            <v>60.771966999999997</v>
          </cell>
          <cell r="U186">
            <v>70.253766999999911</v>
          </cell>
          <cell r="V186">
            <v>80.35643299999991</v>
          </cell>
          <cell r="W186">
            <v>90.927331000000009</v>
          </cell>
          <cell r="X186">
            <v>101.857332</v>
          </cell>
          <cell r="Y186">
            <v>113.02585300000001</v>
          </cell>
          <cell r="Z186">
            <v>124.20831200000001</v>
          </cell>
          <cell r="AA186">
            <v>134.956839</v>
          </cell>
          <cell r="AB186">
            <v>145.25153299999999</v>
          </cell>
          <cell r="AC186">
            <v>154.92601199999999</v>
          </cell>
          <cell r="AD186">
            <v>163.812307</v>
          </cell>
          <cell r="AE186">
            <v>172.03333900000001</v>
          </cell>
          <cell r="AF186">
            <v>179.177707</v>
          </cell>
          <cell r="AG186">
            <v>185.01442900000001</v>
          </cell>
          <cell r="AH186">
            <v>189.58042300000002</v>
          </cell>
          <cell r="AI186">
            <v>193.127668</v>
          </cell>
          <cell r="AJ186">
            <v>195.84302700000001</v>
          </cell>
        </row>
        <row r="187">
          <cell r="C187" t="str">
            <v>Uganda</v>
          </cell>
          <cell r="F187">
            <v>5.671964</v>
          </cell>
          <cell r="G187">
            <v>6.5093329999999998</v>
          </cell>
          <cell r="H187">
            <v>7.5095390000000002</v>
          </cell>
          <cell r="I187">
            <v>8.6942120000000003</v>
          </cell>
          <cell r="J187">
            <v>10.16159</v>
          </cell>
          <cell r="K187">
            <v>11.576438</v>
          </cell>
          <cell r="L187">
            <v>13.152554</v>
          </cell>
          <cell r="M187">
            <v>14.826513</v>
          </cell>
          <cell r="N187">
            <v>17.304577000000002</v>
          </cell>
          <cell r="O187">
            <v>20.452871999999999</v>
          </cell>
          <cell r="P187">
            <v>23.646692999999999</v>
          </cell>
          <cell r="Q187">
            <v>27.540927</v>
          </cell>
          <cell r="R187">
            <v>31.870718</v>
          </cell>
          <cell r="S187">
            <v>36.893791</v>
          </cell>
          <cell r="T187">
            <v>43.685862</v>
          </cell>
          <cell r="U187">
            <v>50.772649000000001</v>
          </cell>
          <cell r="V187">
            <v>58.373865000000002</v>
          </cell>
          <cell r="W187">
            <v>66.301922000000005</v>
          </cell>
          <cell r="X187">
            <v>74.392577000000003</v>
          </cell>
          <cell r="Y187">
            <v>82.579915999999997</v>
          </cell>
          <cell r="Z187">
            <v>90.748600999999994</v>
          </cell>
          <cell r="AA187">
            <v>98.522150999999994</v>
          </cell>
          <cell r="AB187">
            <v>105.904337</v>
          </cell>
          <cell r="AC187">
            <v>112.75394800000001</v>
          </cell>
          <cell r="AD187">
            <v>119.16094100000001</v>
          </cell>
          <cell r="AE187">
            <v>124.81304900000001</v>
          </cell>
          <cell r="AF187">
            <v>129.62115499999999</v>
          </cell>
          <cell r="AG187">
            <v>133.55082800000002</v>
          </cell>
          <cell r="AH187">
            <v>136.66980699999999</v>
          </cell>
          <cell r="AI187">
            <v>139.15519900000001</v>
          </cell>
          <cell r="AJ187">
            <v>141.091747</v>
          </cell>
        </row>
        <row r="188">
          <cell r="C188" t="str">
            <v>Ukraine</v>
          </cell>
          <cell r="F188">
            <v>37.063068000000001</v>
          </cell>
          <cell r="G188">
            <v>39.558768000000001</v>
          </cell>
          <cell r="H188">
            <v>42.462762000000005</v>
          </cell>
          <cell r="I188">
            <v>45.181820000000002</v>
          </cell>
          <cell r="J188">
            <v>47.156246000000003</v>
          </cell>
          <cell r="K188">
            <v>48.757080000000002</v>
          </cell>
          <cell r="L188">
            <v>49.859322999999996</v>
          </cell>
          <cell r="M188">
            <v>50.847730000000006</v>
          </cell>
          <cell r="N188">
            <v>51.550797000000003</v>
          </cell>
          <cell r="O188">
            <v>51.271419999999999</v>
          </cell>
          <cell r="P188">
            <v>49.106096000000001</v>
          </cell>
          <cell r="Q188">
            <v>47.090055999999997</v>
          </cell>
          <cell r="R188">
            <v>45.778083000000002</v>
          </cell>
          <cell r="S188">
            <v>45.050091999999999</v>
          </cell>
          <cell r="T188">
            <v>44.090697999999996</v>
          </cell>
          <cell r="U188">
            <v>36.386406000000001</v>
          </cell>
          <cell r="V188">
            <v>36.933428999999997</v>
          </cell>
          <cell r="W188">
            <v>36.926851000000006</v>
          </cell>
          <cell r="X188">
            <v>36.491101999999998</v>
          </cell>
          <cell r="Y188">
            <v>35.775802000000006</v>
          </cell>
          <cell r="Z188">
            <v>34.963152000000001</v>
          </cell>
          <cell r="AA188">
            <v>34.101708000000002</v>
          </cell>
          <cell r="AB188">
            <v>33.251571999999896</v>
          </cell>
          <cell r="AC188">
            <v>32.398639000000003</v>
          </cell>
          <cell r="AD188">
            <v>31.561341000000002</v>
          </cell>
          <cell r="AE188">
            <v>30.75667</v>
          </cell>
          <cell r="AF188">
            <v>29.993600000000001</v>
          </cell>
          <cell r="AG188">
            <v>29.269180000000002</v>
          </cell>
          <cell r="AH188">
            <v>28.579186000000004</v>
          </cell>
          <cell r="AI188">
            <v>27.901272000000002</v>
          </cell>
          <cell r="AJ188">
            <v>27.196470000000001</v>
          </cell>
        </row>
        <row r="189">
          <cell r="C189" t="str">
            <v>Uruguay</v>
          </cell>
          <cell r="F189">
            <v>2.223894</v>
          </cell>
          <cell r="G189">
            <v>2.3509520000000004</v>
          </cell>
          <cell r="H189">
            <v>2.5127470000000001</v>
          </cell>
          <cell r="I189">
            <v>2.66675</v>
          </cell>
          <cell r="J189">
            <v>2.7828189999999999</v>
          </cell>
          <cell r="K189">
            <v>2.8624260000000001</v>
          </cell>
          <cell r="L189">
            <v>2.9477100000000003</v>
          </cell>
          <cell r="M189">
            <v>3.0159419999999999</v>
          </cell>
          <cell r="N189">
            <v>3.1079150000000002</v>
          </cell>
          <cell r="O189">
            <v>3.1992210000000001</v>
          </cell>
          <cell r="P189">
            <v>3.28681</v>
          </cell>
          <cell r="Q189">
            <v>3.3158400000000001</v>
          </cell>
          <cell r="R189">
            <v>3.3482880000000002</v>
          </cell>
          <cell r="S189">
            <v>3.3969659999999999</v>
          </cell>
          <cell r="T189">
            <v>3.428267</v>
          </cell>
          <cell r="U189">
            <v>3.4108589999999999</v>
          </cell>
          <cell r="V189">
            <v>3.400617</v>
          </cell>
          <cell r="W189">
            <v>3.3863099999999999</v>
          </cell>
          <cell r="X189">
            <v>3.3638019999999997</v>
          </cell>
          <cell r="Y189">
            <v>3.3304279999999999</v>
          </cell>
          <cell r="Z189">
            <v>3.2847200000000001</v>
          </cell>
          <cell r="AA189">
            <v>3.2270379999999999</v>
          </cell>
          <cell r="AB189">
            <v>3.1596380000000002</v>
          </cell>
          <cell r="AC189">
            <v>3.0871750000000002</v>
          </cell>
          <cell r="AD189">
            <v>3.0104820000000001</v>
          </cell>
          <cell r="AE189">
            <v>2.928801</v>
          </cell>
          <cell r="AF189">
            <v>2.841726</v>
          </cell>
          <cell r="AG189">
            <v>2.7496229999999997</v>
          </cell>
          <cell r="AH189">
            <v>2.6535630000000001</v>
          </cell>
          <cell r="AI189">
            <v>2.5552410000000001</v>
          </cell>
          <cell r="AJ189">
            <v>2.457471</v>
          </cell>
        </row>
        <row r="190">
          <cell r="C190" t="str">
            <v>United States</v>
          </cell>
          <cell r="F190">
            <v>147.095867</v>
          </cell>
          <cell r="G190">
            <v>159.663129</v>
          </cell>
          <cell r="H190">
            <v>174.73620199999999</v>
          </cell>
          <cell r="I190">
            <v>188.55702400000001</v>
          </cell>
          <cell r="J190">
            <v>198.98427100000001</v>
          </cell>
          <cell r="K190">
            <v>210.25976300000002</v>
          </cell>
          <cell r="L190">
            <v>221.787432</v>
          </cell>
          <cell r="M190">
            <v>233.94005600000003</v>
          </cell>
          <cell r="N190">
            <v>246.36563899999999</v>
          </cell>
          <cell r="O190">
            <v>264.01979399999999</v>
          </cell>
          <cell r="P190">
            <v>280.81662699999998</v>
          </cell>
          <cell r="Q190">
            <v>295.41612800000001</v>
          </cell>
          <cell r="R190">
            <v>309.88406400000002</v>
          </cell>
          <cell r="S190">
            <v>323.34864600000003</v>
          </cell>
          <cell r="T190">
            <v>335.38823600000001</v>
          </cell>
          <cell r="U190">
            <v>342.01102200000003</v>
          </cell>
          <cell r="V190">
            <v>349.70853999999997</v>
          </cell>
          <cell r="W190">
            <v>357.25619</v>
          </cell>
          <cell r="X190">
            <v>364.36476400000004</v>
          </cell>
          <cell r="Y190">
            <v>370.894857</v>
          </cell>
          <cell r="Z190">
            <v>377.02514000000002</v>
          </cell>
          <cell r="AA190">
            <v>382.280259</v>
          </cell>
          <cell r="AB190">
            <v>387.35225199999996</v>
          </cell>
          <cell r="AC190">
            <v>392.27460400000001</v>
          </cell>
          <cell r="AD190">
            <v>397.0025</v>
          </cell>
          <cell r="AE190">
            <v>401.17160100000001</v>
          </cell>
          <cell r="AF190">
            <v>404.26055099999996</v>
          </cell>
          <cell r="AG190">
            <v>406.04454100000004</v>
          </cell>
          <cell r="AH190">
            <v>406.64522999999997</v>
          </cell>
          <cell r="AI190">
            <v>406.41100900000004</v>
          </cell>
          <cell r="AJ190">
            <v>405.50266700000003</v>
          </cell>
        </row>
        <row r="191">
          <cell r="C191" t="str">
            <v>Uzbekistan</v>
          </cell>
          <cell r="F191">
            <v>6.1680000000000001</v>
          </cell>
          <cell r="G191">
            <v>7.0381739999999997</v>
          </cell>
          <cell r="H191">
            <v>8.2217690000000001</v>
          </cell>
          <cell r="I191">
            <v>9.9423220000000008</v>
          </cell>
          <cell r="J191">
            <v>11.831076999999999</v>
          </cell>
          <cell r="K191">
            <v>13.691456000000001</v>
          </cell>
          <cell r="L191">
            <v>15.755048</v>
          </cell>
          <cell r="M191">
            <v>17.822226000000001</v>
          </cell>
          <cell r="N191">
            <v>20.344249000000001</v>
          </cell>
          <cell r="O191">
            <v>22.799247999999999</v>
          </cell>
          <cell r="P191">
            <v>24.767756000000002</v>
          </cell>
          <cell r="Q191">
            <v>26.402560000000001</v>
          </cell>
          <cell r="R191">
            <v>28.391943000000001</v>
          </cell>
          <cell r="S191">
            <v>30.694330999999998</v>
          </cell>
          <cell r="T191">
            <v>33.243472000000004</v>
          </cell>
          <cell r="U191">
            <v>36.056807999999997</v>
          </cell>
          <cell r="V191">
            <v>38.525427000000008</v>
          </cell>
          <cell r="W191">
            <v>40.753849000000002</v>
          </cell>
          <cell r="X191">
            <v>42.894455999999998</v>
          </cell>
          <cell r="Y191">
            <v>44.959589000000001</v>
          </cell>
          <cell r="Z191">
            <v>46.843207999999898</v>
          </cell>
          <cell r="AA191">
            <v>48.361410999999897</v>
          </cell>
          <cell r="AB191">
            <v>49.498089</v>
          </cell>
          <cell r="AC191">
            <v>50.323688000000004</v>
          </cell>
          <cell r="AD191">
            <v>50.954008999999999</v>
          </cell>
          <cell r="AE191">
            <v>51.4125820000001</v>
          </cell>
          <cell r="AF191">
            <v>51.695417999999997</v>
          </cell>
          <cell r="AG191">
            <v>51.825858999999902</v>
          </cell>
          <cell r="AH191">
            <v>51.850495000000002</v>
          </cell>
          <cell r="AI191">
            <v>51.796572000000005</v>
          </cell>
          <cell r="AJ191">
            <v>51.611807999999996</v>
          </cell>
        </row>
        <row r="192">
          <cell r="C192" t="str">
            <v>Saint Vincent and the Grenadines</v>
          </cell>
          <cell r="F192">
            <v>6.0627E-2</v>
          </cell>
          <cell r="G192">
            <v>7.0701E-2</v>
          </cell>
          <cell r="H192">
            <v>8.3376999999999993E-2</v>
          </cell>
          <cell r="I192">
            <v>9.0768000000000001E-2</v>
          </cell>
          <cell r="J192">
            <v>9.7806000000000004E-2</v>
          </cell>
          <cell r="K192">
            <v>0.103453</v>
          </cell>
          <cell r="L192">
            <v>0.107178</v>
          </cell>
          <cell r="M192">
            <v>0.11063800000000001</v>
          </cell>
          <cell r="N192">
            <v>0.112426</v>
          </cell>
          <cell r="O192">
            <v>0.114077</v>
          </cell>
          <cell r="P192">
            <v>0.113903</v>
          </cell>
          <cell r="Q192">
            <v>0.11233799999999999</v>
          </cell>
          <cell r="R192">
            <v>0.10959000000000001</v>
          </cell>
          <cell r="S192">
            <v>0.10671</v>
          </cell>
          <cell r="T192">
            <v>0.104708</v>
          </cell>
          <cell r="U192">
            <v>0.10199200000000001</v>
          </cell>
          <cell r="V192">
            <v>0.100606</v>
          </cell>
          <cell r="W192">
            <v>9.8891999999999994E-2</v>
          </cell>
          <cell r="X192">
            <v>9.6950000000000008E-2</v>
          </cell>
          <cell r="Y192">
            <v>9.4786000000000009E-2</v>
          </cell>
          <cell r="Z192">
            <v>9.2281000000000002E-2</v>
          </cell>
          <cell r="AA192">
            <v>8.955500000000001E-2</v>
          </cell>
          <cell r="AB192">
            <v>8.6767000000000011E-2</v>
          </cell>
          <cell r="AC192">
            <v>8.4238000000000007E-2</v>
          </cell>
          <cell r="AD192">
            <v>8.1967000000000012E-2</v>
          </cell>
          <cell r="AE192">
            <v>7.9904000000000003E-2</v>
          </cell>
          <cell r="AF192">
            <v>7.8E-2</v>
          </cell>
          <cell r="AG192">
            <v>7.6250000000000012E-2</v>
          </cell>
          <cell r="AH192">
            <v>7.4651999999999996E-2</v>
          </cell>
          <cell r="AI192">
            <v>7.3221999999999995E-2</v>
          </cell>
          <cell r="AJ192">
            <v>7.1961000000000011E-2</v>
          </cell>
        </row>
        <row r="193">
          <cell r="C193" t="str">
            <v>Venezuela</v>
          </cell>
          <cell r="F193">
            <v>5.3680829999999995</v>
          </cell>
          <cell r="G193">
            <v>6.6195890000000004</v>
          </cell>
          <cell r="H193">
            <v>8.0103109999999997</v>
          </cell>
          <cell r="I193">
            <v>9.5282739999999997</v>
          </cell>
          <cell r="J193">
            <v>11.181691000000001</v>
          </cell>
          <cell r="K193">
            <v>12.983984000000001</v>
          </cell>
          <cell r="L193">
            <v>14.998197000000001</v>
          </cell>
          <cell r="M193">
            <v>17.17642</v>
          </cell>
          <cell r="N193">
            <v>19.512799999999999</v>
          </cell>
          <cell r="O193">
            <v>21.874317999999999</v>
          </cell>
          <cell r="P193">
            <v>24.197435000000002</v>
          </cell>
          <cell r="Q193">
            <v>26.449270000000002</v>
          </cell>
          <cell r="R193">
            <v>28.522450000000003</v>
          </cell>
          <cell r="S193">
            <v>30.366602</v>
          </cell>
          <cell r="T193">
            <v>28.628829000000003</v>
          </cell>
          <cell r="U193">
            <v>29.785153999999999</v>
          </cell>
          <cell r="V193">
            <v>31.032758999999999</v>
          </cell>
          <cell r="W193">
            <v>32.176923000000002</v>
          </cell>
          <cell r="X193">
            <v>33.124542999999996</v>
          </cell>
          <cell r="Y193">
            <v>33.859232000000006</v>
          </cell>
          <cell r="Z193">
            <v>34.407172000000003</v>
          </cell>
          <cell r="AA193">
            <v>34.834459000000003</v>
          </cell>
          <cell r="AB193">
            <v>35.169163000000005</v>
          </cell>
          <cell r="AC193">
            <v>35.397906000000006</v>
          </cell>
          <cell r="AD193">
            <v>35.525922000000001</v>
          </cell>
          <cell r="AE193">
            <v>35.564366999999997</v>
          </cell>
          <cell r="AF193">
            <v>35.519406000000004</v>
          </cell>
          <cell r="AG193">
            <v>35.402144</v>
          </cell>
          <cell r="AH193">
            <v>35.200423000000001</v>
          </cell>
          <cell r="AI193">
            <v>34.890184000000005</v>
          </cell>
          <cell r="AJ193">
            <v>34.470885000000003</v>
          </cell>
        </row>
        <row r="194">
          <cell r="C194" t="str">
            <v>United States Virgin Islands</v>
          </cell>
          <cell r="F194">
            <v>2.6658000000000001E-2</v>
          </cell>
          <cell r="G194">
            <v>2.9065999999999998E-2</v>
          </cell>
          <cell r="H194">
            <v>3.1934999999999998E-2</v>
          </cell>
          <cell r="I194">
            <v>4.4590000000000005E-2</v>
          </cell>
          <cell r="J194">
            <v>6.1688000000000007E-2</v>
          </cell>
          <cell r="K194">
            <v>7.9680000000000015E-2</v>
          </cell>
          <cell r="L194">
            <v>9.5784999999999995E-2</v>
          </cell>
          <cell r="M194">
            <v>0.10179200000000001</v>
          </cell>
          <cell r="N194">
            <v>0.10063200000000001</v>
          </cell>
          <cell r="O194">
            <v>0.102867</v>
          </cell>
          <cell r="P194">
            <v>0.108265</v>
          </cell>
          <cell r="Q194">
            <v>0.10645399999999999</v>
          </cell>
          <cell r="R194">
            <v>0.106462</v>
          </cell>
          <cell r="S194">
            <v>0.103059</v>
          </cell>
          <cell r="T194">
            <v>0.10054399999999999</v>
          </cell>
          <cell r="U194">
            <v>9.8240000000000008E-2</v>
          </cell>
          <cell r="V194">
            <v>9.6219000000000013E-2</v>
          </cell>
          <cell r="W194">
            <v>9.4338999999999992E-2</v>
          </cell>
          <cell r="X194">
            <v>9.269899999999999E-2</v>
          </cell>
          <cell r="Y194">
            <v>9.1420000000000001E-2</v>
          </cell>
          <cell r="Z194">
            <v>9.0520000000000003E-2</v>
          </cell>
          <cell r="AA194">
            <v>8.9930999999999012E-2</v>
          </cell>
          <cell r="AB194">
            <v>8.9564999999999992E-2</v>
          </cell>
          <cell r="AC194">
            <v>8.9311000000000001E-2</v>
          </cell>
          <cell r="AD194">
            <v>8.9187000000000002E-2</v>
          </cell>
          <cell r="AE194">
            <v>8.9258999999999991E-2</v>
          </cell>
          <cell r="AF194">
            <v>8.942399999999999E-2</v>
          </cell>
          <cell r="AG194">
            <v>8.9610000000000009E-2</v>
          </cell>
          <cell r="AH194">
            <v>8.9738999999999999E-2</v>
          </cell>
          <cell r="AI194">
            <v>8.9745999999999007E-2</v>
          </cell>
          <cell r="AJ194">
            <v>8.9589000000000002E-2</v>
          </cell>
        </row>
        <row r="195">
          <cell r="C195" t="str">
            <v>Viet Nam</v>
          </cell>
          <cell r="F195">
            <v>24.829987000000003</v>
          </cell>
          <cell r="G195">
            <v>27.885737000000002</v>
          </cell>
          <cell r="H195">
            <v>32.229838999999998</v>
          </cell>
          <cell r="I195">
            <v>36.995773</v>
          </cell>
          <cell r="J195">
            <v>41.466245999999998</v>
          </cell>
          <cell r="K195">
            <v>46.385072999999998</v>
          </cell>
          <cell r="L195">
            <v>52.323173000000004</v>
          </cell>
          <cell r="M195">
            <v>59.107722000000003</v>
          </cell>
          <cell r="N195">
            <v>66.191958</v>
          </cell>
          <cell r="O195">
            <v>73.142486000000005</v>
          </cell>
          <cell r="P195">
            <v>78.590623999999991</v>
          </cell>
          <cell r="Q195">
            <v>82.731527</v>
          </cell>
          <cell r="R195">
            <v>86.944960999999992</v>
          </cell>
          <cell r="S195">
            <v>91.717010999999999</v>
          </cell>
          <cell r="T195">
            <v>96.203591000000003</v>
          </cell>
          <cell r="U195">
            <v>99.806682999999907</v>
          </cell>
          <cell r="V195">
            <v>102.704567</v>
          </cell>
          <cell r="W195">
            <v>104.77393600000001</v>
          </cell>
          <cell r="X195">
            <v>106.21836400000001</v>
          </cell>
          <cell r="Y195">
            <v>107.127819</v>
          </cell>
          <cell r="Z195">
            <v>107.56537</v>
          </cell>
          <cell r="AA195">
            <v>107.545526</v>
          </cell>
          <cell r="AB195">
            <v>107.013429</v>
          </cell>
          <cell r="AC195">
            <v>105.99526200000001</v>
          </cell>
          <cell r="AD195">
            <v>104.55659799999999</v>
          </cell>
          <cell r="AE195">
            <v>102.76809299999999</v>
          </cell>
          <cell r="AF195">
            <v>100.772993</v>
          </cell>
          <cell r="AG195">
            <v>98.686986000000005</v>
          </cell>
          <cell r="AH195">
            <v>96.590101000000004</v>
          </cell>
          <cell r="AI195">
            <v>94.536879999999911</v>
          </cell>
          <cell r="AJ195">
            <v>92.531030000000101</v>
          </cell>
        </row>
        <row r="196">
          <cell r="C196" t="str">
            <v>Vanuatu</v>
          </cell>
          <cell r="F196">
            <v>5.1124000000000003E-2</v>
          </cell>
          <cell r="G196">
            <v>5.6140000000000002E-2</v>
          </cell>
          <cell r="H196">
            <v>6.3699000000000006E-2</v>
          </cell>
          <cell r="I196">
            <v>7.3562000000000002E-2</v>
          </cell>
          <cell r="J196">
            <v>8.5659000000000013E-2</v>
          </cell>
          <cell r="K196">
            <v>0.100368</v>
          </cell>
          <cell r="L196">
            <v>0.11682500000000001</v>
          </cell>
          <cell r="M196">
            <v>0.131469</v>
          </cell>
          <cell r="N196">
            <v>0.14901300000000001</v>
          </cell>
          <cell r="O196">
            <v>0.168575</v>
          </cell>
          <cell r="P196">
            <v>0.18964900000000001</v>
          </cell>
          <cell r="Q196">
            <v>0.21500899999999998</v>
          </cell>
          <cell r="R196">
            <v>0.24257200000000001</v>
          </cell>
          <cell r="S196">
            <v>0.27316000000000001</v>
          </cell>
          <cell r="T196">
            <v>0.30798000000000003</v>
          </cell>
          <cell r="U196">
            <v>0.343505</v>
          </cell>
          <cell r="V196">
            <v>0.37853599999999904</v>
          </cell>
          <cell r="W196">
            <v>0.41356699999999996</v>
          </cell>
          <cell r="X196">
            <v>0.44832099999999997</v>
          </cell>
          <cell r="Y196">
            <v>0.48228499999999996</v>
          </cell>
          <cell r="Z196">
            <v>0.51407500000000006</v>
          </cell>
          <cell r="AA196">
            <v>0.54268499999999908</v>
          </cell>
          <cell r="AB196">
            <v>0.56839000000000006</v>
          </cell>
          <cell r="AC196">
            <v>0.59102300000000008</v>
          </cell>
          <cell r="AD196">
            <v>0.61032799999999998</v>
          </cell>
          <cell r="AE196">
            <v>0.62595400000000001</v>
          </cell>
          <cell r="AF196">
            <v>0.63881900000000003</v>
          </cell>
          <cell r="AG196">
            <v>0.6492960000000001</v>
          </cell>
          <cell r="AH196">
            <v>0.6574079999999991</v>
          </cell>
          <cell r="AI196">
            <v>0.66313599999999995</v>
          </cell>
          <cell r="AJ196">
            <v>0.66591499999999904</v>
          </cell>
        </row>
        <row r="197">
          <cell r="C197" t="str">
            <v>Samoa</v>
          </cell>
          <cell r="F197">
            <v>8.7016999999999997E-2</v>
          </cell>
          <cell r="G197">
            <v>9.7007999999999997E-2</v>
          </cell>
          <cell r="H197">
            <v>0.111568</v>
          </cell>
          <cell r="I197">
            <v>0.12812200000000001</v>
          </cell>
          <cell r="J197">
            <v>0.14161600000000002</v>
          </cell>
          <cell r="K197">
            <v>0.15376699999999999</v>
          </cell>
          <cell r="L197">
            <v>0.164212</v>
          </cell>
          <cell r="M197">
            <v>0.16665700000000003</v>
          </cell>
          <cell r="N197">
            <v>0.16805900000000001</v>
          </cell>
          <cell r="O197">
            <v>0.17400000000000002</v>
          </cell>
          <cell r="P197">
            <v>0.183117</v>
          </cell>
          <cell r="Q197">
            <v>0.18836600000000001</v>
          </cell>
          <cell r="R197">
            <v>0.19386300000000001</v>
          </cell>
          <cell r="S197">
            <v>0.20266200000000001</v>
          </cell>
          <cell r="T197">
            <v>0.21306200000000003</v>
          </cell>
          <cell r="U197">
            <v>0.226663</v>
          </cell>
          <cell r="V197">
            <v>0.23855099999999901</v>
          </cell>
          <cell r="W197">
            <v>0.24879599999999999</v>
          </cell>
          <cell r="X197">
            <v>0.25752400000000003</v>
          </cell>
          <cell r="Y197">
            <v>0.264791</v>
          </cell>
          <cell r="Z197">
            <v>0.270175</v>
          </cell>
          <cell r="AA197">
            <v>0.27318500000000001</v>
          </cell>
          <cell r="AB197">
            <v>0.27399900000000005</v>
          </cell>
          <cell r="AC197">
            <v>0.27441599999999999</v>
          </cell>
          <cell r="AD197">
            <v>0.27448300000000003</v>
          </cell>
          <cell r="AE197">
            <v>0.27445800000000004</v>
          </cell>
          <cell r="AF197">
            <v>0.27466500000000005</v>
          </cell>
          <cell r="AG197">
            <v>0.27519899999999997</v>
          </cell>
          <cell r="AH197">
            <v>0.27593400000000001</v>
          </cell>
          <cell r="AI197">
            <v>0.27702599999999999</v>
          </cell>
          <cell r="AJ197">
            <v>0.27836299999999997</v>
          </cell>
        </row>
        <row r="198">
          <cell r="C198" t="str">
            <v>Yemen</v>
          </cell>
          <cell r="F198">
            <v>4.6786580000000004</v>
          </cell>
          <cell r="G198">
            <v>5.0504949999999997</v>
          </cell>
          <cell r="H198">
            <v>5.4917100000000003</v>
          </cell>
          <cell r="I198">
            <v>6.0338580000000004</v>
          </cell>
          <cell r="J198">
            <v>6.7560590000000005</v>
          </cell>
          <cell r="K198">
            <v>7.7393400000000003</v>
          </cell>
          <cell r="L198">
            <v>9.0476069999999993</v>
          </cell>
          <cell r="M198">
            <v>10.825234</v>
          </cell>
          <cell r="N198">
            <v>13.119088</v>
          </cell>
          <cell r="O198">
            <v>15.837243000000001</v>
          </cell>
          <cell r="P198">
            <v>18.370981</v>
          </cell>
          <cell r="Q198">
            <v>21.010025000000002</v>
          </cell>
          <cell r="R198">
            <v>24.382966</v>
          </cell>
          <cell r="S198">
            <v>28.139089999999999</v>
          </cell>
          <cell r="T198">
            <v>31.927133999999999</v>
          </cell>
          <cell r="U198">
            <v>35.730317000000007</v>
          </cell>
          <cell r="V198">
            <v>39.618353000000006</v>
          </cell>
          <cell r="W198">
            <v>43.410381000000001</v>
          </cell>
          <cell r="X198">
            <v>47.044309999999996</v>
          </cell>
          <cell r="Y198">
            <v>50.502065000000002</v>
          </cell>
          <cell r="Z198">
            <v>53.679480000000005</v>
          </cell>
          <cell r="AA198">
            <v>56.486986999999999</v>
          </cell>
          <cell r="AB198">
            <v>58.927391000000007</v>
          </cell>
          <cell r="AC198">
            <v>60.928095999999996</v>
          </cell>
          <cell r="AD198">
            <v>62.438104000000003</v>
          </cell>
          <cell r="AE198">
            <v>63.497239999999998</v>
          </cell>
          <cell r="AF198">
            <v>64.221574000000004</v>
          </cell>
          <cell r="AG198">
            <v>64.718744000000001</v>
          </cell>
          <cell r="AH198">
            <v>64.995785999999896</v>
          </cell>
          <cell r="AI198">
            <v>65.020098000000004</v>
          </cell>
          <cell r="AJ198">
            <v>64.758694000000006</v>
          </cell>
        </row>
        <row r="199">
          <cell r="C199" t="str">
            <v>South Africa</v>
          </cell>
          <cell r="F199">
            <v>12.907715</v>
          </cell>
          <cell r="G199">
            <v>14.420944</v>
          </cell>
          <cell r="H199">
            <v>16.300875999999999</v>
          </cell>
          <cell r="I199">
            <v>18.889108</v>
          </cell>
          <cell r="J199">
            <v>22.03444</v>
          </cell>
          <cell r="K199">
            <v>25.425311000000001</v>
          </cell>
          <cell r="L199">
            <v>29.076830999999999</v>
          </cell>
          <cell r="M199">
            <v>33.236040000000003</v>
          </cell>
          <cell r="N199">
            <v>39.302548999999999</v>
          </cell>
          <cell r="O199">
            <v>43.637266000000004</v>
          </cell>
          <cell r="P199">
            <v>46.606822000000001</v>
          </cell>
          <cell r="Q199">
            <v>48.787355000000005</v>
          </cell>
          <cell r="R199">
            <v>51.465550999999998</v>
          </cell>
          <cell r="S199">
            <v>55.219577000000001</v>
          </cell>
          <cell r="T199">
            <v>58.466146000000002</v>
          </cell>
          <cell r="U199">
            <v>60.830739999999999</v>
          </cell>
          <cell r="V199">
            <v>63.277062000000001</v>
          </cell>
          <cell r="W199">
            <v>65.254703000000006</v>
          </cell>
          <cell r="X199">
            <v>66.781834000000003</v>
          </cell>
          <cell r="Y199">
            <v>67.861789999999999</v>
          </cell>
          <cell r="Z199">
            <v>68.422519000000008</v>
          </cell>
          <cell r="AA199">
            <v>68.57230899999999</v>
          </cell>
          <cell r="AB199">
            <v>68.356770999999995</v>
          </cell>
          <cell r="AC199">
            <v>67.836628000000005</v>
          </cell>
          <cell r="AD199">
            <v>67.030146999999999</v>
          </cell>
          <cell r="AE199">
            <v>65.99224000000001</v>
          </cell>
          <cell r="AF199">
            <v>64.739925999999997</v>
          </cell>
          <cell r="AG199">
            <v>63.382743000000005</v>
          </cell>
          <cell r="AH199">
            <v>61.938108</v>
          </cell>
          <cell r="AI199">
            <v>60.409942000000001</v>
          </cell>
          <cell r="AJ199">
            <v>58.810607999999903</v>
          </cell>
        </row>
        <row r="200">
          <cell r="C200" t="str">
            <v>Zambia</v>
          </cell>
          <cell r="F200">
            <v>2.2857179999999997</v>
          </cell>
          <cell r="G200">
            <v>2.6375590000000004</v>
          </cell>
          <cell r="H200">
            <v>3.0704160000000003</v>
          </cell>
          <cell r="I200">
            <v>3.5991590000000002</v>
          </cell>
          <cell r="J200">
            <v>4.223776</v>
          </cell>
          <cell r="K200">
            <v>4.8583869999999996</v>
          </cell>
          <cell r="L200">
            <v>5.6355690000000003</v>
          </cell>
          <cell r="M200">
            <v>6.5859810000000003</v>
          </cell>
          <cell r="N200">
            <v>7.5892550000000005</v>
          </cell>
          <cell r="O200">
            <v>8.5778880000000015</v>
          </cell>
          <cell r="P200">
            <v>9.750273</v>
          </cell>
          <cell r="Q200">
            <v>11.364793000000001</v>
          </cell>
          <cell r="R200">
            <v>13.5562</v>
          </cell>
          <cell r="S200">
            <v>15.991295000000001</v>
          </cell>
          <cell r="T200">
            <v>18.654917000000001</v>
          </cell>
          <cell r="U200">
            <v>21.313374</v>
          </cell>
          <cell r="V200">
            <v>24.072968000000003</v>
          </cell>
          <cell r="W200">
            <v>26.878647000000001</v>
          </cell>
          <cell r="X200">
            <v>29.669576000000003</v>
          </cell>
          <cell r="Y200">
            <v>32.382140999999997</v>
          </cell>
          <cell r="Z200">
            <v>34.942014</v>
          </cell>
          <cell r="AA200">
            <v>37.304527999999998</v>
          </cell>
          <cell r="AB200">
            <v>39.461605000000006</v>
          </cell>
          <cell r="AC200">
            <v>41.337443</v>
          </cell>
          <cell r="AD200">
            <v>42.914729999999899</v>
          </cell>
          <cell r="AE200">
            <v>44.158120000000004</v>
          </cell>
          <cell r="AF200">
            <v>45.041150999999999</v>
          </cell>
          <cell r="AG200">
            <v>45.651158000000002</v>
          </cell>
          <cell r="AH200">
            <v>46.018228000000001</v>
          </cell>
          <cell r="AI200">
            <v>46.141967000000001</v>
          </cell>
          <cell r="AJ200">
            <v>46.054915999999999</v>
          </cell>
        </row>
        <row r="201">
          <cell r="C201" t="str">
            <v>Zimbabwe</v>
          </cell>
          <cell r="F201">
            <v>2.7463960000000003</v>
          </cell>
          <cell r="G201">
            <v>3.2134899999999997</v>
          </cell>
          <cell r="H201">
            <v>3.7474720000000001</v>
          </cell>
          <cell r="I201">
            <v>4.377599</v>
          </cell>
          <cell r="J201">
            <v>5.1246620000000007</v>
          </cell>
          <cell r="K201">
            <v>6.0016499999999997</v>
          </cell>
          <cell r="L201">
            <v>6.7347979999999996</v>
          </cell>
          <cell r="M201">
            <v>8.5441350000000007</v>
          </cell>
          <cell r="N201">
            <v>9.9809990000000006</v>
          </cell>
          <cell r="O201">
            <v>10.901511000000001</v>
          </cell>
          <cell r="P201">
            <v>11.791214</v>
          </cell>
          <cell r="Q201">
            <v>12.195577999999999</v>
          </cell>
          <cell r="R201">
            <v>12.753007999999999</v>
          </cell>
          <cell r="S201">
            <v>14.006288000000001</v>
          </cell>
          <cell r="T201">
            <v>15.505219</v>
          </cell>
          <cell r="U201">
            <v>16.972327</v>
          </cell>
          <cell r="V201">
            <v>18.403131000000002</v>
          </cell>
          <cell r="W201">
            <v>19.765536000000001</v>
          </cell>
          <cell r="X201">
            <v>21.020302000000001</v>
          </cell>
          <cell r="Y201">
            <v>22.156843000000002</v>
          </cell>
          <cell r="Z201">
            <v>23.119126000000001</v>
          </cell>
          <cell r="AA201">
            <v>23.888210000000001</v>
          </cell>
          <cell r="AB201">
            <v>24.441644</v>
          </cell>
          <cell r="AC201">
            <v>24.822562999999999</v>
          </cell>
          <cell r="AD201">
            <v>25.049581999999997</v>
          </cell>
          <cell r="AE201">
            <v>25.196932</v>
          </cell>
          <cell r="AF201">
            <v>25.275026999999998</v>
          </cell>
          <cell r="AG201">
            <v>25.281119999999998</v>
          </cell>
          <cell r="AH201">
            <v>25.190178</v>
          </cell>
          <cell r="AI201">
            <v>25.027830999999999</v>
          </cell>
          <cell r="AJ201">
            <v>24.807233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B2" t="str">
            <v>Aruba</v>
          </cell>
          <cell r="E2">
            <v>50.9</v>
          </cell>
          <cell r="F2">
            <v>50.9</v>
          </cell>
          <cell r="G2">
            <v>50.8</v>
          </cell>
          <cell r="H2">
            <v>50.7</v>
          </cell>
          <cell r="I2">
            <v>50.6</v>
          </cell>
          <cell r="J2">
            <v>50.5</v>
          </cell>
          <cell r="K2">
            <v>50.5</v>
          </cell>
          <cell r="L2">
            <v>50.4</v>
          </cell>
          <cell r="M2">
            <v>50.3</v>
          </cell>
          <cell r="N2">
            <v>48.8</v>
          </cell>
          <cell r="O2">
            <v>46.7</v>
          </cell>
          <cell r="P2">
            <v>44.9</v>
          </cell>
          <cell r="Q2">
            <v>43.1</v>
          </cell>
          <cell r="R2">
            <v>43.1</v>
          </cell>
          <cell r="S2">
            <v>43.7</v>
          </cell>
          <cell r="T2">
            <v>46.548000000000002</v>
          </cell>
          <cell r="U2">
            <v>49.326999999999998</v>
          </cell>
          <cell r="V2">
            <v>52.018000000000001</v>
          </cell>
          <cell r="W2">
            <v>54.610999999999997</v>
          </cell>
          <cell r="X2">
            <v>57.095999999999997</v>
          </cell>
          <cell r="Y2">
            <v>59.468000000000004</v>
          </cell>
          <cell r="Z2">
            <v>61.722999999999999</v>
          </cell>
          <cell r="AA2">
            <v>63.86</v>
          </cell>
          <cell r="AB2">
            <v>65.882000000000005</v>
          </cell>
          <cell r="AC2">
            <v>67.790000000000006</v>
          </cell>
          <cell r="AD2">
            <v>69.587000000000003</v>
          </cell>
          <cell r="AE2">
            <v>71.278000000000006</v>
          </cell>
          <cell r="AF2">
            <v>72.869</v>
          </cell>
          <cell r="AG2">
            <v>74.363</v>
          </cell>
          <cell r="AH2">
            <v>75.766999999999996</v>
          </cell>
          <cell r="AI2">
            <v>77.084999999999994</v>
          </cell>
        </row>
        <row r="3">
          <cell r="B3" t="str">
            <v>Afghanistan</v>
          </cell>
          <cell r="E3">
            <v>6</v>
          </cell>
          <cell r="F3">
            <v>7.1</v>
          </cell>
          <cell r="G3">
            <v>8.4</v>
          </cell>
          <cell r="H3">
            <v>9.9</v>
          </cell>
          <cell r="I3">
            <v>11.6</v>
          </cell>
          <cell r="J3">
            <v>13.6</v>
          </cell>
          <cell r="K3">
            <v>16</v>
          </cell>
          <cell r="L3">
            <v>19</v>
          </cell>
          <cell r="M3">
            <v>21.2</v>
          </cell>
          <cell r="N3">
            <v>21.6</v>
          </cell>
          <cell r="O3">
            <v>22.1</v>
          </cell>
          <cell r="P3">
            <v>22.7</v>
          </cell>
          <cell r="Q3">
            <v>23.7</v>
          </cell>
          <cell r="R3">
            <v>24.8</v>
          </cell>
          <cell r="S3">
            <v>26</v>
          </cell>
          <cell r="T3">
            <v>28.638999999999999</v>
          </cell>
          <cell r="U3">
            <v>31.344999999999999</v>
          </cell>
          <cell r="V3">
            <v>34.091000000000001</v>
          </cell>
          <cell r="W3">
            <v>36.851999999999997</v>
          </cell>
          <cell r="X3">
            <v>39.6</v>
          </cell>
          <cell r="Y3">
            <v>42.314</v>
          </cell>
          <cell r="Z3">
            <v>44.972999999999999</v>
          </cell>
          <cell r="AA3">
            <v>47.56</v>
          </cell>
          <cell r="AB3">
            <v>50.061999999999998</v>
          </cell>
          <cell r="AC3">
            <v>52.468000000000004</v>
          </cell>
          <cell r="AD3">
            <v>54.773000000000003</v>
          </cell>
          <cell r="AE3">
            <v>56.970999999999997</v>
          </cell>
          <cell r="AF3">
            <v>59.061</v>
          </cell>
          <cell r="AG3">
            <v>61.042999999999999</v>
          </cell>
          <cell r="AH3">
            <v>62.918999999999997</v>
          </cell>
          <cell r="AI3">
            <v>64.691000000000003</v>
          </cell>
        </row>
        <row r="4">
          <cell r="B4" t="str">
            <v>Angola</v>
          </cell>
          <cell r="E4">
            <v>7.6</v>
          </cell>
          <cell r="F4">
            <v>8.9</v>
          </cell>
          <cell r="G4">
            <v>10.4</v>
          </cell>
          <cell r="H4">
            <v>12.5</v>
          </cell>
          <cell r="I4">
            <v>15</v>
          </cell>
          <cell r="J4">
            <v>19.100000000000001</v>
          </cell>
          <cell r="K4">
            <v>24.3</v>
          </cell>
          <cell r="L4">
            <v>30.3</v>
          </cell>
          <cell r="M4">
            <v>37.1</v>
          </cell>
          <cell r="N4">
            <v>44.2</v>
          </cell>
          <cell r="O4">
            <v>50.1</v>
          </cell>
          <cell r="P4">
            <v>56</v>
          </cell>
          <cell r="Q4">
            <v>59.8</v>
          </cell>
          <cell r="R4">
            <v>63.4</v>
          </cell>
          <cell r="S4">
            <v>66.8</v>
          </cell>
          <cell r="T4">
            <v>68.396000000000001</v>
          </cell>
          <cell r="U4">
            <v>69.94</v>
          </cell>
          <cell r="V4">
            <v>71.433000000000007</v>
          </cell>
          <cell r="W4">
            <v>72.872</v>
          </cell>
          <cell r="X4">
            <v>74.257000000000005</v>
          </cell>
          <cell r="Y4">
            <v>75.588999999999999</v>
          </cell>
          <cell r="Z4">
            <v>76.867000000000004</v>
          </cell>
          <cell r="AA4">
            <v>78.091999999999999</v>
          </cell>
          <cell r="AB4">
            <v>79.263999999999996</v>
          </cell>
          <cell r="AC4">
            <v>80.385000000000005</v>
          </cell>
          <cell r="AD4">
            <v>81.453999999999994</v>
          </cell>
          <cell r="AE4">
            <v>82.474000000000004</v>
          </cell>
          <cell r="AF4">
            <v>83.445999999999998</v>
          </cell>
          <cell r="AG4">
            <v>84.37</v>
          </cell>
          <cell r="AH4">
            <v>85.248999999999995</v>
          </cell>
          <cell r="AI4">
            <v>86.084000000000003</v>
          </cell>
        </row>
        <row r="5">
          <cell r="B5" t="str">
            <v>Albania</v>
          </cell>
          <cell r="E5">
            <v>20.5</v>
          </cell>
          <cell r="F5">
            <v>26.9</v>
          </cell>
          <cell r="G5">
            <v>30.7</v>
          </cell>
          <cell r="H5">
            <v>31.2</v>
          </cell>
          <cell r="I5">
            <v>31.7</v>
          </cell>
          <cell r="J5">
            <v>32.700000000000003</v>
          </cell>
          <cell r="K5">
            <v>33.799999999999997</v>
          </cell>
          <cell r="L5">
            <v>35.1</v>
          </cell>
          <cell r="M5">
            <v>36.4</v>
          </cell>
          <cell r="N5">
            <v>38.9</v>
          </cell>
          <cell r="O5">
            <v>41.7</v>
          </cell>
          <cell r="P5">
            <v>46.7</v>
          </cell>
          <cell r="Q5">
            <v>52.2</v>
          </cell>
          <cell r="R5">
            <v>57.4</v>
          </cell>
          <cell r="S5">
            <v>62.1</v>
          </cell>
          <cell r="T5">
            <v>64.569000000000003</v>
          </cell>
          <cell r="U5">
            <v>66.855000000000004</v>
          </cell>
          <cell r="V5">
            <v>68.968999999999994</v>
          </cell>
          <cell r="W5">
            <v>70.921000000000006</v>
          </cell>
          <cell r="X5">
            <v>72.721999999999994</v>
          </cell>
          <cell r="Y5">
            <v>74.385000000000005</v>
          </cell>
          <cell r="Z5">
            <v>75.921000000000006</v>
          </cell>
          <cell r="AA5">
            <v>77.338999999999999</v>
          </cell>
          <cell r="AB5">
            <v>78.650999999999996</v>
          </cell>
          <cell r="AC5">
            <v>79.864999999999995</v>
          </cell>
          <cell r="AD5">
            <v>80.989999999999995</v>
          </cell>
          <cell r="AE5">
            <v>82.034000000000006</v>
          </cell>
          <cell r="AF5">
            <v>83.004000000000005</v>
          </cell>
          <cell r="AG5">
            <v>83.906000000000006</v>
          </cell>
          <cell r="AH5">
            <v>84.745999999999995</v>
          </cell>
          <cell r="AI5">
            <v>85.528999999999996</v>
          </cell>
        </row>
        <row r="6">
          <cell r="B6" t="str">
            <v>Andorra</v>
          </cell>
          <cell r="E6">
            <v>38.799999999999997</v>
          </cell>
          <cell r="F6">
            <v>48.6</v>
          </cell>
          <cell r="G6">
            <v>58.5</v>
          </cell>
          <cell r="H6">
            <v>70.400000000000006</v>
          </cell>
          <cell r="I6">
            <v>80.2</v>
          </cell>
          <cell r="J6">
            <v>87.3</v>
          </cell>
          <cell r="K6">
            <v>92.1</v>
          </cell>
          <cell r="L6">
            <v>95.2</v>
          </cell>
          <cell r="M6">
            <v>94.7</v>
          </cell>
          <cell r="N6">
            <v>93.7</v>
          </cell>
          <cell r="O6">
            <v>92.4</v>
          </cell>
          <cell r="P6">
            <v>90.3</v>
          </cell>
          <cell r="Q6">
            <v>88.8</v>
          </cell>
          <cell r="R6">
            <v>88.3</v>
          </cell>
          <cell r="S6">
            <v>87.9</v>
          </cell>
          <cell r="T6">
            <v>88.763000000000005</v>
          </cell>
          <cell r="U6">
            <v>89.584999999999994</v>
          </cell>
          <cell r="V6">
            <v>90.364999999999995</v>
          </cell>
          <cell r="W6">
            <v>91.102999999999994</v>
          </cell>
          <cell r="X6">
            <v>91.799000000000007</v>
          </cell>
          <cell r="Y6">
            <v>92.453000000000003</v>
          </cell>
          <cell r="Z6">
            <v>93.066000000000003</v>
          </cell>
          <cell r="AA6">
            <v>93.638999999999996</v>
          </cell>
          <cell r="AB6">
            <v>94.171999999999997</v>
          </cell>
          <cell r="AC6">
            <v>94.668000000000006</v>
          </cell>
          <cell r="AD6">
            <v>95.126999999999995</v>
          </cell>
          <cell r="AE6">
            <v>95.552000000000007</v>
          </cell>
          <cell r="AF6">
            <v>95.944999999999993</v>
          </cell>
          <cell r="AG6">
            <v>96.305999999999997</v>
          </cell>
          <cell r="AH6">
            <v>96.638000000000005</v>
          </cell>
          <cell r="AI6">
            <v>96.942999999999998</v>
          </cell>
        </row>
        <row r="7">
          <cell r="B7" t="str">
            <v>United Arab Emirates</v>
          </cell>
          <cell r="E7">
            <v>54.5</v>
          </cell>
          <cell r="F7">
            <v>64.599999999999994</v>
          </cell>
          <cell r="G7">
            <v>73.5</v>
          </cell>
          <cell r="H7">
            <v>77.7</v>
          </cell>
          <cell r="I7">
            <v>79.8</v>
          </cell>
          <cell r="J7">
            <v>79.8</v>
          </cell>
          <cell r="K7">
            <v>80.7</v>
          </cell>
          <cell r="L7">
            <v>79.8</v>
          </cell>
          <cell r="M7">
            <v>79.099999999999994</v>
          </cell>
          <cell r="N7">
            <v>78.3</v>
          </cell>
          <cell r="O7">
            <v>80.2</v>
          </cell>
          <cell r="P7">
            <v>82.3</v>
          </cell>
          <cell r="Q7">
            <v>84.1</v>
          </cell>
          <cell r="R7">
            <v>85.7</v>
          </cell>
          <cell r="S7">
            <v>87</v>
          </cell>
          <cell r="T7">
            <v>88.039000000000001</v>
          </cell>
          <cell r="U7">
            <v>88.97</v>
          </cell>
          <cell r="V7">
            <v>89.808999999999997</v>
          </cell>
          <cell r="W7">
            <v>90.566000000000003</v>
          </cell>
          <cell r="X7">
            <v>91.251999999999995</v>
          </cell>
          <cell r="Y7">
            <v>91.875</v>
          </cell>
          <cell r="Z7">
            <v>92.441999999999993</v>
          </cell>
          <cell r="AA7">
            <v>92.960999999999999</v>
          </cell>
          <cell r="AB7">
            <v>93.435000000000002</v>
          </cell>
          <cell r="AC7">
            <v>93.87</v>
          </cell>
          <cell r="AD7">
            <v>94.271000000000001</v>
          </cell>
          <cell r="AE7">
            <v>94.638999999999996</v>
          </cell>
          <cell r="AF7">
            <v>94.978999999999999</v>
          </cell>
          <cell r="AG7">
            <v>95.293999999999997</v>
          </cell>
          <cell r="AH7">
            <v>95.584999999999994</v>
          </cell>
          <cell r="AI7">
            <v>95.855000000000004</v>
          </cell>
        </row>
        <row r="8">
          <cell r="B8" t="str">
            <v>Argentina</v>
          </cell>
          <cell r="E8">
            <v>65.3</v>
          </cell>
          <cell r="F8">
            <v>69.599999999999994</v>
          </cell>
          <cell r="G8">
            <v>73.599999999999994</v>
          </cell>
          <cell r="H8">
            <v>76.400000000000006</v>
          </cell>
          <cell r="I8">
            <v>78.900000000000006</v>
          </cell>
          <cell r="J8">
            <v>81</v>
          </cell>
          <cell r="K8">
            <v>82.9</v>
          </cell>
          <cell r="L8">
            <v>85</v>
          </cell>
          <cell r="M8">
            <v>87</v>
          </cell>
          <cell r="N8">
            <v>88.2</v>
          </cell>
          <cell r="O8">
            <v>89.1</v>
          </cell>
          <cell r="P8">
            <v>90</v>
          </cell>
          <cell r="Q8">
            <v>90.8</v>
          </cell>
          <cell r="R8">
            <v>91.5</v>
          </cell>
          <cell r="S8">
            <v>92.1</v>
          </cell>
          <cell r="T8">
            <v>92.573999999999998</v>
          </cell>
          <cell r="U8">
            <v>92.891000000000005</v>
          </cell>
          <cell r="V8">
            <v>93.108000000000004</v>
          </cell>
          <cell r="W8">
            <v>93.262</v>
          </cell>
          <cell r="X8">
            <v>93.373000000000005</v>
          </cell>
          <cell r="Y8">
            <v>93.451999999999998</v>
          </cell>
          <cell r="Z8">
            <v>93.510999999999996</v>
          </cell>
          <cell r="AA8">
            <v>93.554000000000002</v>
          </cell>
          <cell r="AB8">
            <v>93.585999999999999</v>
          </cell>
          <cell r="AC8">
            <v>93.608999999999995</v>
          </cell>
          <cell r="AD8">
            <v>93.626999999999995</v>
          </cell>
          <cell r="AE8">
            <v>93.64</v>
          </cell>
          <cell r="AF8">
            <v>93.65</v>
          </cell>
          <cell r="AG8">
            <v>93.656999999999996</v>
          </cell>
          <cell r="AH8">
            <v>93.662000000000006</v>
          </cell>
          <cell r="AI8">
            <v>93.665999999999997</v>
          </cell>
        </row>
        <row r="9">
          <cell r="B9" t="str">
            <v>Armenia</v>
          </cell>
          <cell r="E9">
            <v>40.299999999999997</v>
          </cell>
          <cell r="F9">
            <v>46</v>
          </cell>
          <cell r="G9">
            <v>51.3</v>
          </cell>
          <cell r="H9">
            <v>55.6</v>
          </cell>
          <cell r="I9">
            <v>59.9</v>
          </cell>
          <cell r="J9">
            <v>63.6</v>
          </cell>
          <cell r="K9">
            <v>66.099999999999994</v>
          </cell>
          <cell r="L9">
            <v>67.099999999999994</v>
          </cell>
          <cell r="M9">
            <v>67.400000000000006</v>
          </cell>
          <cell r="N9">
            <v>66.099999999999994</v>
          </cell>
          <cell r="O9">
            <v>64.7</v>
          </cell>
          <cell r="P9">
            <v>63.9</v>
          </cell>
          <cell r="Q9">
            <v>63.4</v>
          </cell>
          <cell r="R9">
            <v>63.1</v>
          </cell>
          <cell r="S9">
            <v>63.3</v>
          </cell>
          <cell r="T9">
            <v>65.105000000000004</v>
          </cell>
          <cell r="U9">
            <v>66.864000000000004</v>
          </cell>
          <cell r="V9">
            <v>68.570999999999998</v>
          </cell>
          <cell r="W9">
            <v>70.225999999999999</v>
          </cell>
          <cell r="X9">
            <v>71.825000000000003</v>
          </cell>
          <cell r="Y9">
            <v>73.367999999999995</v>
          </cell>
          <cell r="Z9">
            <v>74.850999999999999</v>
          </cell>
          <cell r="AA9">
            <v>76.275999999999996</v>
          </cell>
          <cell r="AB9">
            <v>77.641000000000005</v>
          </cell>
          <cell r="AC9">
            <v>78.945999999999998</v>
          </cell>
          <cell r="AD9">
            <v>80.191999999999993</v>
          </cell>
          <cell r="AE9">
            <v>81.38</v>
          </cell>
          <cell r="AF9">
            <v>82.509</v>
          </cell>
          <cell r="AG9">
            <v>83.581999999999994</v>
          </cell>
          <cell r="AH9">
            <v>84.6</v>
          </cell>
          <cell r="AI9">
            <v>85.563999999999993</v>
          </cell>
        </row>
        <row r="10">
          <cell r="B10" t="str">
            <v>American Samoa</v>
          </cell>
          <cell r="E10">
            <v>61.8</v>
          </cell>
          <cell r="F10">
            <v>64</v>
          </cell>
          <cell r="G10">
            <v>66.2</v>
          </cell>
          <cell r="H10">
            <v>68.3</v>
          </cell>
          <cell r="I10">
            <v>70.400000000000006</v>
          </cell>
          <cell r="J10">
            <v>72.400000000000006</v>
          </cell>
          <cell r="K10">
            <v>74.3</v>
          </cell>
          <cell r="L10">
            <v>77.8</v>
          </cell>
          <cell r="M10">
            <v>80.900000000000006</v>
          </cell>
          <cell r="N10">
            <v>85.3</v>
          </cell>
          <cell r="O10">
            <v>88.6</v>
          </cell>
          <cell r="P10">
            <v>88.1</v>
          </cell>
          <cell r="Q10">
            <v>87.6</v>
          </cell>
          <cell r="R10">
            <v>87.2</v>
          </cell>
          <cell r="S10">
            <v>87.2</v>
          </cell>
          <cell r="T10">
            <v>88.111000000000004</v>
          </cell>
          <cell r="U10">
            <v>88.960999999999999</v>
          </cell>
          <cell r="V10">
            <v>89.754999999999995</v>
          </cell>
          <cell r="W10">
            <v>90.495000000000005</v>
          </cell>
          <cell r="X10">
            <v>91.183999999999997</v>
          </cell>
          <cell r="Y10">
            <v>91.826999999999998</v>
          </cell>
          <cell r="Z10">
            <v>92.424000000000007</v>
          </cell>
          <cell r="AA10">
            <v>92.98</v>
          </cell>
          <cell r="AB10">
            <v>93.495999999999995</v>
          </cell>
          <cell r="AC10">
            <v>93.975999999999999</v>
          </cell>
          <cell r="AD10">
            <v>94.421000000000006</v>
          </cell>
          <cell r="AE10">
            <v>94.834999999999994</v>
          </cell>
          <cell r="AF10">
            <v>95.218999999999994</v>
          </cell>
          <cell r="AG10">
            <v>95.575000000000003</v>
          </cell>
          <cell r="AH10">
            <v>95.905000000000001</v>
          </cell>
          <cell r="AI10">
            <v>96.210999999999999</v>
          </cell>
        </row>
        <row r="11">
          <cell r="B11" t="str">
            <v>Antigua and Barbuda</v>
          </cell>
          <cell r="E11">
            <v>30.1</v>
          </cell>
          <cell r="F11">
            <v>34.9</v>
          </cell>
          <cell r="G11">
            <v>39.700000000000003</v>
          </cell>
          <cell r="H11">
            <v>36.6</v>
          </cell>
          <cell r="I11">
            <v>33.799999999999997</v>
          </cell>
          <cell r="J11">
            <v>34.200000000000003</v>
          </cell>
          <cell r="K11">
            <v>34.6</v>
          </cell>
          <cell r="L11">
            <v>35</v>
          </cell>
          <cell r="M11">
            <v>35.4</v>
          </cell>
          <cell r="N11">
            <v>34</v>
          </cell>
          <cell r="O11">
            <v>32.1</v>
          </cell>
          <cell r="P11">
            <v>29.2</v>
          </cell>
          <cell r="Q11">
            <v>26.2</v>
          </cell>
          <cell r="R11">
            <v>25</v>
          </cell>
          <cell r="S11">
            <v>24.4</v>
          </cell>
          <cell r="T11">
            <v>26.724</v>
          </cell>
          <cell r="U11">
            <v>29.135999999999999</v>
          </cell>
          <cell r="V11">
            <v>31.620999999999999</v>
          </cell>
          <cell r="W11">
            <v>34.159999999999997</v>
          </cell>
          <cell r="X11">
            <v>36.734999999999999</v>
          </cell>
          <cell r="Y11">
            <v>39.328000000000003</v>
          </cell>
          <cell r="Z11">
            <v>41.92</v>
          </cell>
          <cell r="AA11">
            <v>44.494</v>
          </cell>
          <cell r="AB11">
            <v>47.034999999999997</v>
          </cell>
          <cell r="AC11">
            <v>49.527999999999999</v>
          </cell>
          <cell r="AD11">
            <v>51.963000000000001</v>
          </cell>
          <cell r="AE11">
            <v>54.329000000000001</v>
          </cell>
          <cell r="AF11">
            <v>56.618000000000002</v>
          </cell>
          <cell r="AG11">
            <v>58.823999999999998</v>
          </cell>
          <cell r="AH11">
            <v>60.944000000000003</v>
          </cell>
          <cell r="AI11">
            <v>62.975000000000001</v>
          </cell>
        </row>
        <row r="12">
          <cell r="B12" t="str">
            <v>Australia</v>
          </cell>
          <cell r="E12">
            <v>77</v>
          </cell>
          <cell r="F12">
            <v>79.400000000000006</v>
          </cell>
          <cell r="G12">
            <v>81.5</v>
          </cell>
          <cell r="H12">
            <v>83.1</v>
          </cell>
          <cell r="I12">
            <v>84</v>
          </cell>
          <cell r="J12">
            <v>84.8</v>
          </cell>
          <cell r="K12">
            <v>85.6</v>
          </cell>
          <cell r="L12">
            <v>85.6</v>
          </cell>
          <cell r="M12">
            <v>85.4</v>
          </cell>
          <cell r="N12">
            <v>84.9</v>
          </cell>
          <cell r="O12">
            <v>84.2</v>
          </cell>
          <cell r="P12">
            <v>84.6</v>
          </cell>
          <cell r="Q12">
            <v>85.2</v>
          </cell>
          <cell r="R12">
            <v>85.7</v>
          </cell>
          <cell r="S12">
            <v>86.2</v>
          </cell>
          <cell r="T12">
            <v>87.006</v>
          </cell>
          <cell r="U12">
            <v>87.802000000000007</v>
          </cell>
          <cell r="V12">
            <v>88.582999999999998</v>
          </cell>
          <cell r="W12">
            <v>89.346000000000004</v>
          </cell>
          <cell r="X12">
            <v>90.087000000000003</v>
          </cell>
          <cell r="Y12">
            <v>90.802999999999997</v>
          </cell>
          <cell r="Z12">
            <v>91.492000000000004</v>
          </cell>
          <cell r="AA12">
            <v>92.150999999999996</v>
          </cell>
          <cell r="AB12">
            <v>92.778000000000006</v>
          </cell>
          <cell r="AC12">
            <v>93.372</v>
          </cell>
          <cell r="AD12">
            <v>93.933000000000007</v>
          </cell>
          <cell r="AE12">
            <v>94.457999999999998</v>
          </cell>
          <cell r="AF12">
            <v>94.95</v>
          </cell>
          <cell r="AG12">
            <v>95.406999999999996</v>
          </cell>
          <cell r="AH12">
            <v>95.831000000000003</v>
          </cell>
          <cell r="AI12">
            <v>96.222999999999999</v>
          </cell>
        </row>
        <row r="13">
          <cell r="B13" t="str">
            <v>Austria</v>
          </cell>
          <cell r="E13">
            <v>63.6</v>
          </cell>
          <cell r="F13">
            <v>64.2</v>
          </cell>
          <cell r="G13">
            <v>64.7</v>
          </cell>
          <cell r="H13">
            <v>65</v>
          </cell>
          <cell r="I13">
            <v>65.3</v>
          </cell>
          <cell r="J13">
            <v>65.3</v>
          </cell>
          <cell r="K13">
            <v>65.400000000000006</v>
          </cell>
          <cell r="L13">
            <v>64.3</v>
          </cell>
          <cell r="M13">
            <v>63</v>
          </cell>
          <cell r="N13">
            <v>61.6</v>
          </cell>
          <cell r="O13">
            <v>60.2</v>
          </cell>
          <cell r="P13">
            <v>58.8</v>
          </cell>
          <cell r="Q13">
            <v>57.4</v>
          </cell>
          <cell r="R13">
            <v>57.7</v>
          </cell>
          <cell r="S13">
            <v>58.7</v>
          </cell>
          <cell r="T13">
            <v>60.631999999999998</v>
          </cell>
          <cell r="U13">
            <v>62.469000000000001</v>
          </cell>
          <cell r="V13">
            <v>64.213999999999999</v>
          </cell>
          <cell r="W13">
            <v>65.867999999999995</v>
          </cell>
          <cell r="X13">
            <v>67.435000000000002</v>
          </cell>
          <cell r="Y13">
            <v>68.918000000000006</v>
          </cell>
          <cell r="Z13">
            <v>70.319999999999993</v>
          </cell>
          <cell r="AA13">
            <v>71.647000000000006</v>
          </cell>
          <cell r="AB13">
            <v>72.900999999999996</v>
          </cell>
          <cell r="AC13">
            <v>74.087000000000003</v>
          </cell>
          <cell r="AD13">
            <v>75.207999999999998</v>
          </cell>
          <cell r="AE13">
            <v>76.269000000000005</v>
          </cell>
          <cell r="AF13">
            <v>77.272000000000006</v>
          </cell>
          <cell r="AG13">
            <v>78.221999999999994</v>
          </cell>
          <cell r="AH13">
            <v>79.122</v>
          </cell>
          <cell r="AI13">
            <v>79.974000000000004</v>
          </cell>
        </row>
        <row r="14">
          <cell r="B14" t="str">
            <v>Azerbaijan</v>
          </cell>
          <cell r="E14">
            <v>45.7</v>
          </cell>
          <cell r="F14">
            <v>50</v>
          </cell>
          <cell r="G14">
            <v>52.7</v>
          </cell>
          <cell r="H14">
            <v>51.2</v>
          </cell>
          <cell r="I14">
            <v>50</v>
          </cell>
          <cell r="J14">
            <v>51.9</v>
          </cell>
          <cell r="K14">
            <v>52.8</v>
          </cell>
          <cell r="L14">
            <v>53.5</v>
          </cell>
          <cell r="M14">
            <v>53.7</v>
          </cell>
          <cell r="N14">
            <v>52.2</v>
          </cell>
          <cell r="O14">
            <v>51.4</v>
          </cell>
          <cell r="P14">
            <v>52.4</v>
          </cell>
          <cell r="Q14">
            <v>53.4</v>
          </cell>
          <cell r="R14">
            <v>54.7</v>
          </cell>
          <cell r="S14">
            <v>56.4</v>
          </cell>
          <cell r="T14">
            <v>58.484000000000002</v>
          </cell>
          <cell r="U14">
            <v>60.473999999999997</v>
          </cell>
          <cell r="V14">
            <v>62.37</v>
          </cell>
          <cell r="W14">
            <v>64.173000000000002</v>
          </cell>
          <cell r="X14">
            <v>65.885000000000005</v>
          </cell>
          <cell r="Y14">
            <v>67.509</v>
          </cell>
          <cell r="Z14">
            <v>69.048000000000002</v>
          </cell>
          <cell r="AA14">
            <v>70.504000000000005</v>
          </cell>
          <cell r="AB14">
            <v>71.882000000000005</v>
          </cell>
          <cell r="AC14">
            <v>73.186000000000007</v>
          </cell>
          <cell r="AD14">
            <v>74.418999999999997</v>
          </cell>
          <cell r="AE14">
            <v>75.584999999999994</v>
          </cell>
          <cell r="AF14">
            <v>76.686999999999998</v>
          </cell>
          <cell r="AG14">
            <v>77.730999999999995</v>
          </cell>
          <cell r="AH14">
            <v>78.718000000000004</v>
          </cell>
          <cell r="AI14">
            <v>79.652000000000001</v>
          </cell>
        </row>
        <row r="15">
          <cell r="B15" t="str">
            <v>Burundi</v>
          </cell>
          <cell r="E15">
            <v>1.7</v>
          </cell>
          <cell r="F15">
            <v>1.9</v>
          </cell>
          <cell r="G15">
            <v>2.1</v>
          </cell>
          <cell r="H15">
            <v>2.2999999999999998</v>
          </cell>
          <cell r="I15">
            <v>2.8</v>
          </cell>
          <cell r="J15">
            <v>3.5</v>
          </cell>
          <cell r="K15">
            <v>4.3</v>
          </cell>
          <cell r="L15">
            <v>5.2</v>
          </cell>
          <cell r="M15">
            <v>6.3</v>
          </cell>
          <cell r="N15">
            <v>7.2</v>
          </cell>
          <cell r="O15">
            <v>8.1999999999999993</v>
          </cell>
          <cell r="P15">
            <v>9.4</v>
          </cell>
          <cell r="Q15">
            <v>10.6</v>
          </cell>
          <cell r="R15">
            <v>12.1</v>
          </cell>
          <cell r="S15">
            <v>13.7</v>
          </cell>
          <cell r="T15">
            <v>15.528</v>
          </cell>
          <cell r="U15">
            <v>17.518000000000001</v>
          </cell>
          <cell r="V15">
            <v>19.667000000000002</v>
          </cell>
          <cell r="W15">
            <v>21.966000000000001</v>
          </cell>
          <cell r="X15">
            <v>24.401</v>
          </cell>
          <cell r="Y15">
            <v>26.954999999999998</v>
          </cell>
          <cell r="Z15">
            <v>29.609000000000002</v>
          </cell>
          <cell r="AA15">
            <v>32.340000000000003</v>
          </cell>
          <cell r="AB15">
            <v>35.122</v>
          </cell>
          <cell r="AC15">
            <v>37.932000000000002</v>
          </cell>
          <cell r="AD15">
            <v>40.744</v>
          </cell>
          <cell r="AE15">
            <v>43.536999999999999</v>
          </cell>
          <cell r="AF15">
            <v>46.287999999999997</v>
          </cell>
          <cell r="AG15">
            <v>48.981000000000002</v>
          </cell>
          <cell r="AH15">
            <v>51.6</v>
          </cell>
          <cell r="AI15">
            <v>54.134</v>
          </cell>
        </row>
        <row r="16">
          <cell r="B16" t="str">
            <v>Belgium</v>
          </cell>
          <cell r="E16">
            <v>91.5</v>
          </cell>
          <cell r="F16">
            <v>92</v>
          </cell>
          <cell r="G16">
            <v>92.5</v>
          </cell>
          <cell r="H16">
            <v>93.1</v>
          </cell>
          <cell r="I16">
            <v>93.8</v>
          </cell>
          <cell r="J16">
            <v>94.5</v>
          </cell>
          <cell r="K16">
            <v>95.4</v>
          </cell>
          <cell r="L16">
            <v>95.9</v>
          </cell>
          <cell r="M16">
            <v>96.4</v>
          </cell>
          <cell r="N16">
            <v>96.8</v>
          </cell>
          <cell r="O16">
            <v>97.1</v>
          </cell>
          <cell r="P16">
            <v>97.4</v>
          </cell>
          <cell r="Q16">
            <v>97.7</v>
          </cell>
          <cell r="R16">
            <v>97.9</v>
          </cell>
          <cell r="S16">
            <v>98.1</v>
          </cell>
          <cell r="T16">
            <v>98.128</v>
          </cell>
          <cell r="U16">
            <v>98.156000000000006</v>
          </cell>
          <cell r="V16">
            <v>98.183999999999997</v>
          </cell>
          <cell r="W16">
            <v>98.212000000000003</v>
          </cell>
          <cell r="X16">
            <v>98.24</v>
          </cell>
          <cell r="Y16">
            <v>98.269000000000005</v>
          </cell>
          <cell r="Z16">
            <v>98.296999999999997</v>
          </cell>
          <cell r="AA16">
            <v>98.325999999999993</v>
          </cell>
          <cell r="AB16">
            <v>98.355000000000004</v>
          </cell>
          <cell r="AC16">
            <v>98.382999999999996</v>
          </cell>
          <cell r="AD16">
            <v>98.412000000000006</v>
          </cell>
          <cell r="AE16">
            <v>98.441000000000003</v>
          </cell>
          <cell r="AF16">
            <v>98.468999999999994</v>
          </cell>
          <cell r="AG16">
            <v>98.498000000000005</v>
          </cell>
          <cell r="AH16">
            <v>98.525999999999996</v>
          </cell>
          <cell r="AI16">
            <v>98.555000000000007</v>
          </cell>
        </row>
        <row r="17">
          <cell r="B17" t="str">
            <v>Benin</v>
          </cell>
          <cell r="E17">
            <v>5</v>
          </cell>
          <cell r="F17">
            <v>6.8</v>
          </cell>
          <cell r="G17">
            <v>9.3000000000000007</v>
          </cell>
          <cell r="H17">
            <v>12.5</v>
          </cell>
          <cell r="I17">
            <v>16.7</v>
          </cell>
          <cell r="J17">
            <v>21.9</v>
          </cell>
          <cell r="K17">
            <v>27.3</v>
          </cell>
          <cell r="L17">
            <v>30.8</v>
          </cell>
          <cell r="M17">
            <v>34.5</v>
          </cell>
          <cell r="N17">
            <v>36.799999999999997</v>
          </cell>
          <cell r="O17">
            <v>38.299999999999997</v>
          </cell>
          <cell r="P17">
            <v>40.5</v>
          </cell>
          <cell r="Q17">
            <v>43.1</v>
          </cell>
          <cell r="R17">
            <v>45.7</v>
          </cell>
          <cell r="S17">
            <v>48.4</v>
          </cell>
          <cell r="T17">
            <v>50.718000000000004</v>
          </cell>
          <cell r="U17">
            <v>52.966000000000001</v>
          </cell>
          <cell r="V17">
            <v>55.137999999999998</v>
          </cell>
          <cell r="W17">
            <v>57.228999999999999</v>
          </cell>
          <cell r="X17">
            <v>59.234999999999999</v>
          </cell>
          <cell r="Y17">
            <v>61.155999999999999</v>
          </cell>
          <cell r="Z17">
            <v>62.991</v>
          </cell>
          <cell r="AA17">
            <v>64.741</v>
          </cell>
          <cell r="AB17">
            <v>66.406000000000006</v>
          </cell>
          <cell r="AC17">
            <v>67.989999999999995</v>
          </cell>
          <cell r="AD17">
            <v>69.495000000000005</v>
          </cell>
          <cell r="AE17">
            <v>70.923000000000002</v>
          </cell>
          <cell r="AF17">
            <v>72.278000000000006</v>
          </cell>
          <cell r="AG17">
            <v>73.561999999999998</v>
          </cell>
          <cell r="AH17">
            <v>74.78</v>
          </cell>
          <cell r="AI17">
            <v>75.933999999999997</v>
          </cell>
        </row>
        <row r="18">
          <cell r="B18" t="str">
            <v>Bonaire, Sint Eustatius and Saba</v>
          </cell>
          <cell r="E18">
            <v>70.8</v>
          </cell>
          <cell r="F18">
            <v>72.599999999999994</v>
          </cell>
          <cell r="G18">
            <v>74.3</v>
          </cell>
          <cell r="H18">
            <v>75.900000000000006</v>
          </cell>
          <cell r="I18">
            <v>77.5</v>
          </cell>
          <cell r="J18">
            <v>78.400000000000006</v>
          </cell>
          <cell r="K18">
            <v>79</v>
          </cell>
          <cell r="L18">
            <v>78.400000000000006</v>
          </cell>
          <cell r="M18">
            <v>77.7</v>
          </cell>
          <cell r="N18">
            <v>76.400000000000006</v>
          </cell>
          <cell r="O18">
            <v>74.900000000000006</v>
          </cell>
          <cell r="P18">
            <v>74.8</v>
          </cell>
          <cell r="Q18">
            <v>74.7</v>
          </cell>
          <cell r="R18">
            <v>74.8</v>
          </cell>
          <cell r="S18">
            <v>75</v>
          </cell>
          <cell r="T18">
            <v>76.947000000000003</v>
          </cell>
          <cell r="U18">
            <v>78.692999999999998</v>
          </cell>
          <cell r="V18">
            <v>80.260999999999996</v>
          </cell>
          <cell r="W18">
            <v>81.673000000000002</v>
          </cell>
          <cell r="X18">
            <v>82.948999999999998</v>
          </cell>
          <cell r="Y18">
            <v>84.105000000000004</v>
          </cell>
          <cell r="Z18">
            <v>85.153999999999996</v>
          </cell>
          <cell r="AA18">
            <v>86.11</v>
          </cell>
          <cell r="AB18">
            <v>86.983000000000004</v>
          </cell>
          <cell r="AC18">
            <v>87.781999999999996</v>
          </cell>
          <cell r="AD18">
            <v>88.515000000000001</v>
          </cell>
          <cell r="AE18">
            <v>89.188999999999993</v>
          </cell>
          <cell r="AF18">
            <v>89.811000000000007</v>
          </cell>
          <cell r="AG18">
            <v>90.385999999999996</v>
          </cell>
          <cell r="AH18">
            <v>90.917000000000002</v>
          </cell>
          <cell r="AI18">
            <v>91.41</v>
          </cell>
        </row>
        <row r="19">
          <cell r="B19" t="str">
            <v>Burkina Faso</v>
          </cell>
          <cell r="E19">
            <v>3.8</v>
          </cell>
          <cell r="F19">
            <v>4.2</v>
          </cell>
          <cell r="G19">
            <v>4.7</v>
          </cell>
          <cell r="H19">
            <v>5.2</v>
          </cell>
          <cell r="I19">
            <v>5.7</v>
          </cell>
          <cell r="J19">
            <v>6.3</v>
          </cell>
          <cell r="K19">
            <v>8.8000000000000007</v>
          </cell>
          <cell r="L19">
            <v>12.3</v>
          </cell>
          <cell r="M19">
            <v>13.8</v>
          </cell>
          <cell r="N19">
            <v>15.1</v>
          </cell>
          <cell r="O19">
            <v>17.8</v>
          </cell>
          <cell r="P19">
            <v>21.5</v>
          </cell>
          <cell r="Q19">
            <v>24.6</v>
          </cell>
          <cell r="R19">
            <v>27.5</v>
          </cell>
          <cell r="S19">
            <v>30.6</v>
          </cell>
          <cell r="T19">
            <v>33.442</v>
          </cell>
          <cell r="U19">
            <v>36.308</v>
          </cell>
          <cell r="V19">
            <v>39.171999999999997</v>
          </cell>
          <cell r="W19">
            <v>42.005000000000003</v>
          </cell>
          <cell r="X19">
            <v>44.784999999999997</v>
          </cell>
          <cell r="Y19">
            <v>47.491999999999997</v>
          </cell>
          <cell r="Z19">
            <v>50.11</v>
          </cell>
          <cell r="AA19">
            <v>52.628999999999998</v>
          </cell>
          <cell r="AB19">
            <v>55.039000000000001</v>
          </cell>
          <cell r="AC19">
            <v>57.335000000000001</v>
          </cell>
          <cell r="AD19">
            <v>59.515999999999998</v>
          </cell>
          <cell r="AE19">
            <v>61.581000000000003</v>
          </cell>
          <cell r="AF19">
            <v>63.531999999999996</v>
          </cell>
          <cell r="AG19">
            <v>65.373000000000005</v>
          </cell>
          <cell r="AH19">
            <v>67.105999999999995</v>
          </cell>
          <cell r="AI19">
            <v>68.738</v>
          </cell>
        </row>
        <row r="20">
          <cell r="B20" t="str">
            <v>Bangladesh</v>
          </cell>
          <cell r="E20">
            <v>4.3</v>
          </cell>
          <cell r="F20">
            <v>4.7</v>
          </cell>
          <cell r="G20">
            <v>5.0999999999999996</v>
          </cell>
          <cell r="H20">
            <v>6.2</v>
          </cell>
          <cell r="I20">
            <v>7.6</v>
          </cell>
          <cell r="J20">
            <v>9.8000000000000007</v>
          </cell>
          <cell r="K20">
            <v>14.9</v>
          </cell>
          <cell r="L20">
            <v>17.5</v>
          </cell>
          <cell r="M20">
            <v>19.8</v>
          </cell>
          <cell r="N20">
            <v>21.7</v>
          </cell>
          <cell r="O20">
            <v>23.6</v>
          </cell>
          <cell r="P20">
            <v>26.8</v>
          </cell>
          <cell r="Q20">
            <v>30.5</v>
          </cell>
          <cell r="R20">
            <v>34.299999999999997</v>
          </cell>
          <cell r="S20">
            <v>38.200000000000003</v>
          </cell>
          <cell r="T20">
            <v>40.892000000000003</v>
          </cell>
          <cell r="U20">
            <v>43.548000000000002</v>
          </cell>
          <cell r="V20">
            <v>46.15</v>
          </cell>
          <cell r="W20">
            <v>48.683</v>
          </cell>
          <cell r="X20">
            <v>51.134</v>
          </cell>
          <cell r="Y20">
            <v>53.494999999999997</v>
          </cell>
          <cell r="Z20">
            <v>55.759</v>
          </cell>
          <cell r="AA20">
            <v>57.923000000000002</v>
          </cell>
          <cell r="AB20">
            <v>59.984999999999999</v>
          </cell>
          <cell r="AC20">
            <v>61.945</v>
          </cell>
          <cell r="AD20">
            <v>63.802999999999997</v>
          </cell>
          <cell r="AE20">
            <v>65.563000000000002</v>
          </cell>
          <cell r="AF20">
            <v>67.227000000000004</v>
          </cell>
          <cell r="AG20">
            <v>68.799000000000007</v>
          </cell>
          <cell r="AH20">
            <v>70.283000000000001</v>
          </cell>
          <cell r="AI20">
            <v>71.683999999999997</v>
          </cell>
        </row>
        <row r="21">
          <cell r="B21" t="str">
            <v>Bulgaria</v>
          </cell>
          <cell r="E21">
            <v>27.6</v>
          </cell>
          <cell r="F21">
            <v>32.200000000000003</v>
          </cell>
          <cell r="G21">
            <v>37.1</v>
          </cell>
          <cell r="H21">
            <v>45.8</v>
          </cell>
          <cell r="I21">
            <v>52.3</v>
          </cell>
          <cell r="J21">
            <v>57.6</v>
          </cell>
          <cell r="K21">
            <v>62.1</v>
          </cell>
          <cell r="L21">
            <v>64.599999999999994</v>
          </cell>
          <cell r="M21">
            <v>66.400000000000006</v>
          </cell>
          <cell r="N21">
            <v>67.8</v>
          </cell>
          <cell r="O21">
            <v>68.900000000000006</v>
          </cell>
          <cell r="P21">
            <v>70.599999999999994</v>
          </cell>
          <cell r="Q21">
            <v>72.3</v>
          </cell>
          <cell r="R21">
            <v>74</v>
          </cell>
          <cell r="S21">
            <v>75.7</v>
          </cell>
          <cell r="T21">
            <v>77.421999999999997</v>
          </cell>
          <cell r="U21">
            <v>79</v>
          </cell>
          <cell r="V21">
            <v>80.447999999999993</v>
          </cell>
          <cell r="W21">
            <v>81.778000000000006</v>
          </cell>
          <cell r="X21">
            <v>82.998999999999995</v>
          </cell>
          <cell r="Y21">
            <v>84.123000000000005</v>
          </cell>
          <cell r="Z21">
            <v>85.159000000000006</v>
          </cell>
          <cell r="AA21">
            <v>86.114000000000004</v>
          </cell>
          <cell r="AB21">
            <v>86.997</v>
          </cell>
          <cell r="AC21">
            <v>87.811999999999998</v>
          </cell>
          <cell r="AD21">
            <v>88.567999999999998</v>
          </cell>
          <cell r="AE21">
            <v>89.268000000000001</v>
          </cell>
          <cell r="AF21">
            <v>89.918000000000006</v>
          </cell>
          <cell r="AG21">
            <v>90.522000000000006</v>
          </cell>
          <cell r="AH21">
            <v>91.084000000000003</v>
          </cell>
          <cell r="AI21">
            <v>91.608000000000004</v>
          </cell>
        </row>
        <row r="22">
          <cell r="B22" t="str">
            <v>Bahrain</v>
          </cell>
          <cell r="E22">
            <v>64.400000000000006</v>
          </cell>
          <cell r="F22">
            <v>75.5</v>
          </cell>
          <cell r="G22">
            <v>82.3</v>
          </cell>
          <cell r="H22">
            <v>82.5</v>
          </cell>
          <cell r="I22">
            <v>83.8</v>
          </cell>
          <cell r="J22">
            <v>85</v>
          </cell>
          <cell r="K22">
            <v>86.1</v>
          </cell>
          <cell r="L22">
            <v>87.2</v>
          </cell>
          <cell r="M22">
            <v>88.1</v>
          </cell>
          <cell r="N22">
            <v>88.4</v>
          </cell>
          <cell r="O22">
            <v>88.4</v>
          </cell>
          <cell r="P22">
            <v>88.4</v>
          </cell>
          <cell r="Q22">
            <v>88.6</v>
          </cell>
          <cell r="R22">
            <v>89</v>
          </cell>
          <cell r="S22">
            <v>89.5</v>
          </cell>
          <cell r="T22">
            <v>90.272999999999996</v>
          </cell>
          <cell r="U22">
            <v>90.981999999999999</v>
          </cell>
          <cell r="V22">
            <v>91.634</v>
          </cell>
          <cell r="W22">
            <v>92.233000000000004</v>
          </cell>
          <cell r="X22">
            <v>92.784999999999997</v>
          </cell>
          <cell r="Y22">
            <v>93.293999999999997</v>
          </cell>
          <cell r="Z22">
            <v>93.763999999999996</v>
          </cell>
          <cell r="AA22">
            <v>94.197000000000003</v>
          </cell>
          <cell r="AB22">
            <v>94.597999999999999</v>
          </cell>
          <cell r="AC22">
            <v>94.968999999999994</v>
          </cell>
          <cell r="AD22">
            <v>95.313000000000002</v>
          </cell>
          <cell r="AE22">
            <v>95.631</v>
          </cell>
          <cell r="AF22">
            <v>95.926000000000002</v>
          </cell>
          <cell r="AG22">
            <v>96.2</v>
          </cell>
          <cell r="AH22">
            <v>96.454999999999998</v>
          </cell>
          <cell r="AI22">
            <v>96.691000000000003</v>
          </cell>
        </row>
        <row r="23">
          <cell r="B23" t="str">
            <v>Bahamas</v>
          </cell>
          <cell r="E23">
            <v>52.1</v>
          </cell>
          <cell r="F23">
            <v>55.9</v>
          </cell>
          <cell r="G23">
            <v>59.7</v>
          </cell>
          <cell r="H23">
            <v>63.3</v>
          </cell>
          <cell r="I23">
            <v>66.8</v>
          </cell>
          <cell r="J23">
            <v>70</v>
          </cell>
          <cell r="K23">
            <v>73.099999999999994</v>
          </cell>
          <cell r="L23">
            <v>76.7</v>
          </cell>
          <cell r="M23">
            <v>79.8</v>
          </cell>
          <cell r="N23">
            <v>81</v>
          </cell>
          <cell r="O23">
            <v>82</v>
          </cell>
          <cell r="P23">
            <v>82.2</v>
          </cell>
          <cell r="Q23">
            <v>82.4</v>
          </cell>
          <cell r="R23">
            <v>82.7</v>
          </cell>
          <cell r="S23">
            <v>83.2</v>
          </cell>
          <cell r="T23">
            <v>84.355999999999995</v>
          </cell>
          <cell r="U23">
            <v>85.441999999999993</v>
          </cell>
          <cell r="V23">
            <v>86.459000000000003</v>
          </cell>
          <cell r="W23">
            <v>87.412000000000006</v>
          </cell>
          <cell r="X23">
            <v>88.304000000000002</v>
          </cell>
          <cell r="Y23">
            <v>89.137</v>
          </cell>
          <cell r="Z23">
            <v>89.915999999999997</v>
          </cell>
          <cell r="AA23">
            <v>90.641000000000005</v>
          </cell>
          <cell r="AB23">
            <v>91.317999999999998</v>
          </cell>
          <cell r="AC23">
            <v>91.947999999999993</v>
          </cell>
          <cell r="AD23">
            <v>92.534999999999997</v>
          </cell>
          <cell r="AE23">
            <v>93.081000000000003</v>
          </cell>
          <cell r="AF23">
            <v>93.588999999999999</v>
          </cell>
          <cell r="AG23">
            <v>94.06</v>
          </cell>
          <cell r="AH23">
            <v>94.498999999999995</v>
          </cell>
          <cell r="AI23">
            <v>94.905000000000001</v>
          </cell>
        </row>
        <row r="24">
          <cell r="B24" t="str">
            <v>Bosnia and Herzegovina</v>
          </cell>
          <cell r="E24">
            <v>13.7</v>
          </cell>
          <cell r="F24">
            <v>16.2</v>
          </cell>
          <cell r="G24">
            <v>19</v>
          </cell>
          <cell r="H24">
            <v>22.8</v>
          </cell>
          <cell r="I24">
            <v>27.2</v>
          </cell>
          <cell r="J24">
            <v>31.3</v>
          </cell>
          <cell r="K24">
            <v>35.5</v>
          </cell>
          <cell r="L24">
            <v>37.6</v>
          </cell>
          <cell r="M24">
            <v>39.200000000000003</v>
          </cell>
          <cell r="N24">
            <v>40.799999999999997</v>
          </cell>
          <cell r="O24">
            <v>42.4</v>
          </cell>
          <cell r="P24">
            <v>44</v>
          </cell>
          <cell r="Q24">
            <v>45.6</v>
          </cell>
          <cell r="R24">
            <v>47.2</v>
          </cell>
          <cell r="S24">
            <v>49</v>
          </cell>
          <cell r="T24">
            <v>51.457999999999998</v>
          </cell>
          <cell r="U24">
            <v>53.843000000000004</v>
          </cell>
          <cell r="V24">
            <v>56.146999999999998</v>
          </cell>
          <cell r="W24">
            <v>58.365000000000002</v>
          </cell>
          <cell r="X24">
            <v>60.491999999999997</v>
          </cell>
          <cell r="Y24">
            <v>62.526000000000003</v>
          </cell>
          <cell r="Z24">
            <v>64.466999999999999</v>
          </cell>
          <cell r="AA24">
            <v>66.314999999999998</v>
          </cell>
          <cell r="AB24">
            <v>68.070999999999998</v>
          </cell>
          <cell r="AC24">
            <v>69.736999999999995</v>
          </cell>
          <cell r="AD24">
            <v>71.316000000000003</v>
          </cell>
          <cell r="AE24">
            <v>72.811000000000007</v>
          </cell>
          <cell r="AF24">
            <v>74.224999999999994</v>
          </cell>
          <cell r="AG24">
            <v>75.561999999999998</v>
          </cell>
          <cell r="AH24">
            <v>76.825999999999993</v>
          </cell>
          <cell r="AI24">
            <v>78.02</v>
          </cell>
        </row>
        <row r="25">
          <cell r="B25" t="str">
            <v>Belarus</v>
          </cell>
          <cell r="E25">
            <v>26.2</v>
          </cell>
          <cell r="F25">
            <v>28.9</v>
          </cell>
          <cell r="G25">
            <v>32.4</v>
          </cell>
          <cell r="H25">
            <v>38.1</v>
          </cell>
          <cell r="I25">
            <v>44</v>
          </cell>
          <cell r="J25">
            <v>50.6</v>
          </cell>
          <cell r="K25">
            <v>56.5</v>
          </cell>
          <cell r="L25">
            <v>61.8</v>
          </cell>
          <cell r="M25">
            <v>66</v>
          </cell>
          <cell r="N25">
            <v>67.900000000000006</v>
          </cell>
          <cell r="O25">
            <v>70</v>
          </cell>
          <cell r="P25">
            <v>72.400000000000006</v>
          </cell>
          <cell r="Q25">
            <v>74.7</v>
          </cell>
          <cell r="R25">
            <v>77.2</v>
          </cell>
          <cell r="S25">
            <v>79.5</v>
          </cell>
          <cell r="T25">
            <v>81.021000000000001</v>
          </cell>
          <cell r="U25">
            <v>82.394999999999996</v>
          </cell>
          <cell r="V25">
            <v>83.641000000000005</v>
          </cell>
          <cell r="W25">
            <v>84.772000000000006</v>
          </cell>
          <cell r="X25">
            <v>85.802999999999997</v>
          </cell>
          <cell r="Y25">
            <v>86.742999999999995</v>
          </cell>
          <cell r="Z25">
            <v>87.602999999999994</v>
          </cell>
          <cell r="AA25">
            <v>88.391000000000005</v>
          </cell>
          <cell r="AB25">
            <v>89.116</v>
          </cell>
          <cell r="AC25">
            <v>89.783000000000001</v>
          </cell>
          <cell r="AD25">
            <v>90.397999999999996</v>
          </cell>
          <cell r="AE25">
            <v>90.965999999999994</v>
          </cell>
          <cell r="AF25">
            <v>91.492999999999995</v>
          </cell>
          <cell r="AG25">
            <v>91.980999999999995</v>
          </cell>
          <cell r="AH25">
            <v>92.433999999999997</v>
          </cell>
          <cell r="AI25">
            <v>92.855999999999995</v>
          </cell>
        </row>
        <row r="26">
          <cell r="B26" t="str">
            <v>Belize</v>
          </cell>
          <cell r="E26">
            <v>55.3</v>
          </cell>
          <cell r="F26">
            <v>54.7</v>
          </cell>
          <cell r="G26">
            <v>54</v>
          </cell>
          <cell r="H26">
            <v>52.5</v>
          </cell>
          <cell r="I26">
            <v>51</v>
          </cell>
          <cell r="J26">
            <v>50.2</v>
          </cell>
          <cell r="K26">
            <v>49.4</v>
          </cell>
          <cell r="L26">
            <v>48.4</v>
          </cell>
          <cell r="M26">
            <v>47.5</v>
          </cell>
          <cell r="N26">
            <v>46.4</v>
          </cell>
          <cell r="O26">
            <v>45.4</v>
          </cell>
          <cell r="P26">
            <v>45.3</v>
          </cell>
          <cell r="Q26">
            <v>45.2</v>
          </cell>
          <cell r="R26">
            <v>45.4</v>
          </cell>
          <cell r="S26">
            <v>46</v>
          </cell>
          <cell r="T26">
            <v>48.776000000000003</v>
          </cell>
          <cell r="U26">
            <v>51.426000000000002</v>
          </cell>
          <cell r="V26">
            <v>53.941000000000003</v>
          </cell>
          <cell r="W26">
            <v>56.316000000000003</v>
          </cell>
          <cell r="X26">
            <v>58.551000000000002</v>
          </cell>
          <cell r="Y26">
            <v>60.649000000000001</v>
          </cell>
          <cell r="Z26">
            <v>62.613</v>
          </cell>
          <cell r="AA26">
            <v>64.45</v>
          </cell>
          <cell r="AB26">
            <v>66.165000000000006</v>
          </cell>
          <cell r="AC26">
            <v>67.766999999999996</v>
          </cell>
          <cell r="AD26">
            <v>69.263000000000005</v>
          </cell>
          <cell r="AE26">
            <v>70.659000000000006</v>
          </cell>
          <cell r="AF26">
            <v>71.962000000000003</v>
          </cell>
          <cell r="AG26">
            <v>73.180999999999997</v>
          </cell>
          <cell r="AH26">
            <v>74.319999999999993</v>
          </cell>
          <cell r="AI26">
            <v>75.387</v>
          </cell>
        </row>
        <row r="27">
          <cell r="B27" t="str">
            <v>Bolivia</v>
          </cell>
          <cell r="E27">
            <v>33.799999999999997</v>
          </cell>
          <cell r="F27">
            <v>35.299999999999997</v>
          </cell>
          <cell r="G27">
            <v>36.799999999999997</v>
          </cell>
          <cell r="H27">
            <v>38.299999999999997</v>
          </cell>
          <cell r="I27">
            <v>39.799999999999997</v>
          </cell>
          <cell r="J27">
            <v>41.3</v>
          </cell>
          <cell r="K27">
            <v>45.5</v>
          </cell>
          <cell r="L27">
            <v>50.5</v>
          </cell>
          <cell r="M27">
            <v>55.6</v>
          </cell>
          <cell r="N27">
            <v>59.2</v>
          </cell>
          <cell r="O27">
            <v>61.8</v>
          </cell>
          <cell r="P27">
            <v>64.2</v>
          </cell>
          <cell r="Q27">
            <v>66.400000000000006</v>
          </cell>
          <cell r="R27">
            <v>68.400000000000006</v>
          </cell>
          <cell r="S27">
            <v>70.099999999999994</v>
          </cell>
          <cell r="T27">
            <v>71.442999999999998</v>
          </cell>
          <cell r="U27">
            <v>72.772999999999996</v>
          </cell>
          <cell r="V27">
            <v>74.087000000000003</v>
          </cell>
          <cell r="W27">
            <v>75.381</v>
          </cell>
          <cell r="X27">
            <v>76.652000000000001</v>
          </cell>
          <cell r="Y27">
            <v>77.896000000000001</v>
          </cell>
          <cell r="Z27">
            <v>79.111000000000004</v>
          </cell>
          <cell r="AA27">
            <v>80.293000000000006</v>
          </cell>
          <cell r="AB27">
            <v>81.44</v>
          </cell>
          <cell r="AC27">
            <v>82.55</v>
          </cell>
          <cell r="AD27">
            <v>83.620999999999995</v>
          </cell>
          <cell r="AE27">
            <v>84.650999999999996</v>
          </cell>
          <cell r="AF27">
            <v>85.638999999999996</v>
          </cell>
          <cell r="AG27">
            <v>86.582999999999998</v>
          </cell>
          <cell r="AH27">
            <v>87.483999999999995</v>
          </cell>
          <cell r="AI27">
            <v>88.341999999999999</v>
          </cell>
        </row>
        <row r="28">
          <cell r="B28" t="str">
            <v>Brazil</v>
          </cell>
          <cell r="E28">
            <v>36.200000000000003</v>
          </cell>
          <cell r="F28">
            <v>41.1</v>
          </cell>
          <cell r="G28">
            <v>46.1</v>
          </cell>
          <cell r="H28">
            <v>51</v>
          </cell>
          <cell r="I28">
            <v>55.9</v>
          </cell>
          <cell r="J28">
            <v>60.8</v>
          </cell>
          <cell r="K28">
            <v>65.5</v>
          </cell>
          <cell r="L28">
            <v>69.900000000000006</v>
          </cell>
          <cell r="M28">
            <v>73.900000000000006</v>
          </cell>
          <cell r="N28">
            <v>77.599999999999994</v>
          </cell>
          <cell r="O28">
            <v>81.2</v>
          </cell>
          <cell r="P28">
            <v>82.8</v>
          </cell>
          <cell r="Q28">
            <v>84.3</v>
          </cell>
          <cell r="R28">
            <v>85.8</v>
          </cell>
          <cell r="S28">
            <v>87.1</v>
          </cell>
          <cell r="T28">
            <v>87.795000000000002</v>
          </cell>
          <cell r="U28">
            <v>88.480999999999995</v>
          </cell>
          <cell r="V28">
            <v>89.153999999999996</v>
          </cell>
          <cell r="W28">
            <v>89.811999999999998</v>
          </cell>
          <cell r="X28">
            <v>90.453000000000003</v>
          </cell>
          <cell r="Y28">
            <v>91.075000000000003</v>
          </cell>
          <cell r="Z28">
            <v>91.674999999999997</v>
          </cell>
          <cell r="AA28">
            <v>92.251999999999995</v>
          </cell>
          <cell r="AB28">
            <v>92.804000000000002</v>
          </cell>
          <cell r="AC28">
            <v>93.331000000000003</v>
          </cell>
          <cell r="AD28">
            <v>93.831999999999994</v>
          </cell>
          <cell r="AE28">
            <v>94.307000000000002</v>
          </cell>
          <cell r="AF28">
            <v>94.754000000000005</v>
          </cell>
          <cell r="AG28">
            <v>95.174999999999997</v>
          </cell>
          <cell r="AH28">
            <v>95.569000000000003</v>
          </cell>
          <cell r="AI28">
            <v>95.936999999999998</v>
          </cell>
        </row>
        <row r="29">
          <cell r="B29" t="str">
            <v>Barbados</v>
          </cell>
          <cell r="E29">
            <v>36.1</v>
          </cell>
          <cell r="F29">
            <v>36.4</v>
          </cell>
          <cell r="G29">
            <v>36.799999999999997</v>
          </cell>
          <cell r="H29">
            <v>37.1</v>
          </cell>
          <cell r="I29">
            <v>37.6</v>
          </cell>
          <cell r="J29">
            <v>38.9</v>
          </cell>
          <cell r="K29">
            <v>40.1</v>
          </cell>
          <cell r="L29">
            <v>38.700000000000003</v>
          </cell>
          <cell r="M29">
            <v>37.4</v>
          </cell>
          <cell r="N29">
            <v>35.6</v>
          </cell>
          <cell r="O29">
            <v>33.799999999999997</v>
          </cell>
          <cell r="P29">
            <v>32.799999999999997</v>
          </cell>
          <cell r="Q29">
            <v>31.9</v>
          </cell>
          <cell r="R29">
            <v>31.2</v>
          </cell>
          <cell r="S29">
            <v>31.2</v>
          </cell>
          <cell r="T29">
            <v>34.15</v>
          </cell>
          <cell r="U29">
            <v>37.106999999999999</v>
          </cell>
          <cell r="V29">
            <v>40.040999999999997</v>
          </cell>
          <cell r="W29">
            <v>42.921999999999997</v>
          </cell>
          <cell r="X29">
            <v>45.726999999999997</v>
          </cell>
          <cell r="Y29">
            <v>48.436999999999998</v>
          </cell>
          <cell r="Z29">
            <v>51.039000000000001</v>
          </cell>
          <cell r="AA29">
            <v>53.521000000000001</v>
          </cell>
          <cell r="AB29">
            <v>55.88</v>
          </cell>
          <cell r="AC29">
            <v>58.112000000000002</v>
          </cell>
          <cell r="AD29">
            <v>60.218000000000004</v>
          </cell>
          <cell r="AE29">
            <v>62.201000000000001</v>
          </cell>
          <cell r="AF29">
            <v>64.063999999999993</v>
          </cell>
          <cell r="AG29">
            <v>65.811999999999998</v>
          </cell>
          <cell r="AH29">
            <v>67.450999999999993</v>
          </cell>
          <cell r="AI29">
            <v>68.988</v>
          </cell>
        </row>
        <row r="30">
          <cell r="B30" t="str">
            <v>Brunei Darussalam</v>
          </cell>
          <cell r="E30">
            <v>26.8</v>
          </cell>
          <cell r="F30">
            <v>34.6</v>
          </cell>
          <cell r="G30">
            <v>43.4</v>
          </cell>
          <cell r="H30">
            <v>52.6</v>
          </cell>
          <cell r="I30">
            <v>61.7</v>
          </cell>
          <cell r="J30">
            <v>64.2</v>
          </cell>
          <cell r="K30">
            <v>64.900000000000006</v>
          </cell>
          <cell r="L30">
            <v>65.7</v>
          </cell>
          <cell r="M30">
            <v>66.400000000000006</v>
          </cell>
          <cell r="N30">
            <v>68.599999999999994</v>
          </cell>
          <cell r="O30">
            <v>71.2</v>
          </cell>
          <cell r="P30">
            <v>73.2</v>
          </cell>
          <cell r="Q30">
            <v>75</v>
          </cell>
          <cell r="R30">
            <v>76.7</v>
          </cell>
          <cell r="S30">
            <v>78.3</v>
          </cell>
          <cell r="T30">
            <v>79.688999999999993</v>
          </cell>
          <cell r="U30">
            <v>80.989000000000004</v>
          </cell>
          <cell r="V30">
            <v>82.206000000000003</v>
          </cell>
          <cell r="W30">
            <v>83.344999999999999</v>
          </cell>
          <cell r="X30">
            <v>84.411000000000001</v>
          </cell>
          <cell r="Y30">
            <v>85.406999999999996</v>
          </cell>
          <cell r="Z30">
            <v>86.337999999999994</v>
          </cell>
          <cell r="AA30">
            <v>87.209000000000003</v>
          </cell>
          <cell r="AB30">
            <v>88.022999999999996</v>
          </cell>
          <cell r="AC30">
            <v>88.784000000000006</v>
          </cell>
          <cell r="AD30">
            <v>89.495000000000005</v>
          </cell>
          <cell r="AE30">
            <v>90.16</v>
          </cell>
          <cell r="AF30">
            <v>90.781999999999996</v>
          </cell>
          <cell r="AG30">
            <v>91.364000000000004</v>
          </cell>
          <cell r="AH30">
            <v>91.908000000000001</v>
          </cell>
          <cell r="AI30">
            <v>92.417000000000002</v>
          </cell>
        </row>
        <row r="31">
          <cell r="B31" t="str">
            <v>Bhutan</v>
          </cell>
          <cell r="E31">
            <v>2.1</v>
          </cell>
          <cell r="F31">
            <v>2.8</v>
          </cell>
          <cell r="G31">
            <v>3.6</v>
          </cell>
          <cell r="H31">
            <v>4.7</v>
          </cell>
          <cell r="I31">
            <v>6.1</v>
          </cell>
          <cell r="J31">
            <v>7.9</v>
          </cell>
          <cell r="K31">
            <v>10.1</v>
          </cell>
          <cell r="L31">
            <v>12.9</v>
          </cell>
          <cell r="M31">
            <v>16.399999999999999</v>
          </cell>
          <cell r="N31">
            <v>20.5</v>
          </cell>
          <cell r="O31">
            <v>25.4</v>
          </cell>
          <cell r="P31">
            <v>31</v>
          </cell>
          <cell r="Q31">
            <v>34.799999999999997</v>
          </cell>
          <cell r="R31">
            <v>38.700000000000003</v>
          </cell>
          <cell r="S31">
            <v>42.3</v>
          </cell>
          <cell r="T31">
            <v>45.44</v>
          </cell>
          <cell r="U31">
            <v>48.502000000000002</v>
          </cell>
          <cell r="V31">
            <v>51.463000000000001</v>
          </cell>
          <cell r="W31">
            <v>54.307000000000002</v>
          </cell>
          <cell r="X31">
            <v>57.02</v>
          </cell>
          <cell r="Y31">
            <v>59.595999999999997</v>
          </cell>
          <cell r="Z31">
            <v>62.030999999999999</v>
          </cell>
          <cell r="AA31">
            <v>64.325000000000003</v>
          </cell>
          <cell r="AB31">
            <v>66.48</v>
          </cell>
          <cell r="AC31">
            <v>68.501000000000005</v>
          </cell>
          <cell r="AD31">
            <v>70.391999999999996</v>
          </cell>
          <cell r="AE31">
            <v>72.16</v>
          </cell>
          <cell r="AF31">
            <v>73.811999999999998</v>
          </cell>
          <cell r="AG31">
            <v>75.353999999999999</v>
          </cell>
          <cell r="AH31">
            <v>76.793000000000006</v>
          </cell>
          <cell r="AI31">
            <v>78.137</v>
          </cell>
        </row>
        <row r="32">
          <cell r="B32" t="str">
            <v>Botswana</v>
          </cell>
          <cell r="E32">
            <v>2.7</v>
          </cell>
          <cell r="F32">
            <v>2.9</v>
          </cell>
          <cell r="G32">
            <v>3.1</v>
          </cell>
          <cell r="H32">
            <v>3.8</v>
          </cell>
          <cell r="I32">
            <v>7.8</v>
          </cell>
          <cell r="J32">
            <v>11.9</v>
          </cell>
          <cell r="K32">
            <v>16.5</v>
          </cell>
          <cell r="L32">
            <v>26.7</v>
          </cell>
          <cell r="M32">
            <v>41.9</v>
          </cell>
          <cell r="N32">
            <v>49</v>
          </cell>
          <cell r="O32">
            <v>53.2</v>
          </cell>
          <cell r="P32">
            <v>55.9</v>
          </cell>
          <cell r="Q32">
            <v>62.4</v>
          </cell>
          <cell r="R32">
            <v>67.2</v>
          </cell>
          <cell r="S32">
            <v>70.900000000000006</v>
          </cell>
          <cell r="T32">
            <v>72.984999999999999</v>
          </cell>
          <cell r="U32">
            <v>74.900000000000006</v>
          </cell>
          <cell r="V32">
            <v>76.658000000000001</v>
          </cell>
          <cell r="W32">
            <v>78.272999999999996</v>
          </cell>
          <cell r="X32">
            <v>79.757000000000005</v>
          </cell>
          <cell r="Y32">
            <v>81.120999999999995</v>
          </cell>
          <cell r="Z32">
            <v>82.376999999999995</v>
          </cell>
          <cell r="AA32">
            <v>83.534000000000006</v>
          </cell>
          <cell r="AB32">
            <v>84.600999999999999</v>
          </cell>
          <cell r="AC32">
            <v>85.585999999999999</v>
          </cell>
          <cell r="AD32">
            <v>86.495999999999995</v>
          </cell>
          <cell r="AE32">
            <v>87.338999999999999</v>
          </cell>
          <cell r="AF32">
            <v>88.12</v>
          </cell>
          <cell r="AG32">
            <v>88.843999999999994</v>
          </cell>
          <cell r="AH32">
            <v>89.516999999999996</v>
          </cell>
          <cell r="AI32">
            <v>90.141999999999996</v>
          </cell>
        </row>
        <row r="33">
          <cell r="B33" t="str">
            <v>Central African Republic</v>
          </cell>
          <cell r="E33">
            <v>14.4</v>
          </cell>
          <cell r="F33">
            <v>17.100000000000001</v>
          </cell>
          <cell r="G33">
            <v>20.100000000000001</v>
          </cell>
          <cell r="H33">
            <v>23.5</v>
          </cell>
          <cell r="I33">
            <v>27.5</v>
          </cell>
          <cell r="J33">
            <v>32</v>
          </cell>
          <cell r="K33">
            <v>33.9</v>
          </cell>
          <cell r="L33">
            <v>35.5</v>
          </cell>
          <cell r="M33">
            <v>36.799999999999997</v>
          </cell>
          <cell r="N33">
            <v>37.200000000000003</v>
          </cell>
          <cell r="O33">
            <v>37.6</v>
          </cell>
          <cell r="P33">
            <v>38.1</v>
          </cell>
          <cell r="Q33">
            <v>38.9</v>
          </cell>
          <cell r="R33">
            <v>40.299999999999997</v>
          </cell>
          <cell r="S33">
            <v>42.2</v>
          </cell>
          <cell r="T33">
            <v>45.155000000000001</v>
          </cell>
          <cell r="U33">
            <v>48.029000000000003</v>
          </cell>
          <cell r="V33">
            <v>50.802</v>
          </cell>
          <cell r="W33">
            <v>53.460999999999999</v>
          </cell>
          <cell r="X33">
            <v>55.997</v>
          </cell>
          <cell r="Y33">
            <v>58.405999999999999</v>
          </cell>
          <cell r="Z33">
            <v>60.683</v>
          </cell>
          <cell r="AA33">
            <v>62.832000000000001</v>
          </cell>
          <cell r="AB33">
            <v>64.852999999999994</v>
          </cell>
          <cell r="AC33">
            <v>66.751999999999995</v>
          </cell>
          <cell r="AD33">
            <v>68.533000000000001</v>
          </cell>
          <cell r="AE33">
            <v>70.203000000000003</v>
          </cell>
          <cell r="AF33">
            <v>71.766999999999996</v>
          </cell>
          <cell r="AG33">
            <v>73.231999999999999</v>
          </cell>
          <cell r="AH33">
            <v>74.603999999999999</v>
          </cell>
          <cell r="AI33">
            <v>75.888999999999996</v>
          </cell>
        </row>
        <row r="34">
          <cell r="B34" t="str">
            <v>Canada</v>
          </cell>
          <cell r="E34">
            <v>60.9</v>
          </cell>
          <cell r="F34">
            <v>65.7</v>
          </cell>
          <cell r="G34">
            <v>69.099999999999994</v>
          </cell>
          <cell r="H34">
            <v>72.900000000000006</v>
          </cell>
          <cell r="I34">
            <v>75.7</v>
          </cell>
          <cell r="J34">
            <v>75.599999999999994</v>
          </cell>
          <cell r="K34">
            <v>75.7</v>
          </cell>
          <cell r="L34">
            <v>76.400000000000006</v>
          </cell>
          <cell r="M34">
            <v>76.599999999999994</v>
          </cell>
          <cell r="N34">
            <v>77.7</v>
          </cell>
          <cell r="O34">
            <v>79.5</v>
          </cell>
          <cell r="P34">
            <v>80.099999999999994</v>
          </cell>
          <cell r="Q34">
            <v>80.900000000000006</v>
          </cell>
          <cell r="R34">
            <v>81.3</v>
          </cell>
          <cell r="S34">
            <v>81.599999999999994</v>
          </cell>
          <cell r="T34">
            <v>82.477000000000004</v>
          </cell>
          <cell r="U34">
            <v>83.366</v>
          </cell>
          <cell r="V34">
            <v>84.263000000000005</v>
          </cell>
          <cell r="W34">
            <v>85.164000000000001</v>
          </cell>
          <cell r="X34">
            <v>86.061999999999998</v>
          </cell>
          <cell r="Y34">
            <v>86.951999999999998</v>
          </cell>
          <cell r="Z34">
            <v>87.83</v>
          </cell>
          <cell r="AA34">
            <v>88.688999999999993</v>
          </cell>
          <cell r="AB34">
            <v>89.525999999999996</v>
          </cell>
          <cell r="AC34">
            <v>90.334999999999994</v>
          </cell>
          <cell r="AD34">
            <v>91.111999999999995</v>
          </cell>
          <cell r="AE34">
            <v>91.855000000000004</v>
          </cell>
          <cell r="AF34">
            <v>92.56</v>
          </cell>
          <cell r="AG34">
            <v>93.224999999999994</v>
          </cell>
          <cell r="AH34">
            <v>93.849000000000004</v>
          </cell>
          <cell r="AI34">
            <v>94.430999999999997</v>
          </cell>
        </row>
        <row r="35">
          <cell r="B35" t="str">
            <v>Switzerland</v>
          </cell>
          <cell r="E35">
            <v>67.400000000000006</v>
          </cell>
          <cell r="F35">
            <v>69.099999999999994</v>
          </cell>
          <cell r="G35">
            <v>70.900000000000006</v>
          </cell>
          <cell r="H35">
            <v>72.400000000000006</v>
          </cell>
          <cell r="I35">
            <v>73.8</v>
          </cell>
          <cell r="J35">
            <v>74.2</v>
          </cell>
          <cell r="K35">
            <v>74.5</v>
          </cell>
          <cell r="L35">
            <v>74.2</v>
          </cell>
          <cell r="M35">
            <v>73.900000000000006</v>
          </cell>
          <cell r="N35">
            <v>73.7</v>
          </cell>
          <cell r="O35">
            <v>73.400000000000006</v>
          </cell>
          <cell r="P35">
            <v>73.5</v>
          </cell>
          <cell r="Q35">
            <v>73.599999999999994</v>
          </cell>
          <cell r="R35">
            <v>73.7</v>
          </cell>
          <cell r="S35">
            <v>73.900000000000006</v>
          </cell>
          <cell r="T35">
            <v>75.867000000000004</v>
          </cell>
          <cell r="U35">
            <v>77.66</v>
          </cell>
          <cell r="V35">
            <v>79.293999999999997</v>
          </cell>
          <cell r="W35">
            <v>80.784999999999997</v>
          </cell>
          <cell r="X35">
            <v>82.147999999999996</v>
          </cell>
          <cell r="Y35">
            <v>83.394000000000005</v>
          </cell>
          <cell r="Z35">
            <v>84.536000000000001</v>
          </cell>
          <cell r="AA35">
            <v>85.582999999999998</v>
          </cell>
          <cell r="AB35">
            <v>86.545000000000002</v>
          </cell>
          <cell r="AC35">
            <v>87.43</v>
          </cell>
          <cell r="AD35">
            <v>88.245999999999995</v>
          </cell>
          <cell r="AE35">
            <v>88.998999999999995</v>
          </cell>
          <cell r="AF35">
            <v>89.694999999999993</v>
          </cell>
          <cell r="AG35">
            <v>90.338999999999999</v>
          </cell>
          <cell r="AH35">
            <v>90.936000000000007</v>
          </cell>
          <cell r="AI35">
            <v>91.489000000000004</v>
          </cell>
        </row>
        <row r="36">
          <cell r="B36" t="str">
            <v>Chile</v>
          </cell>
          <cell r="E36">
            <v>58.4</v>
          </cell>
          <cell r="F36">
            <v>63.3</v>
          </cell>
          <cell r="G36">
            <v>67.8</v>
          </cell>
          <cell r="H36">
            <v>71.7</v>
          </cell>
          <cell r="I36">
            <v>75.2</v>
          </cell>
          <cell r="J36">
            <v>78.400000000000006</v>
          </cell>
          <cell r="K36">
            <v>81.2</v>
          </cell>
          <cell r="L36">
            <v>82.6</v>
          </cell>
          <cell r="M36">
            <v>83.3</v>
          </cell>
          <cell r="N36">
            <v>84.5</v>
          </cell>
          <cell r="O36">
            <v>86.1</v>
          </cell>
          <cell r="P36">
            <v>86.8</v>
          </cell>
          <cell r="Q36">
            <v>87.1</v>
          </cell>
          <cell r="R36">
            <v>87.4</v>
          </cell>
          <cell r="S36">
            <v>87.7</v>
          </cell>
          <cell r="T36">
            <v>88.448999999999998</v>
          </cell>
          <cell r="U36">
            <v>89.238</v>
          </cell>
          <cell r="V36">
            <v>90.058999999999997</v>
          </cell>
          <cell r="W36">
            <v>90.899000000000001</v>
          </cell>
          <cell r="X36">
            <v>91.747</v>
          </cell>
          <cell r="Y36">
            <v>92.587000000000003</v>
          </cell>
          <cell r="Z36">
            <v>93.405000000000001</v>
          </cell>
          <cell r="AA36">
            <v>94.188999999999993</v>
          </cell>
          <cell r="AB36">
            <v>94.927999999999997</v>
          </cell>
          <cell r="AC36">
            <v>95.611000000000004</v>
          </cell>
          <cell r="AD36">
            <v>96.233999999999995</v>
          </cell>
          <cell r="AE36">
            <v>96.793000000000006</v>
          </cell>
          <cell r="AF36">
            <v>97.287999999999997</v>
          </cell>
          <cell r="AG36">
            <v>97.721000000000004</v>
          </cell>
          <cell r="AH36">
            <v>98.094999999999999</v>
          </cell>
          <cell r="AI36">
            <v>98.415000000000006</v>
          </cell>
        </row>
        <row r="37">
          <cell r="B37" t="str">
            <v>China</v>
          </cell>
          <cell r="E37">
            <v>11.8</v>
          </cell>
          <cell r="F37">
            <v>13.9</v>
          </cell>
          <cell r="G37">
            <v>16.2</v>
          </cell>
          <cell r="H37">
            <v>18.100000000000001</v>
          </cell>
          <cell r="I37">
            <v>17.399999999999999</v>
          </cell>
          <cell r="J37">
            <v>17.399999999999999</v>
          </cell>
          <cell r="K37">
            <v>19.399999999999999</v>
          </cell>
          <cell r="L37">
            <v>22.9</v>
          </cell>
          <cell r="M37">
            <v>26.4</v>
          </cell>
          <cell r="N37">
            <v>31</v>
          </cell>
          <cell r="O37">
            <v>35.9</v>
          </cell>
          <cell r="P37">
            <v>42.5</v>
          </cell>
          <cell r="Q37">
            <v>49.2</v>
          </cell>
          <cell r="R37">
            <v>55.5</v>
          </cell>
          <cell r="S37">
            <v>61.4</v>
          </cell>
          <cell r="T37">
            <v>63.307000000000002</v>
          </cell>
          <cell r="U37">
            <v>65.122</v>
          </cell>
          <cell r="V37">
            <v>66.846999999999994</v>
          </cell>
          <cell r="W37">
            <v>68.484999999999999</v>
          </cell>
          <cell r="X37">
            <v>70.037000000000006</v>
          </cell>
          <cell r="Y37">
            <v>71.507000000000005</v>
          </cell>
          <cell r="Z37">
            <v>72.897999999999996</v>
          </cell>
          <cell r="AA37">
            <v>74.215000000000003</v>
          </cell>
          <cell r="AB37">
            <v>75.460999999999999</v>
          </cell>
          <cell r="AC37">
            <v>76.638999999999996</v>
          </cell>
          <cell r="AD37">
            <v>77.753</v>
          </cell>
          <cell r="AE37">
            <v>78.807000000000002</v>
          </cell>
          <cell r="AF37">
            <v>79.804000000000002</v>
          </cell>
          <cell r="AG37">
            <v>80.747</v>
          </cell>
          <cell r="AH37">
            <v>81.638999999999996</v>
          </cell>
          <cell r="AI37">
            <v>82.483999999999995</v>
          </cell>
        </row>
        <row r="38">
          <cell r="B38" t="str">
            <v>C?te d'Ivoire</v>
          </cell>
          <cell r="E38">
            <v>10</v>
          </cell>
          <cell r="F38">
            <v>13.1</v>
          </cell>
          <cell r="G38">
            <v>17.7</v>
          </cell>
          <cell r="H38">
            <v>24.5</v>
          </cell>
          <cell r="I38">
            <v>28.2</v>
          </cell>
          <cell r="J38">
            <v>32.200000000000003</v>
          </cell>
          <cell r="K38">
            <v>36.799999999999997</v>
          </cell>
          <cell r="L38">
            <v>37.9</v>
          </cell>
          <cell r="M38">
            <v>39.299999999999997</v>
          </cell>
          <cell r="N38">
            <v>41.2</v>
          </cell>
          <cell r="O38">
            <v>43.2</v>
          </cell>
          <cell r="P38">
            <v>45.2</v>
          </cell>
          <cell r="Q38">
            <v>47.3</v>
          </cell>
          <cell r="R38">
            <v>49.4</v>
          </cell>
          <cell r="S38">
            <v>51.7</v>
          </cell>
          <cell r="T38">
            <v>53.567</v>
          </cell>
          <cell r="U38">
            <v>55.387999999999998</v>
          </cell>
          <cell r="V38">
            <v>57.16</v>
          </cell>
          <cell r="W38">
            <v>58.88</v>
          </cell>
          <cell r="X38">
            <v>60.545999999999999</v>
          </cell>
          <cell r="Y38">
            <v>62.156999999999996</v>
          </cell>
          <cell r="Z38">
            <v>63.712000000000003</v>
          </cell>
          <cell r="AA38">
            <v>65.212000000000003</v>
          </cell>
          <cell r="AB38">
            <v>66.655000000000001</v>
          </cell>
          <cell r="AC38">
            <v>68.043999999999997</v>
          </cell>
          <cell r="AD38">
            <v>69.378</v>
          </cell>
          <cell r="AE38">
            <v>70.658000000000001</v>
          </cell>
          <cell r="AF38">
            <v>71.887</v>
          </cell>
          <cell r="AG38">
            <v>73.063999999999993</v>
          </cell>
          <cell r="AH38">
            <v>74.191999999999993</v>
          </cell>
          <cell r="AI38">
            <v>75.272999999999996</v>
          </cell>
        </row>
        <row r="39">
          <cell r="B39" t="str">
            <v>Cameroon</v>
          </cell>
          <cell r="E39">
            <v>9.3000000000000007</v>
          </cell>
          <cell r="F39">
            <v>11.4</v>
          </cell>
          <cell r="G39">
            <v>13.9</v>
          </cell>
          <cell r="H39">
            <v>16.899999999999999</v>
          </cell>
          <cell r="I39">
            <v>20.3</v>
          </cell>
          <cell r="J39">
            <v>27.3</v>
          </cell>
          <cell r="K39">
            <v>31.9</v>
          </cell>
          <cell r="L39">
            <v>36.200000000000003</v>
          </cell>
          <cell r="M39">
            <v>39.700000000000003</v>
          </cell>
          <cell r="N39">
            <v>42.6</v>
          </cell>
          <cell r="O39">
            <v>45.5</v>
          </cell>
          <cell r="P39">
            <v>48.5</v>
          </cell>
          <cell r="Q39">
            <v>51.6</v>
          </cell>
          <cell r="R39">
            <v>54.6</v>
          </cell>
          <cell r="S39">
            <v>57.6</v>
          </cell>
          <cell r="T39">
            <v>59.646000000000001</v>
          </cell>
          <cell r="U39">
            <v>61.575000000000003</v>
          </cell>
          <cell r="V39">
            <v>63.392000000000003</v>
          </cell>
          <cell r="W39">
            <v>65.099999999999994</v>
          </cell>
          <cell r="X39">
            <v>66.704999999999998</v>
          </cell>
          <cell r="Y39">
            <v>68.212000000000003</v>
          </cell>
          <cell r="Z39">
            <v>69.626999999999995</v>
          </cell>
          <cell r="AA39">
            <v>70.956000000000003</v>
          </cell>
          <cell r="AB39">
            <v>72.203999999999994</v>
          </cell>
          <cell r="AC39">
            <v>73.376999999999995</v>
          </cell>
          <cell r="AD39">
            <v>74.478999999999999</v>
          </cell>
          <cell r="AE39">
            <v>75.515000000000001</v>
          </cell>
          <cell r="AF39">
            <v>76.491</v>
          </cell>
          <cell r="AG39">
            <v>77.41</v>
          </cell>
          <cell r="AH39">
            <v>78.275999999999996</v>
          </cell>
          <cell r="AI39">
            <v>79.093999999999994</v>
          </cell>
        </row>
        <row r="40">
          <cell r="B40" t="str">
            <v>Democratic Republic of the Congo</v>
          </cell>
          <cell r="E40">
            <v>19.100000000000001</v>
          </cell>
          <cell r="F40">
            <v>20.7</v>
          </cell>
          <cell r="G40">
            <v>22.3</v>
          </cell>
          <cell r="H40">
            <v>23.4</v>
          </cell>
          <cell r="I40">
            <v>24.6</v>
          </cell>
          <cell r="J40">
            <v>25.8</v>
          </cell>
          <cell r="K40">
            <v>27.1</v>
          </cell>
          <cell r="L40">
            <v>28.5</v>
          </cell>
          <cell r="M40">
            <v>30.6</v>
          </cell>
          <cell r="N40">
            <v>32.799999999999997</v>
          </cell>
          <cell r="O40">
            <v>35.1</v>
          </cell>
          <cell r="P40">
            <v>37.5</v>
          </cell>
          <cell r="Q40">
            <v>40</v>
          </cell>
          <cell r="R40">
            <v>42.7</v>
          </cell>
          <cell r="S40">
            <v>45.6</v>
          </cell>
          <cell r="T40">
            <v>47.960999999999999</v>
          </cell>
          <cell r="U40">
            <v>50.265000000000001</v>
          </cell>
          <cell r="V40">
            <v>52.503999999999998</v>
          </cell>
          <cell r="W40">
            <v>54.67</v>
          </cell>
          <cell r="X40">
            <v>56.759</v>
          </cell>
          <cell r="Y40">
            <v>58.768000000000001</v>
          </cell>
          <cell r="Z40">
            <v>60.694000000000003</v>
          </cell>
          <cell r="AA40">
            <v>62.536999999999999</v>
          </cell>
          <cell r="AB40">
            <v>64.296000000000006</v>
          </cell>
          <cell r="AC40">
            <v>65.974000000000004</v>
          </cell>
          <cell r="AD40">
            <v>67.570999999999998</v>
          </cell>
          <cell r="AE40">
            <v>69.09</v>
          </cell>
          <cell r="AF40">
            <v>70.533000000000001</v>
          </cell>
          <cell r="AG40">
            <v>71.903999999999996</v>
          </cell>
          <cell r="AH40">
            <v>73.204999999999998</v>
          </cell>
          <cell r="AI40">
            <v>74.438999999999993</v>
          </cell>
        </row>
        <row r="41">
          <cell r="B41" t="str">
            <v>Congo</v>
          </cell>
          <cell r="E41">
            <v>24.9</v>
          </cell>
          <cell r="F41">
            <v>28.1</v>
          </cell>
          <cell r="G41">
            <v>31.6</v>
          </cell>
          <cell r="H41">
            <v>35.299999999999997</v>
          </cell>
          <cell r="I41">
            <v>39.1</v>
          </cell>
          <cell r="J41">
            <v>43.3</v>
          </cell>
          <cell r="K41">
            <v>47.9</v>
          </cell>
          <cell r="L41">
            <v>52.2</v>
          </cell>
          <cell r="M41">
            <v>54.3</v>
          </cell>
          <cell r="N41">
            <v>56.4</v>
          </cell>
          <cell r="O41">
            <v>58.7</v>
          </cell>
          <cell r="P41">
            <v>61</v>
          </cell>
          <cell r="Q41">
            <v>63.3</v>
          </cell>
          <cell r="R41">
            <v>65.5</v>
          </cell>
          <cell r="S41">
            <v>67.8</v>
          </cell>
          <cell r="T41">
            <v>69.433000000000007</v>
          </cell>
          <cell r="U41">
            <v>71.016999999999996</v>
          </cell>
          <cell r="V41">
            <v>72.548000000000002</v>
          </cell>
          <cell r="W41">
            <v>74.025999999999996</v>
          </cell>
          <cell r="X41">
            <v>75.45</v>
          </cell>
          <cell r="Y41">
            <v>76.817999999999998</v>
          </cell>
          <cell r="Z41">
            <v>78.131</v>
          </cell>
          <cell r="AA41">
            <v>79.387</v>
          </cell>
          <cell r="AB41">
            <v>80.587999999999994</v>
          </cell>
          <cell r="AC41">
            <v>81.733999999999995</v>
          </cell>
          <cell r="AD41">
            <v>82.825000000000003</v>
          </cell>
          <cell r="AE41">
            <v>83.864000000000004</v>
          </cell>
          <cell r="AF41">
            <v>84.849000000000004</v>
          </cell>
          <cell r="AG41">
            <v>85.784000000000006</v>
          </cell>
          <cell r="AH41">
            <v>86.67</v>
          </cell>
          <cell r="AI41">
            <v>87.507999999999996</v>
          </cell>
        </row>
        <row r="42">
          <cell r="B42" t="str">
            <v>Cook Islands</v>
          </cell>
          <cell r="E42">
            <v>38</v>
          </cell>
          <cell r="F42">
            <v>42.2</v>
          </cell>
          <cell r="G42">
            <v>46.5</v>
          </cell>
          <cell r="H42">
            <v>50.8</v>
          </cell>
          <cell r="I42">
            <v>53.3</v>
          </cell>
          <cell r="J42">
            <v>54</v>
          </cell>
          <cell r="K42">
            <v>53.8</v>
          </cell>
          <cell r="L42">
            <v>55.2</v>
          </cell>
          <cell r="M42">
            <v>57.7</v>
          </cell>
          <cell r="N42">
            <v>58.7</v>
          </cell>
          <cell r="O42">
            <v>65.2</v>
          </cell>
          <cell r="P42">
            <v>71</v>
          </cell>
          <cell r="Q42">
            <v>73.3</v>
          </cell>
          <cell r="R42">
            <v>74.400000000000006</v>
          </cell>
          <cell r="S42">
            <v>75.5</v>
          </cell>
          <cell r="T42">
            <v>77.355000000000004</v>
          </cell>
          <cell r="U42">
            <v>79.03</v>
          </cell>
          <cell r="V42">
            <v>80.546000000000006</v>
          </cell>
          <cell r="W42">
            <v>81.921000000000006</v>
          </cell>
          <cell r="X42">
            <v>83.17</v>
          </cell>
          <cell r="Y42">
            <v>84.308000000000007</v>
          </cell>
          <cell r="Z42">
            <v>85.346000000000004</v>
          </cell>
          <cell r="AA42">
            <v>86.296000000000006</v>
          </cell>
          <cell r="AB42">
            <v>87.165999999999997</v>
          </cell>
          <cell r="AC42">
            <v>87.965999999999994</v>
          </cell>
          <cell r="AD42">
            <v>88.701999999999998</v>
          </cell>
          <cell r="AE42">
            <v>89.381</v>
          </cell>
          <cell r="AF42">
            <v>90.007999999999996</v>
          </cell>
          <cell r="AG42">
            <v>90.587999999999994</v>
          </cell>
          <cell r="AH42">
            <v>91.126000000000005</v>
          </cell>
          <cell r="AI42">
            <v>91.626000000000005</v>
          </cell>
        </row>
        <row r="43">
          <cell r="B43" t="str">
            <v>Colombia</v>
          </cell>
          <cell r="E43">
            <v>32.6</v>
          </cell>
          <cell r="F43">
            <v>39.200000000000003</v>
          </cell>
          <cell r="G43">
            <v>46.3</v>
          </cell>
          <cell r="H43">
            <v>52.8</v>
          </cell>
          <cell r="I43">
            <v>56.6</v>
          </cell>
          <cell r="J43">
            <v>60.3</v>
          </cell>
          <cell r="K43">
            <v>63.7</v>
          </cell>
          <cell r="L43">
            <v>67</v>
          </cell>
          <cell r="M43">
            <v>69.5</v>
          </cell>
          <cell r="N43">
            <v>71.8</v>
          </cell>
          <cell r="O43">
            <v>74</v>
          </cell>
          <cell r="P43">
            <v>76</v>
          </cell>
          <cell r="Q43">
            <v>78</v>
          </cell>
          <cell r="R43">
            <v>79.8</v>
          </cell>
          <cell r="S43">
            <v>81.400000000000006</v>
          </cell>
          <cell r="T43">
            <v>82.313999999999993</v>
          </cell>
          <cell r="U43">
            <v>83.236000000000004</v>
          </cell>
          <cell r="V43">
            <v>84.161000000000001</v>
          </cell>
          <cell r="W43">
            <v>85.084000000000003</v>
          </cell>
          <cell r="X43">
            <v>86</v>
          </cell>
          <cell r="Y43">
            <v>86.903999999999996</v>
          </cell>
          <cell r="Z43">
            <v>87.790999999999997</v>
          </cell>
          <cell r="AA43">
            <v>88.656000000000006</v>
          </cell>
          <cell r="AB43">
            <v>89.495000000000005</v>
          </cell>
          <cell r="AC43">
            <v>90.302999999999997</v>
          </cell>
          <cell r="AD43">
            <v>91.078000000000003</v>
          </cell>
          <cell r="AE43">
            <v>91.816999999999993</v>
          </cell>
          <cell r="AF43">
            <v>92.516000000000005</v>
          </cell>
          <cell r="AG43">
            <v>93.176000000000002</v>
          </cell>
          <cell r="AH43">
            <v>93.793999999999997</v>
          </cell>
          <cell r="AI43">
            <v>94.370999999999995</v>
          </cell>
        </row>
        <row r="44">
          <cell r="B44" t="str">
            <v>Comoros</v>
          </cell>
          <cell r="E44">
            <v>6.6</v>
          </cell>
          <cell r="F44">
            <v>9.1999999999999993</v>
          </cell>
          <cell r="G44">
            <v>12.6</v>
          </cell>
          <cell r="H44">
            <v>17</v>
          </cell>
          <cell r="I44">
            <v>19.399999999999999</v>
          </cell>
          <cell r="J44">
            <v>21.2</v>
          </cell>
          <cell r="K44">
            <v>23.2</v>
          </cell>
          <cell r="L44">
            <v>25.5</v>
          </cell>
          <cell r="M44">
            <v>27.9</v>
          </cell>
          <cell r="N44">
            <v>28.3</v>
          </cell>
          <cell r="O44">
            <v>28.1</v>
          </cell>
          <cell r="P44">
            <v>27.9</v>
          </cell>
          <cell r="Q44">
            <v>28</v>
          </cell>
          <cell r="R44">
            <v>28.5</v>
          </cell>
          <cell r="S44">
            <v>29.4</v>
          </cell>
          <cell r="T44">
            <v>32.44</v>
          </cell>
          <cell r="U44">
            <v>35.5</v>
          </cell>
          <cell r="V44">
            <v>38.542000000000002</v>
          </cell>
          <cell r="W44">
            <v>41.531999999999996</v>
          </cell>
          <cell r="X44">
            <v>44.442</v>
          </cell>
          <cell r="Y44">
            <v>47.25</v>
          </cell>
          <cell r="Z44">
            <v>49.938000000000002</v>
          </cell>
          <cell r="AA44">
            <v>52.494999999999997</v>
          </cell>
          <cell r="AB44">
            <v>54.915999999999997</v>
          </cell>
          <cell r="AC44">
            <v>57.198999999999998</v>
          </cell>
          <cell r="AD44">
            <v>59.344000000000001</v>
          </cell>
          <cell r="AE44">
            <v>61.354999999999997</v>
          </cell>
          <cell r="AF44">
            <v>63.237000000000002</v>
          </cell>
          <cell r="AG44">
            <v>64.995999999999995</v>
          </cell>
          <cell r="AH44">
            <v>66.638999999999996</v>
          </cell>
          <cell r="AI44">
            <v>68.173000000000002</v>
          </cell>
        </row>
        <row r="45">
          <cell r="B45" t="str">
            <v>Cabo Verde</v>
          </cell>
          <cell r="E45">
            <v>14.2</v>
          </cell>
          <cell r="F45">
            <v>15.4</v>
          </cell>
          <cell r="G45">
            <v>16.7</v>
          </cell>
          <cell r="H45">
            <v>18.100000000000001</v>
          </cell>
          <cell r="I45">
            <v>19.600000000000001</v>
          </cell>
          <cell r="J45">
            <v>21.4</v>
          </cell>
          <cell r="K45">
            <v>23.5</v>
          </cell>
          <cell r="L45">
            <v>31.5</v>
          </cell>
          <cell r="M45">
            <v>44.1</v>
          </cell>
          <cell r="N45">
            <v>48.8</v>
          </cell>
          <cell r="O45">
            <v>53.4</v>
          </cell>
          <cell r="P45">
            <v>57.7</v>
          </cell>
          <cell r="Q45">
            <v>61.8</v>
          </cell>
          <cell r="R45">
            <v>64.3</v>
          </cell>
          <cell r="S45">
            <v>66.7</v>
          </cell>
          <cell r="T45">
            <v>68.549000000000007</v>
          </cell>
          <cell r="U45">
            <v>70.305000000000007</v>
          </cell>
          <cell r="V45">
            <v>71.968999999999994</v>
          </cell>
          <cell r="W45">
            <v>73.543999999999997</v>
          </cell>
          <cell r="X45">
            <v>75.033000000000001</v>
          </cell>
          <cell r="Y45">
            <v>76.44</v>
          </cell>
          <cell r="Z45">
            <v>77.768000000000001</v>
          </cell>
          <cell r="AA45">
            <v>79.02</v>
          </cell>
          <cell r="AB45">
            <v>80.200999999999993</v>
          </cell>
          <cell r="AC45">
            <v>81.313999999999993</v>
          </cell>
          <cell r="AD45">
            <v>82.363</v>
          </cell>
          <cell r="AE45">
            <v>83.352000000000004</v>
          </cell>
          <cell r="AF45">
            <v>84.283000000000001</v>
          </cell>
          <cell r="AG45">
            <v>85.16</v>
          </cell>
          <cell r="AH45">
            <v>85.986000000000004</v>
          </cell>
          <cell r="AI45">
            <v>86.763999999999996</v>
          </cell>
        </row>
        <row r="46">
          <cell r="B46" t="str">
            <v>Costa Rica</v>
          </cell>
          <cell r="E46">
            <v>33.5</v>
          </cell>
          <cell r="F46">
            <v>33.9</v>
          </cell>
          <cell r="G46">
            <v>34.299999999999997</v>
          </cell>
          <cell r="H46">
            <v>35.799999999999997</v>
          </cell>
          <cell r="I46">
            <v>38.799999999999997</v>
          </cell>
          <cell r="J46">
            <v>41.3</v>
          </cell>
          <cell r="K46">
            <v>43.1</v>
          </cell>
          <cell r="L46">
            <v>45.4</v>
          </cell>
          <cell r="M46">
            <v>50</v>
          </cell>
          <cell r="N46">
            <v>54.6</v>
          </cell>
          <cell r="O46">
            <v>59.1</v>
          </cell>
          <cell r="P46">
            <v>65.7</v>
          </cell>
          <cell r="Q46">
            <v>71.7</v>
          </cell>
          <cell r="R46">
            <v>76.900000000000006</v>
          </cell>
          <cell r="S46">
            <v>80.8</v>
          </cell>
          <cell r="T46">
            <v>82.888999999999996</v>
          </cell>
          <cell r="U46">
            <v>84.588999999999999</v>
          </cell>
          <cell r="V46">
            <v>85.995999999999995</v>
          </cell>
          <cell r="W46">
            <v>87.177000000000007</v>
          </cell>
          <cell r="X46">
            <v>88.179000000000002</v>
          </cell>
          <cell r="Y46">
            <v>89.039000000000001</v>
          </cell>
          <cell r="Z46">
            <v>89.784999999999997</v>
          </cell>
          <cell r="AA46">
            <v>90.438000000000002</v>
          </cell>
          <cell r="AB46">
            <v>91.013000000000005</v>
          </cell>
          <cell r="AC46">
            <v>91.522999999999996</v>
          </cell>
          <cell r="AD46">
            <v>91.977999999999994</v>
          </cell>
          <cell r="AE46">
            <v>92.387</v>
          </cell>
          <cell r="AF46">
            <v>92.757000000000005</v>
          </cell>
          <cell r="AG46">
            <v>93.090999999999994</v>
          </cell>
          <cell r="AH46">
            <v>93.396000000000001</v>
          </cell>
          <cell r="AI46">
            <v>93.674999999999997</v>
          </cell>
        </row>
        <row r="47">
          <cell r="B47" t="str">
            <v>Cuba</v>
          </cell>
          <cell r="E47">
            <v>56.5</v>
          </cell>
          <cell r="F47">
            <v>57.5</v>
          </cell>
          <cell r="G47">
            <v>58.4</v>
          </cell>
          <cell r="H47">
            <v>59.3</v>
          </cell>
          <cell r="I47">
            <v>60.3</v>
          </cell>
          <cell r="J47">
            <v>64.2</v>
          </cell>
          <cell r="K47">
            <v>68.099999999999994</v>
          </cell>
          <cell r="L47">
            <v>70.900000000000006</v>
          </cell>
          <cell r="M47">
            <v>73.400000000000006</v>
          </cell>
          <cell r="N47">
            <v>74.3</v>
          </cell>
          <cell r="O47">
            <v>75.3</v>
          </cell>
          <cell r="P47">
            <v>76.099999999999994</v>
          </cell>
          <cell r="Q47">
            <v>76.599999999999994</v>
          </cell>
          <cell r="R47">
            <v>76.900000000000006</v>
          </cell>
          <cell r="S47">
            <v>77.2</v>
          </cell>
          <cell r="T47">
            <v>78.516000000000005</v>
          </cell>
          <cell r="U47">
            <v>79.793000000000006</v>
          </cell>
          <cell r="V47">
            <v>81.028999999999996</v>
          </cell>
          <cell r="W47">
            <v>82.221000000000004</v>
          </cell>
          <cell r="X47">
            <v>83.367000000000004</v>
          </cell>
          <cell r="Y47">
            <v>84.465000000000003</v>
          </cell>
          <cell r="Z47">
            <v>85.515000000000001</v>
          </cell>
          <cell r="AA47">
            <v>86.516000000000005</v>
          </cell>
          <cell r="AB47">
            <v>87.465999999999994</v>
          </cell>
          <cell r="AC47">
            <v>88.367000000000004</v>
          </cell>
          <cell r="AD47">
            <v>89.218000000000004</v>
          </cell>
          <cell r="AE47">
            <v>90.02</v>
          </cell>
          <cell r="AF47">
            <v>90.774000000000001</v>
          </cell>
          <cell r="AG47">
            <v>91.480999999999995</v>
          </cell>
          <cell r="AH47">
            <v>92.143000000000001</v>
          </cell>
          <cell r="AI47">
            <v>92.760999999999996</v>
          </cell>
        </row>
        <row r="48">
          <cell r="B48" t="str">
            <v>Cura?ao</v>
          </cell>
          <cell r="E48">
            <v>70.599999999999994</v>
          </cell>
          <cell r="F48">
            <v>72.7</v>
          </cell>
          <cell r="G48">
            <v>74.7</v>
          </cell>
          <cell r="H48">
            <v>76.599999999999994</v>
          </cell>
          <cell r="I48">
            <v>78.400000000000006</v>
          </cell>
          <cell r="J48">
            <v>80.2</v>
          </cell>
          <cell r="K48">
            <v>81.8</v>
          </cell>
          <cell r="L48">
            <v>83.3</v>
          </cell>
          <cell r="M48">
            <v>84.7</v>
          </cell>
          <cell r="N48">
            <v>87.7</v>
          </cell>
          <cell r="O48">
            <v>90.8</v>
          </cell>
          <cell r="P48">
            <v>90.5</v>
          </cell>
          <cell r="Q48">
            <v>89.9</v>
          </cell>
          <cell r="R48">
            <v>89.4</v>
          </cell>
          <cell r="S48">
            <v>89.1</v>
          </cell>
          <cell r="T48">
            <v>90.063000000000002</v>
          </cell>
          <cell r="U48">
            <v>90.912000000000006</v>
          </cell>
          <cell r="V48">
            <v>91.665000000000006</v>
          </cell>
          <cell r="W48">
            <v>92.335999999999999</v>
          </cell>
          <cell r="X48">
            <v>92.936999999999998</v>
          </cell>
          <cell r="Y48">
            <v>93.475999999999999</v>
          </cell>
          <cell r="Z48">
            <v>93.962999999999994</v>
          </cell>
          <cell r="AA48">
            <v>94.403999999999996</v>
          </cell>
          <cell r="AB48">
            <v>94.804000000000002</v>
          </cell>
          <cell r="AC48">
            <v>95.168999999999997</v>
          </cell>
          <cell r="AD48">
            <v>95.501999999999995</v>
          </cell>
          <cell r="AE48">
            <v>95.805999999999997</v>
          </cell>
          <cell r="AF48">
            <v>96.085999999999999</v>
          </cell>
          <cell r="AG48">
            <v>96.343000000000004</v>
          </cell>
          <cell r="AH48">
            <v>96.58</v>
          </cell>
          <cell r="AI48">
            <v>96.798000000000002</v>
          </cell>
        </row>
        <row r="49">
          <cell r="B49" t="str">
            <v>Cyprus</v>
          </cell>
          <cell r="E49">
            <v>28.4</v>
          </cell>
          <cell r="F49">
            <v>32.299999999999997</v>
          </cell>
          <cell r="G49">
            <v>35.6</v>
          </cell>
          <cell r="H49">
            <v>38.200000000000003</v>
          </cell>
          <cell r="I49">
            <v>40.799999999999997</v>
          </cell>
          <cell r="J49">
            <v>47.3</v>
          </cell>
          <cell r="K49">
            <v>58.6</v>
          </cell>
          <cell r="L49">
            <v>64.7</v>
          </cell>
          <cell r="M49">
            <v>66.8</v>
          </cell>
          <cell r="N49">
            <v>68</v>
          </cell>
          <cell r="O49">
            <v>68.599999999999994</v>
          </cell>
          <cell r="P49">
            <v>68.3</v>
          </cell>
          <cell r="Q49">
            <v>67.599999999999994</v>
          </cell>
          <cell r="R49">
            <v>66.900000000000006</v>
          </cell>
          <cell r="S49">
            <v>66.8</v>
          </cell>
          <cell r="T49">
            <v>68.855999999999995</v>
          </cell>
          <cell r="U49">
            <v>70.792000000000002</v>
          </cell>
          <cell r="V49">
            <v>72.611999999999995</v>
          </cell>
          <cell r="W49">
            <v>74.319000000000003</v>
          </cell>
          <cell r="X49">
            <v>75.92</v>
          </cell>
          <cell r="Y49">
            <v>77.418999999999997</v>
          </cell>
          <cell r="Z49">
            <v>78.822000000000003</v>
          </cell>
          <cell r="AA49">
            <v>80.134</v>
          </cell>
          <cell r="AB49">
            <v>81.361999999999995</v>
          </cell>
          <cell r="AC49">
            <v>82.51</v>
          </cell>
          <cell r="AD49">
            <v>83.584000000000003</v>
          </cell>
          <cell r="AE49">
            <v>84.587999999999994</v>
          </cell>
          <cell r="AF49">
            <v>85.527000000000001</v>
          </cell>
          <cell r="AG49">
            <v>86.405000000000001</v>
          </cell>
          <cell r="AH49">
            <v>87.227000000000004</v>
          </cell>
          <cell r="AI49">
            <v>87.995999999999995</v>
          </cell>
        </row>
        <row r="50">
          <cell r="B50" t="str">
            <v>Czechia</v>
          </cell>
          <cell r="E50">
            <v>54.2</v>
          </cell>
          <cell r="F50">
            <v>56.9</v>
          </cell>
          <cell r="G50">
            <v>59.5</v>
          </cell>
          <cell r="H50">
            <v>62</v>
          </cell>
          <cell r="I50">
            <v>64.400000000000006</v>
          </cell>
          <cell r="J50">
            <v>69.900000000000006</v>
          </cell>
          <cell r="K50">
            <v>75.2</v>
          </cell>
          <cell r="L50">
            <v>75.400000000000006</v>
          </cell>
          <cell r="M50">
            <v>75.2</v>
          </cell>
          <cell r="N50">
            <v>74.599999999999994</v>
          </cell>
          <cell r="O50">
            <v>74</v>
          </cell>
          <cell r="P50">
            <v>73.599999999999994</v>
          </cell>
          <cell r="Q50">
            <v>73.3</v>
          </cell>
          <cell r="R50">
            <v>73.5</v>
          </cell>
          <cell r="S50">
            <v>74.099999999999994</v>
          </cell>
          <cell r="T50">
            <v>75.566999999999993</v>
          </cell>
          <cell r="U50">
            <v>76.951999999999998</v>
          </cell>
          <cell r="V50">
            <v>78.260000000000005</v>
          </cell>
          <cell r="W50">
            <v>79.492000000000004</v>
          </cell>
          <cell r="X50">
            <v>80.653999999999996</v>
          </cell>
          <cell r="Y50">
            <v>81.748000000000005</v>
          </cell>
          <cell r="Z50">
            <v>82.778999999999996</v>
          </cell>
          <cell r="AA50">
            <v>83.75</v>
          </cell>
          <cell r="AB50">
            <v>84.665000000000006</v>
          </cell>
          <cell r="AC50">
            <v>85.525999999999996</v>
          </cell>
          <cell r="AD50">
            <v>86.337000000000003</v>
          </cell>
          <cell r="AE50">
            <v>87.100999999999999</v>
          </cell>
          <cell r="AF50">
            <v>87.820999999999998</v>
          </cell>
          <cell r="AG50">
            <v>88.498999999999995</v>
          </cell>
          <cell r="AH50">
            <v>89.137</v>
          </cell>
          <cell r="AI50">
            <v>89.739000000000004</v>
          </cell>
        </row>
        <row r="51">
          <cell r="B51" t="str">
            <v>Germany</v>
          </cell>
          <cell r="E51">
            <v>67.900000000000006</v>
          </cell>
          <cell r="F51">
            <v>69.7</v>
          </cell>
          <cell r="G51">
            <v>71.400000000000006</v>
          </cell>
          <cell r="H51">
            <v>72</v>
          </cell>
          <cell r="I51">
            <v>72.3</v>
          </cell>
          <cell r="J51">
            <v>72.599999999999994</v>
          </cell>
          <cell r="K51">
            <v>72.8</v>
          </cell>
          <cell r="L51">
            <v>72.7</v>
          </cell>
          <cell r="M51">
            <v>73.099999999999994</v>
          </cell>
          <cell r="N51">
            <v>73.900000000000006</v>
          </cell>
          <cell r="O51">
            <v>75</v>
          </cell>
          <cell r="P51">
            <v>76</v>
          </cell>
          <cell r="Q51">
            <v>77</v>
          </cell>
          <cell r="R51">
            <v>77.2</v>
          </cell>
          <cell r="S51">
            <v>77.5</v>
          </cell>
          <cell r="T51">
            <v>79.096999999999994</v>
          </cell>
          <cell r="U51">
            <v>80.566000000000003</v>
          </cell>
          <cell r="V51">
            <v>81.918999999999997</v>
          </cell>
          <cell r="W51">
            <v>83.165999999999997</v>
          </cell>
          <cell r="X51">
            <v>84.314999999999998</v>
          </cell>
          <cell r="Y51">
            <v>85.376000000000005</v>
          </cell>
          <cell r="Z51">
            <v>86.355000000000004</v>
          </cell>
          <cell r="AA51">
            <v>87.26</v>
          </cell>
          <cell r="AB51">
            <v>88.096999999999994</v>
          </cell>
          <cell r="AC51">
            <v>88.872</v>
          </cell>
          <cell r="AD51">
            <v>89.590999999999994</v>
          </cell>
          <cell r="AE51">
            <v>90.257999999999996</v>
          </cell>
          <cell r="AF51">
            <v>90.876000000000005</v>
          </cell>
          <cell r="AG51">
            <v>91.451999999999998</v>
          </cell>
          <cell r="AH51">
            <v>91.986999999999995</v>
          </cell>
          <cell r="AI51">
            <v>92.484999999999999</v>
          </cell>
        </row>
        <row r="52">
          <cell r="B52" t="str">
            <v>Djibouti</v>
          </cell>
          <cell r="E52">
            <v>39.799999999999997</v>
          </cell>
          <cell r="F52">
            <v>45</v>
          </cell>
          <cell r="G52">
            <v>50.3</v>
          </cell>
          <cell r="H52">
            <v>56.1</v>
          </cell>
          <cell r="I52">
            <v>61.8</v>
          </cell>
          <cell r="J52">
            <v>67.099999999999994</v>
          </cell>
          <cell r="K52">
            <v>72.099999999999994</v>
          </cell>
          <cell r="L52">
            <v>74.900000000000006</v>
          </cell>
          <cell r="M52">
            <v>76</v>
          </cell>
          <cell r="N52">
            <v>76.3</v>
          </cell>
          <cell r="O52">
            <v>76.5</v>
          </cell>
          <cell r="P52">
            <v>76.8</v>
          </cell>
          <cell r="Q52">
            <v>77</v>
          </cell>
          <cell r="R52">
            <v>77.400000000000006</v>
          </cell>
          <cell r="S52">
            <v>78.099999999999994</v>
          </cell>
          <cell r="T52">
            <v>79.611999999999995</v>
          </cell>
          <cell r="U52">
            <v>81.010999999999996</v>
          </cell>
          <cell r="V52">
            <v>82.305000000000007</v>
          </cell>
          <cell r="W52">
            <v>83.501999999999995</v>
          </cell>
          <cell r="X52">
            <v>84.611000000000004</v>
          </cell>
          <cell r="Y52">
            <v>85.638000000000005</v>
          </cell>
          <cell r="Z52">
            <v>86.59</v>
          </cell>
          <cell r="AA52">
            <v>87.471999999999994</v>
          </cell>
          <cell r="AB52">
            <v>88.290999999999997</v>
          </cell>
          <cell r="AC52">
            <v>89.051000000000002</v>
          </cell>
          <cell r="AD52">
            <v>89.757000000000005</v>
          </cell>
          <cell r="AE52">
            <v>90.414000000000001</v>
          </cell>
          <cell r="AF52">
            <v>91.025000000000006</v>
          </cell>
          <cell r="AG52">
            <v>91.593000000000004</v>
          </cell>
          <cell r="AH52">
            <v>92.123000000000005</v>
          </cell>
          <cell r="AI52">
            <v>92.616</v>
          </cell>
        </row>
        <row r="53">
          <cell r="B53" t="str">
            <v>Dominica</v>
          </cell>
          <cell r="E53">
            <v>34.700000000000003</v>
          </cell>
          <cell r="F53">
            <v>36.299999999999997</v>
          </cell>
          <cell r="G53">
            <v>37.799999999999997</v>
          </cell>
          <cell r="H53">
            <v>38.200000000000003</v>
          </cell>
          <cell r="I53">
            <v>38.700000000000003</v>
          </cell>
          <cell r="J53">
            <v>42.7</v>
          </cell>
          <cell r="K53">
            <v>46.8</v>
          </cell>
          <cell r="L53">
            <v>54.7</v>
          </cell>
          <cell r="M53">
            <v>63.1</v>
          </cell>
          <cell r="N53">
            <v>64.8</v>
          </cell>
          <cell r="O53">
            <v>65.3</v>
          </cell>
          <cell r="P53">
            <v>66.599999999999994</v>
          </cell>
          <cell r="Q53">
            <v>68.099999999999994</v>
          </cell>
          <cell r="R53">
            <v>69.599999999999994</v>
          </cell>
          <cell r="S53">
            <v>71.099999999999994</v>
          </cell>
          <cell r="T53">
            <v>72.878</v>
          </cell>
          <cell r="U53">
            <v>74.569000000000003</v>
          </cell>
          <cell r="V53">
            <v>76.171000000000006</v>
          </cell>
          <cell r="W53">
            <v>77.688000000000002</v>
          </cell>
          <cell r="X53">
            <v>79.122</v>
          </cell>
          <cell r="Y53">
            <v>80.474000000000004</v>
          </cell>
          <cell r="Z53">
            <v>81.748000000000005</v>
          </cell>
          <cell r="AA53">
            <v>82.947000000000003</v>
          </cell>
          <cell r="AB53">
            <v>84.073999999999998</v>
          </cell>
          <cell r="AC53">
            <v>85.132000000000005</v>
          </cell>
          <cell r="AD53">
            <v>86.123999999999995</v>
          </cell>
          <cell r="AE53">
            <v>87.055000000000007</v>
          </cell>
          <cell r="AF53">
            <v>87.926000000000002</v>
          </cell>
          <cell r="AG53">
            <v>88.742000000000004</v>
          </cell>
          <cell r="AH53">
            <v>89.504999999999995</v>
          </cell>
          <cell r="AI53">
            <v>90.218000000000004</v>
          </cell>
        </row>
        <row r="54">
          <cell r="B54" t="str">
            <v>Denmark</v>
          </cell>
          <cell r="E54">
            <v>68</v>
          </cell>
          <cell r="F54">
            <v>69.599999999999994</v>
          </cell>
          <cell r="G54">
            <v>73.7</v>
          </cell>
          <cell r="H54">
            <v>77</v>
          </cell>
          <cell r="I54">
            <v>79.7</v>
          </cell>
          <cell r="J54">
            <v>82.1</v>
          </cell>
          <cell r="K54">
            <v>83.7</v>
          </cell>
          <cell r="L54">
            <v>84.4</v>
          </cell>
          <cell r="M54">
            <v>84.8</v>
          </cell>
          <cell r="N54">
            <v>85</v>
          </cell>
          <cell r="O54">
            <v>85.1</v>
          </cell>
          <cell r="P54">
            <v>85.9</v>
          </cell>
          <cell r="Q54">
            <v>86.8</v>
          </cell>
          <cell r="R54">
            <v>87.5</v>
          </cell>
          <cell r="S54">
            <v>88.1</v>
          </cell>
          <cell r="T54">
            <v>88.899000000000001</v>
          </cell>
          <cell r="U54">
            <v>89.67</v>
          </cell>
          <cell r="V54">
            <v>90.411000000000001</v>
          </cell>
          <cell r="W54">
            <v>91.119</v>
          </cell>
          <cell r="X54">
            <v>91.793000000000006</v>
          </cell>
          <cell r="Y54">
            <v>92.432000000000002</v>
          </cell>
          <cell r="Z54">
            <v>93.036000000000001</v>
          </cell>
          <cell r="AA54">
            <v>93.603999999999999</v>
          </cell>
          <cell r="AB54">
            <v>94.137</v>
          </cell>
          <cell r="AC54">
            <v>94.635000000000005</v>
          </cell>
          <cell r="AD54">
            <v>95.099000000000004</v>
          </cell>
          <cell r="AE54">
            <v>95.528999999999996</v>
          </cell>
          <cell r="AF54">
            <v>95.927999999999997</v>
          </cell>
          <cell r="AG54">
            <v>96.296000000000006</v>
          </cell>
          <cell r="AH54">
            <v>96.635000000000005</v>
          </cell>
          <cell r="AI54">
            <v>96.947000000000003</v>
          </cell>
        </row>
        <row r="55">
          <cell r="B55" t="str">
            <v>Dominican Republic</v>
          </cell>
          <cell r="E55">
            <v>23.7</v>
          </cell>
          <cell r="F55">
            <v>26.8</v>
          </cell>
          <cell r="G55">
            <v>30.2</v>
          </cell>
          <cell r="H55">
            <v>35.1</v>
          </cell>
          <cell r="I55">
            <v>40.299999999999997</v>
          </cell>
          <cell r="J55">
            <v>45.7</v>
          </cell>
          <cell r="K55">
            <v>51.3</v>
          </cell>
          <cell r="L55">
            <v>53.9</v>
          </cell>
          <cell r="M55">
            <v>55.2</v>
          </cell>
          <cell r="N55">
            <v>57.6</v>
          </cell>
          <cell r="O55">
            <v>61.8</v>
          </cell>
          <cell r="P55">
            <v>67.400000000000006</v>
          </cell>
          <cell r="Q55">
            <v>73.8</v>
          </cell>
          <cell r="R55">
            <v>78.599999999999994</v>
          </cell>
          <cell r="S55">
            <v>82.5</v>
          </cell>
          <cell r="T55">
            <v>83.659000000000006</v>
          </cell>
          <cell r="U55">
            <v>84.805000000000007</v>
          </cell>
          <cell r="V55">
            <v>85.93</v>
          </cell>
          <cell r="W55">
            <v>87.027000000000001</v>
          </cell>
          <cell r="X55">
            <v>88.087999999999994</v>
          </cell>
          <cell r="Y55">
            <v>89.108000000000004</v>
          </cell>
          <cell r="Z55">
            <v>90.081000000000003</v>
          </cell>
          <cell r="AA55">
            <v>91.001999999999995</v>
          </cell>
          <cell r="AB55">
            <v>91.869</v>
          </cell>
          <cell r="AC55">
            <v>92.677999999999997</v>
          </cell>
          <cell r="AD55">
            <v>93.429000000000002</v>
          </cell>
          <cell r="AE55">
            <v>94.122</v>
          </cell>
          <cell r="AF55">
            <v>94.757000000000005</v>
          </cell>
          <cell r="AG55">
            <v>95.335999999999999</v>
          </cell>
          <cell r="AH55">
            <v>95.861999999999995</v>
          </cell>
          <cell r="AI55">
            <v>96.337000000000003</v>
          </cell>
        </row>
        <row r="56">
          <cell r="B56" t="str">
            <v>Algeria</v>
          </cell>
          <cell r="E56">
            <v>22.2</v>
          </cell>
          <cell r="F56">
            <v>26.1</v>
          </cell>
          <cell r="G56">
            <v>30.5</v>
          </cell>
          <cell r="H56">
            <v>37.6</v>
          </cell>
          <cell r="I56">
            <v>39.5</v>
          </cell>
          <cell r="J56">
            <v>40.299999999999997</v>
          </cell>
          <cell r="K56">
            <v>43.5</v>
          </cell>
          <cell r="L56">
            <v>48</v>
          </cell>
          <cell r="M56">
            <v>52.1</v>
          </cell>
          <cell r="N56">
            <v>56</v>
          </cell>
          <cell r="O56">
            <v>59.9</v>
          </cell>
          <cell r="P56">
            <v>63.8</v>
          </cell>
          <cell r="Q56">
            <v>67.5</v>
          </cell>
          <cell r="R56">
            <v>70.8</v>
          </cell>
          <cell r="S56">
            <v>73.7</v>
          </cell>
          <cell r="T56">
            <v>75.141000000000005</v>
          </cell>
          <cell r="U56">
            <v>76.510000000000005</v>
          </cell>
          <cell r="V56">
            <v>77.81</v>
          </cell>
          <cell r="W56">
            <v>79.043000000000006</v>
          </cell>
          <cell r="X56">
            <v>80.210999999999999</v>
          </cell>
          <cell r="Y56">
            <v>81.317999999999998</v>
          </cell>
          <cell r="Z56">
            <v>82.364999999999995</v>
          </cell>
          <cell r="AA56">
            <v>83.355999999999995</v>
          </cell>
          <cell r="AB56">
            <v>84.293000000000006</v>
          </cell>
          <cell r="AC56">
            <v>85.177999999999997</v>
          </cell>
          <cell r="AD56">
            <v>86.015000000000001</v>
          </cell>
          <cell r="AE56">
            <v>86.805000000000007</v>
          </cell>
          <cell r="AF56">
            <v>87.551000000000002</v>
          </cell>
          <cell r="AG56">
            <v>88.254999999999995</v>
          </cell>
          <cell r="AH56">
            <v>88.92</v>
          </cell>
          <cell r="AI56">
            <v>89.546999999999997</v>
          </cell>
        </row>
        <row r="57">
          <cell r="B57" t="str">
            <v>Ecuador</v>
          </cell>
          <cell r="E57">
            <v>28.3</v>
          </cell>
          <cell r="F57">
            <v>31</v>
          </cell>
          <cell r="G57">
            <v>33.9</v>
          </cell>
          <cell r="H57">
            <v>36.6</v>
          </cell>
          <cell r="I57">
            <v>39.299999999999997</v>
          </cell>
          <cell r="J57">
            <v>42.4</v>
          </cell>
          <cell r="K57">
            <v>47</v>
          </cell>
          <cell r="L57">
            <v>51.2</v>
          </cell>
          <cell r="M57">
            <v>55.1</v>
          </cell>
          <cell r="N57">
            <v>57.8</v>
          </cell>
          <cell r="O57">
            <v>60.3</v>
          </cell>
          <cell r="P57">
            <v>61.7</v>
          </cell>
          <cell r="Q57">
            <v>62.7</v>
          </cell>
          <cell r="R57">
            <v>63.4</v>
          </cell>
          <cell r="S57">
            <v>64.2</v>
          </cell>
          <cell r="T57">
            <v>65.712999999999994</v>
          </cell>
          <cell r="U57">
            <v>67.191999999999993</v>
          </cell>
          <cell r="V57">
            <v>68.634</v>
          </cell>
          <cell r="W57">
            <v>70.039000000000001</v>
          </cell>
          <cell r="X57">
            <v>71.405000000000001</v>
          </cell>
          <cell r="Y57">
            <v>72.730999999999995</v>
          </cell>
          <cell r="Z57">
            <v>74.015000000000001</v>
          </cell>
          <cell r="AA57">
            <v>75.257000000000005</v>
          </cell>
          <cell r="AB57">
            <v>76.456999999999994</v>
          </cell>
          <cell r="AC57">
            <v>77.614000000000004</v>
          </cell>
          <cell r="AD57">
            <v>78.728999999999999</v>
          </cell>
          <cell r="AE57">
            <v>79.801000000000002</v>
          </cell>
          <cell r="AF57">
            <v>80.83</v>
          </cell>
          <cell r="AG57">
            <v>81.817999999999998</v>
          </cell>
          <cell r="AH57">
            <v>82.765000000000001</v>
          </cell>
          <cell r="AI57">
            <v>83.671000000000006</v>
          </cell>
        </row>
        <row r="58">
          <cell r="B58" t="str">
            <v>Egypt</v>
          </cell>
          <cell r="E58">
            <v>31.9</v>
          </cell>
          <cell r="F58">
            <v>34.799999999999997</v>
          </cell>
          <cell r="G58">
            <v>37.9</v>
          </cell>
          <cell r="H58">
            <v>39.700000000000003</v>
          </cell>
          <cell r="I58">
            <v>41.5</v>
          </cell>
          <cell r="J58">
            <v>43.3</v>
          </cell>
          <cell r="K58">
            <v>43.9</v>
          </cell>
          <cell r="L58">
            <v>43.9</v>
          </cell>
          <cell r="M58">
            <v>43.5</v>
          </cell>
          <cell r="N58">
            <v>42.8</v>
          </cell>
          <cell r="O58">
            <v>42.8</v>
          </cell>
          <cell r="P58">
            <v>43</v>
          </cell>
          <cell r="Q58">
            <v>43</v>
          </cell>
          <cell r="R58">
            <v>42.8</v>
          </cell>
          <cell r="S58">
            <v>42.8</v>
          </cell>
          <cell r="T58">
            <v>45.774000000000001</v>
          </cell>
          <cell r="U58">
            <v>48.628</v>
          </cell>
          <cell r="V58">
            <v>51.348999999999997</v>
          </cell>
          <cell r="W58">
            <v>53.924999999999997</v>
          </cell>
          <cell r="X58">
            <v>56.353999999999999</v>
          </cell>
          <cell r="Y58">
            <v>58.634</v>
          </cell>
          <cell r="Z58">
            <v>60.768000000000001</v>
          </cell>
          <cell r="AA58">
            <v>62.762</v>
          </cell>
          <cell r="AB58">
            <v>64.622</v>
          </cell>
          <cell r="AC58">
            <v>66.355000000000004</v>
          </cell>
          <cell r="AD58">
            <v>67.97</v>
          </cell>
          <cell r="AE58">
            <v>69.472999999999999</v>
          </cell>
          <cell r="AF58">
            <v>70.873999999999995</v>
          </cell>
          <cell r="AG58">
            <v>72.180000000000007</v>
          </cell>
          <cell r="AH58">
            <v>73.397999999999996</v>
          </cell>
          <cell r="AI58">
            <v>74.534999999999997</v>
          </cell>
        </row>
        <row r="59">
          <cell r="B59" t="str">
            <v>Eritrea</v>
          </cell>
          <cell r="E59">
            <v>7.1</v>
          </cell>
          <cell r="F59">
            <v>8.4</v>
          </cell>
          <cell r="G59">
            <v>9.8000000000000007</v>
          </cell>
          <cell r="H59">
            <v>11.5</v>
          </cell>
          <cell r="I59">
            <v>12.7</v>
          </cell>
          <cell r="J59">
            <v>13.5</v>
          </cell>
          <cell r="K59">
            <v>14.4</v>
          </cell>
          <cell r="L59">
            <v>15.8</v>
          </cell>
          <cell r="M59">
            <v>18.899999999999999</v>
          </cell>
          <cell r="N59">
            <v>22.5</v>
          </cell>
          <cell r="O59">
            <v>26.6</v>
          </cell>
          <cell r="P59">
            <v>31.1</v>
          </cell>
          <cell r="Q59">
            <v>35.200000000000003</v>
          </cell>
          <cell r="R59">
            <v>38.200000000000003</v>
          </cell>
          <cell r="S59">
            <v>41.3</v>
          </cell>
          <cell r="T59">
            <v>44.332999999999998</v>
          </cell>
          <cell r="U59">
            <v>47.29</v>
          </cell>
          <cell r="V59">
            <v>50.149000000000001</v>
          </cell>
          <cell r="W59">
            <v>52.893999999999998</v>
          </cell>
          <cell r="X59">
            <v>55.515999999999998</v>
          </cell>
          <cell r="Y59">
            <v>58.006</v>
          </cell>
          <cell r="Z59">
            <v>60.362000000000002</v>
          </cell>
          <cell r="AA59">
            <v>62.584000000000003</v>
          </cell>
          <cell r="AB59">
            <v>64.674000000000007</v>
          </cell>
          <cell r="AC59">
            <v>66.635999999999996</v>
          </cell>
          <cell r="AD59">
            <v>68.474999999999994</v>
          </cell>
          <cell r="AE59">
            <v>70.197000000000003</v>
          </cell>
          <cell r="AF59">
            <v>71.808999999999997</v>
          </cell>
          <cell r="AG59">
            <v>73.316999999999993</v>
          </cell>
          <cell r="AH59">
            <v>74.727999999999994</v>
          </cell>
          <cell r="AI59">
            <v>76.048000000000002</v>
          </cell>
        </row>
        <row r="60">
          <cell r="B60" t="str">
            <v>Western Sahara</v>
          </cell>
          <cell r="E60">
            <v>31</v>
          </cell>
          <cell r="F60">
            <v>31.1</v>
          </cell>
          <cell r="G60">
            <v>31.2</v>
          </cell>
          <cell r="H60">
            <v>36.200000000000003</v>
          </cell>
          <cell r="I60">
            <v>42.1</v>
          </cell>
          <cell r="J60">
            <v>59.5</v>
          </cell>
          <cell r="K60">
            <v>75.7</v>
          </cell>
          <cell r="L60">
            <v>82.3</v>
          </cell>
          <cell r="M60">
            <v>84.1</v>
          </cell>
          <cell r="N60">
            <v>85.5</v>
          </cell>
          <cell r="O60">
            <v>85.8</v>
          </cell>
          <cell r="P60">
            <v>86</v>
          </cell>
          <cell r="Q60">
            <v>86.3</v>
          </cell>
          <cell r="R60">
            <v>86.5</v>
          </cell>
          <cell r="S60">
            <v>86.8</v>
          </cell>
          <cell r="T60">
            <v>87.756</v>
          </cell>
          <cell r="U60">
            <v>88.646000000000001</v>
          </cell>
          <cell r="V60">
            <v>89.471999999999994</v>
          </cell>
          <cell r="W60">
            <v>90.24</v>
          </cell>
          <cell r="X60">
            <v>90.953000000000003</v>
          </cell>
          <cell r="Y60">
            <v>91.614999999999995</v>
          </cell>
          <cell r="Z60">
            <v>92.228999999999999</v>
          </cell>
          <cell r="AA60">
            <v>92.798000000000002</v>
          </cell>
          <cell r="AB60">
            <v>93.326999999999998</v>
          </cell>
          <cell r="AC60">
            <v>93.816999999999993</v>
          </cell>
          <cell r="AD60">
            <v>94.271000000000001</v>
          </cell>
          <cell r="AE60">
            <v>94.691999999999993</v>
          </cell>
          <cell r="AF60">
            <v>95.082999999999998</v>
          </cell>
          <cell r="AG60">
            <v>95.444999999999993</v>
          </cell>
          <cell r="AH60">
            <v>95.78</v>
          </cell>
          <cell r="AI60">
            <v>96.090999999999994</v>
          </cell>
        </row>
        <row r="61">
          <cell r="B61" t="str">
            <v>Spain</v>
          </cell>
          <cell r="E61">
            <v>51.9</v>
          </cell>
          <cell r="F61">
            <v>54.2</v>
          </cell>
          <cell r="G61">
            <v>56.6</v>
          </cell>
          <cell r="H61">
            <v>61.3</v>
          </cell>
          <cell r="I61">
            <v>66</v>
          </cell>
          <cell r="J61">
            <v>69.599999999999994</v>
          </cell>
          <cell r="K61">
            <v>72.8</v>
          </cell>
          <cell r="L61">
            <v>74.2</v>
          </cell>
          <cell r="M61">
            <v>75.400000000000006</v>
          </cell>
          <cell r="N61">
            <v>75.900000000000006</v>
          </cell>
          <cell r="O61">
            <v>76.3</v>
          </cell>
          <cell r="P61">
            <v>77.3</v>
          </cell>
          <cell r="Q61">
            <v>78.400000000000006</v>
          </cell>
          <cell r="R61">
            <v>79.599999999999994</v>
          </cell>
          <cell r="S61">
            <v>80.8</v>
          </cell>
          <cell r="T61">
            <v>81.760999999999996</v>
          </cell>
          <cell r="U61">
            <v>82.739000000000004</v>
          </cell>
          <cell r="V61">
            <v>83.728999999999999</v>
          </cell>
          <cell r="W61">
            <v>84.724999999999994</v>
          </cell>
          <cell r="X61">
            <v>85.72</v>
          </cell>
          <cell r="Y61">
            <v>86.706000000000003</v>
          </cell>
          <cell r="Z61">
            <v>87.677000000000007</v>
          </cell>
          <cell r="AA61">
            <v>88.625</v>
          </cell>
          <cell r="AB61">
            <v>89.546000000000006</v>
          </cell>
          <cell r="AC61">
            <v>90.432000000000002</v>
          </cell>
          <cell r="AD61">
            <v>91.278999999999996</v>
          </cell>
          <cell r="AE61">
            <v>92.081999999999994</v>
          </cell>
          <cell r="AF61">
            <v>92.838999999999999</v>
          </cell>
          <cell r="AG61">
            <v>93.546999999999997</v>
          </cell>
          <cell r="AH61">
            <v>94.204999999999998</v>
          </cell>
          <cell r="AI61">
            <v>94.813000000000002</v>
          </cell>
        </row>
        <row r="62">
          <cell r="B62" t="str">
            <v>Estonia</v>
          </cell>
          <cell r="E62">
            <v>49.7</v>
          </cell>
          <cell r="F62">
            <v>53.6</v>
          </cell>
          <cell r="G62">
            <v>57.5</v>
          </cell>
          <cell r="H62">
            <v>61.3</v>
          </cell>
          <cell r="I62">
            <v>64.900000000000006</v>
          </cell>
          <cell r="J62">
            <v>67.599999999999994</v>
          </cell>
          <cell r="K62">
            <v>69.7</v>
          </cell>
          <cell r="L62">
            <v>70.8</v>
          </cell>
          <cell r="M62">
            <v>71.2</v>
          </cell>
          <cell r="N62">
            <v>70.3</v>
          </cell>
          <cell r="O62">
            <v>69.400000000000006</v>
          </cell>
          <cell r="P62">
            <v>68.7</v>
          </cell>
          <cell r="Q62">
            <v>68.099999999999994</v>
          </cell>
          <cell r="R62">
            <v>68.400000000000006</v>
          </cell>
          <cell r="S62">
            <v>69.2</v>
          </cell>
          <cell r="T62">
            <v>70.852000000000004</v>
          </cell>
          <cell r="U62">
            <v>72.44</v>
          </cell>
          <cell r="V62">
            <v>73.965000000000003</v>
          </cell>
          <cell r="W62">
            <v>75.424999999999997</v>
          </cell>
          <cell r="X62">
            <v>76.820999999999998</v>
          </cell>
          <cell r="Y62">
            <v>78.153000000000006</v>
          </cell>
          <cell r="Z62">
            <v>79.423000000000002</v>
          </cell>
          <cell r="AA62">
            <v>80.631</v>
          </cell>
          <cell r="AB62">
            <v>81.778999999999996</v>
          </cell>
          <cell r="AC62">
            <v>82.867999999999995</v>
          </cell>
          <cell r="AD62">
            <v>83.900999999999996</v>
          </cell>
          <cell r="AE62">
            <v>84.879000000000005</v>
          </cell>
          <cell r="AF62">
            <v>85.804000000000002</v>
          </cell>
          <cell r="AG62">
            <v>86.677999999999997</v>
          </cell>
          <cell r="AH62">
            <v>87.503</v>
          </cell>
          <cell r="AI62">
            <v>88.281000000000006</v>
          </cell>
        </row>
        <row r="63">
          <cell r="B63" t="str">
            <v>Ethiopia</v>
          </cell>
          <cell r="E63">
            <v>4.5999999999999996</v>
          </cell>
          <cell r="F63">
            <v>5.4</v>
          </cell>
          <cell r="G63">
            <v>6.4</v>
          </cell>
          <cell r="H63">
            <v>7.6</v>
          </cell>
          <cell r="I63">
            <v>8.6</v>
          </cell>
          <cell r="J63">
            <v>9.5</v>
          </cell>
          <cell r="K63">
            <v>10.4</v>
          </cell>
          <cell r="L63">
            <v>11.5</v>
          </cell>
          <cell r="M63">
            <v>12.6</v>
          </cell>
          <cell r="N63">
            <v>13.8</v>
          </cell>
          <cell r="O63">
            <v>14.7</v>
          </cell>
          <cell r="P63">
            <v>15.7</v>
          </cell>
          <cell r="Q63">
            <v>17.3</v>
          </cell>
          <cell r="R63">
            <v>19.399999999999999</v>
          </cell>
          <cell r="S63">
            <v>21.7</v>
          </cell>
          <cell r="T63">
            <v>23.808</v>
          </cell>
          <cell r="U63">
            <v>26.015000000000001</v>
          </cell>
          <cell r="V63">
            <v>28.311</v>
          </cell>
          <cell r="W63">
            <v>30.681000000000001</v>
          </cell>
          <cell r="X63">
            <v>33.11</v>
          </cell>
          <cell r="Y63">
            <v>35.582000000000001</v>
          </cell>
          <cell r="Z63">
            <v>38.081000000000003</v>
          </cell>
          <cell r="AA63">
            <v>40.590000000000003</v>
          </cell>
          <cell r="AB63">
            <v>43.093000000000004</v>
          </cell>
          <cell r="AC63">
            <v>45.576000000000001</v>
          </cell>
          <cell r="AD63">
            <v>48.026000000000003</v>
          </cell>
          <cell r="AE63">
            <v>50.429000000000002</v>
          </cell>
          <cell r="AF63">
            <v>52.777000000000001</v>
          </cell>
          <cell r="AG63">
            <v>55.06</v>
          </cell>
          <cell r="AH63">
            <v>57.271000000000001</v>
          </cell>
          <cell r="AI63">
            <v>59.405000000000001</v>
          </cell>
        </row>
        <row r="64">
          <cell r="B64" t="str">
            <v>Finland</v>
          </cell>
          <cell r="E64">
            <v>43</v>
          </cell>
          <cell r="F64">
            <v>49.1</v>
          </cell>
          <cell r="G64">
            <v>55.3</v>
          </cell>
          <cell r="H64">
            <v>59.7</v>
          </cell>
          <cell r="I64">
            <v>63.7</v>
          </cell>
          <cell r="J64">
            <v>67.8</v>
          </cell>
          <cell r="K64">
            <v>71.7</v>
          </cell>
          <cell r="L64">
            <v>75.8</v>
          </cell>
          <cell r="M64">
            <v>79.400000000000006</v>
          </cell>
          <cell r="N64">
            <v>81</v>
          </cell>
          <cell r="O64">
            <v>82.2</v>
          </cell>
          <cell r="P64">
            <v>82.9</v>
          </cell>
          <cell r="Q64">
            <v>83.8</v>
          </cell>
          <cell r="R64">
            <v>85.2</v>
          </cell>
          <cell r="S64">
            <v>85.5</v>
          </cell>
          <cell r="T64">
            <v>86.813000000000002</v>
          </cell>
          <cell r="U64">
            <v>87.936000000000007</v>
          </cell>
          <cell r="V64">
            <v>88.906000000000006</v>
          </cell>
          <cell r="W64">
            <v>89.751999999999995</v>
          </cell>
          <cell r="X64">
            <v>90.495000000000005</v>
          </cell>
          <cell r="Y64">
            <v>91.150999999999996</v>
          </cell>
          <cell r="Z64">
            <v>91.734999999999999</v>
          </cell>
          <cell r="AA64">
            <v>92.257999999999996</v>
          </cell>
          <cell r="AB64">
            <v>92.727999999999994</v>
          </cell>
          <cell r="AC64">
            <v>93.153000000000006</v>
          </cell>
          <cell r="AD64">
            <v>93.539000000000001</v>
          </cell>
          <cell r="AE64">
            <v>93.89</v>
          </cell>
          <cell r="AF64">
            <v>94.212000000000003</v>
          </cell>
          <cell r="AG64">
            <v>94.507000000000005</v>
          </cell>
          <cell r="AH64">
            <v>94.778999999999996</v>
          </cell>
          <cell r="AI64">
            <v>95.03</v>
          </cell>
        </row>
        <row r="65">
          <cell r="B65" t="str">
            <v>Fiji</v>
          </cell>
          <cell r="E65">
            <v>24.4</v>
          </cell>
          <cell r="F65">
            <v>26.9</v>
          </cell>
          <cell r="G65">
            <v>29.7</v>
          </cell>
          <cell r="H65">
            <v>32.6</v>
          </cell>
          <cell r="I65">
            <v>34.799999999999997</v>
          </cell>
          <cell r="J65">
            <v>36.700000000000003</v>
          </cell>
          <cell r="K65">
            <v>37.799999999999997</v>
          </cell>
          <cell r="L65">
            <v>38.5</v>
          </cell>
          <cell r="M65">
            <v>41.6</v>
          </cell>
          <cell r="N65">
            <v>45.5</v>
          </cell>
          <cell r="O65">
            <v>47.9</v>
          </cell>
          <cell r="P65">
            <v>49.9</v>
          </cell>
          <cell r="Q65">
            <v>52.2</v>
          </cell>
          <cell r="R65">
            <v>54.7</v>
          </cell>
          <cell r="S65">
            <v>57.2</v>
          </cell>
          <cell r="T65">
            <v>59.673000000000002</v>
          </cell>
          <cell r="U65">
            <v>61.975000000000001</v>
          </cell>
          <cell r="V65">
            <v>64.111999999999995</v>
          </cell>
          <cell r="W65">
            <v>66.091999999999999</v>
          </cell>
          <cell r="X65">
            <v>67.927000000000007</v>
          </cell>
          <cell r="Y65">
            <v>69.626000000000005</v>
          </cell>
          <cell r="Z65">
            <v>71.198999999999998</v>
          </cell>
          <cell r="AA65">
            <v>72.656000000000006</v>
          </cell>
          <cell r="AB65">
            <v>74.007000000000005</v>
          </cell>
          <cell r="AC65">
            <v>75.260999999999996</v>
          </cell>
          <cell r="AD65">
            <v>76.426000000000002</v>
          </cell>
          <cell r="AE65">
            <v>77.509</v>
          </cell>
          <cell r="AF65">
            <v>78.518000000000001</v>
          </cell>
          <cell r="AG65">
            <v>79.459000000000003</v>
          </cell>
          <cell r="AH65">
            <v>80.337000000000003</v>
          </cell>
          <cell r="AI65">
            <v>81.158000000000001</v>
          </cell>
        </row>
        <row r="66">
          <cell r="B66" t="str">
            <v>Falkland Islands (Malvinas)</v>
          </cell>
          <cell r="E66">
            <v>51.1</v>
          </cell>
          <cell r="F66">
            <v>50.8</v>
          </cell>
          <cell r="G66">
            <v>50.5</v>
          </cell>
          <cell r="H66">
            <v>51.8</v>
          </cell>
          <cell r="I66">
            <v>54</v>
          </cell>
          <cell r="J66">
            <v>56.3</v>
          </cell>
          <cell r="K66">
            <v>58.7</v>
          </cell>
          <cell r="L66">
            <v>64</v>
          </cell>
          <cell r="M66">
            <v>74.2</v>
          </cell>
          <cell r="N66">
            <v>66</v>
          </cell>
          <cell r="O66">
            <v>67.599999999999994</v>
          </cell>
          <cell r="P66">
            <v>70.8</v>
          </cell>
          <cell r="Q66">
            <v>73.7</v>
          </cell>
          <cell r="R66">
            <v>76.3</v>
          </cell>
          <cell r="S66">
            <v>78.5</v>
          </cell>
          <cell r="T66">
            <v>80.03</v>
          </cell>
          <cell r="U66">
            <v>81.430000000000007</v>
          </cell>
          <cell r="V66">
            <v>82.712000000000003</v>
          </cell>
          <cell r="W66">
            <v>83.888000000000005</v>
          </cell>
          <cell r="X66">
            <v>84.968000000000004</v>
          </cell>
          <cell r="Y66">
            <v>85.960999999999999</v>
          </cell>
          <cell r="Z66">
            <v>86.876000000000005</v>
          </cell>
          <cell r="AA66">
            <v>87.718999999999994</v>
          </cell>
          <cell r="AB66">
            <v>88.498000000000005</v>
          </cell>
          <cell r="AC66">
            <v>89.218999999999994</v>
          </cell>
          <cell r="AD66">
            <v>89.885999999999996</v>
          </cell>
          <cell r="AE66">
            <v>90.504000000000005</v>
          </cell>
          <cell r="AF66">
            <v>91.078999999999994</v>
          </cell>
          <cell r="AG66">
            <v>91.611999999999995</v>
          </cell>
          <cell r="AH66">
            <v>92.108999999999995</v>
          </cell>
          <cell r="AI66">
            <v>92.572000000000003</v>
          </cell>
        </row>
        <row r="67">
          <cell r="B67" t="str">
            <v>France</v>
          </cell>
          <cell r="E67">
            <v>55.2</v>
          </cell>
          <cell r="F67">
            <v>58.2</v>
          </cell>
          <cell r="G67">
            <v>61.9</v>
          </cell>
          <cell r="H67">
            <v>67.099999999999994</v>
          </cell>
          <cell r="I67">
            <v>71.099999999999994</v>
          </cell>
          <cell r="J67">
            <v>72.900000000000006</v>
          </cell>
          <cell r="K67">
            <v>73.3</v>
          </cell>
          <cell r="L67">
            <v>73.7</v>
          </cell>
          <cell r="M67">
            <v>74.099999999999994</v>
          </cell>
          <cell r="N67">
            <v>74.900000000000006</v>
          </cell>
          <cell r="O67">
            <v>75.900000000000006</v>
          </cell>
          <cell r="P67">
            <v>77.099999999999994</v>
          </cell>
          <cell r="Q67">
            <v>78.400000000000006</v>
          </cell>
          <cell r="R67">
            <v>79.7</v>
          </cell>
          <cell r="S67">
            <v>81</v>
          </cell>
          <cell r="T67">
            <v>81.953000000000003</v>
          </cell>
          <cell r="U67">
            <v>82.927000000000007</v>
          </cell>
          <cell r="V67">
            <v>83.915999999999997</v>
          </cell>
          <cell r="W67">
            <v>84.912000000000006</v>
          </cell>
          <cell r="X67">
            <v>85.909000000000006</v>
          </cell>
          <cell r="Y67">
            <v>86.899000000000001</v>
          </cell>
          <cell r="Z67">
            <v>87.876000000000005</v>
          </cell>
          <cell r="AA67">
            <v>88.83</v>
          </cell>
          <cell r="AB67">
            <v>89.756</v>
          </cell>
          <cell r="AC67">
            <v>90.647999999999996</v>
          </cell>
          <cell r="AD67">
            <v>91.498999999999995</v>
          </cell>
          <cell r="AE67">
            <v>92.305000000000007</v>
          </cell>
          <cell r="AF67">
            <v>93.063000000000002</v>
          </cell>
          <cell r="AG67">
            <v>93.771000000000001</v>
          </cell>
          <cell r="AH67">
            <v>94.427000000000007</v>
          </cell>
          <cell r="AI67">
            <v>95.03</v>
          </cell>
        </row>
        <row r="68">
          <cell r="B68" t="str">
            <v>Faroe Islands</v>
          </cell>
          <cell r="E68">
            <v>17.399999999999999</v>
          </cell>
          <cell r="F68">
            <v>18.600000000000001</v>
          </cell>
          <cell r="G68">
            <v>21.4</v>
          </cell>
          <cell r="H68">
            <v>25.6</v>
          </cell>
          <cell r="I68">
            <v>28</v>
          </cell>
          <cell r="J68">
            <v>30.3</v>
          </cell>
          <cell r="K68">
            <v>31.2</v>
          </cell>
          <cell r="L68">
            <v>30.8</v>
          </cell>
          <cell r="M68">
            <v>30.6</v>
          </cell>
          <cell r="N68">
            <v>34.1</v>
          </cell>
          <cell r="O68">
            <v>36.299999999999997</v>
          </cell>
          <cell r="P68">
            <v>39.799999999999997</v>
          </cell>
          <cell r="Q68">
            <v>40.9</v>
          </cell>
          <cell r="R68">
            <v>41.6</v>
          </cell>
          <cell r="S68">
            <v>42.4</v>
          </cell>
          <cell r="T68">
            <v>45.335000000000001</v>
          </cell>
          <cell r="U68">
            <v>48.195</v>
          </cell>
          <cell r="V68">
            <v>50.960999999999999</v>
          </cell>
          <cell r="W68">
            <v>53.62</v>
          </cell>
          <cell r="X68">
            <v>56.162999999999997</v>
          </cell>
          <cell r="Y68">
            <v>58.582000000000001</v>
          </cell>
          <cell r="Z68">
            <v>60.875999999999998</v>
          </cell>
          <cell r="AA68">
            <v>63.045000000000002</v>
          </cell>
          <cell r="AB68">
            <v>65.088999999999999</v>
          </cell>
          <cell r="AC68">
            <v>67.013000000000005</v>
          </cell>
          <cell r="AD68">
            <v>68.820999999999998</v>
          </cell>
          <cell r="AE68">
            <v>70.518000000000001</v>
          </cell>
          <cell r="AF68">
            <v>72.11</v>
          </cell>
          <cell r="AG68">
            <v>73.602000000000004</v>
          </cell>
          <cell r="AH68">
            <v>75.001000000000005</v>
          </cell>
          <cell r="AI68">
            <v>76.313000000000002</v>
          </cell>
        </row>
        <row r="69">
          <cell r="B69" t="str">
            <v>Micronesia</v>
          </cell>
          <cell r="E69">
            <v>20</v>
          </cell>
          <cell r="F69">
            <v>21.1</v>
          </cell>
          <cell r="G69">
            <v>22.3</v>
          </cell>
          <cell r="H69">
            <v>23.5</v>
          </cell>
          <cell r="I69">
            <v>24.8</v>
          </cell>
          <cell r="J69">
            <v>25.9</v>
          </cell>
          <cell r="K69">
            <v>26.4</v>
          </cell>
          <cell r="L69">
            <v>26.1</v>
          </cell>
          <cell r="M69">
            <v>25.8</v>
          </cell>
          <cell r="N69">
            <v>25.1</v>
          </cell>
          <cell r="O69">
            <v>22.3</v>
          </cell>
          <cell r="P69">
            <v>22.3</v>
          </cell>
          <cell r="Q69">
            <v>22.3</v>
          </cell>
          <cell r="R69">
            <v>22.5</v>
          </cell>
          <cell r="S69">
            <v>22.9</v>
          </cell>
          <cell r="T69">
            <v>25.167000000000002</v>
          </cell>
          <cell r="U69">
            <v>27.529</v>
          </cell>
          <cell r="V69">
            <v>29.971</v>
          </cell>
          <cell r="W69">
            <v>32.472999999999999</v>
          </cell>
          <cell r="X69">
            <v>35.018999999999998</v>
          </cell>
          <cell r="Y69">
            <v>37.588000000000001</v>
          </cell>
          <cell r="Z69">
            <v>40.162999999999997</v>
          </cell>
          <cell r="AA69">
            <v>42.725000000000001</v>
          </cell>
          <cell r="AB69">
            <v>45.258000000000003</v>
          </cell>
          <cell r="AC69">
            <v>47.747</v>
          </cell>
          <cell r="AD69">
            <v>50.180999999999997</v>
          </cell>
          <cell r="AE69">
            <v>52.548000000000002</v>
          </cell>
          <cell r="AF69">
            <v>54.84</v>
          </cell>
          <cell r="AG69">
            <v>57.051000000000002</v>
          </cell>
          <cell r="AH69">
            <v>59.177</v>
          </cell>
          <cell r="AI69">
            <v>61.215000000000003</v>
          </cell>
        </row>
        <row r="70">
          <cell r="B70" t="str">
            <v>Gabon</v>
          </cell>
          <cell r="E70">
            <v>11.4</v>
          </cell>
          <cell r="F70">
            <v>14.1</v>
          </cell>
          <cell r="G70">
            <v>17.399999999999999</v>
          </cell>
          <cell r="H70">
            <v>23.8</v>
          </cell>
          <cell r="I70">
            <v>32</v>
          </cell>
          <cell r="J70">
            <v>43</v>
          </cell>
          <cell r="K70">
            <v>54.7</v>
          </cell>
          <cell r="L70">
            <v>62.4</v>
          </cell>
          <cell r="M70">
            <v>69.099999999999994</v>
          </cell>
          <cell r="N70">
            <v>74.8</v>
          </cell>
          <cell r="O70">
            <v>78.900000000000006</v>
          </cell>
          <cell r="P70">
            <v>82.5</v>
          </cell>
          <cell r="Q70">
            <v>85.5</v>
          </cell>
          <cell r="R70">
            <v>88.1</v>
          </cell>
          <cell r="S70">
            <v>90.1</v>
          </cell>
          <cell r="T70">
            <v>90.781999999999996</v>
          </cell>
          <cell r="U70">
            <v>91.432000000000002</v>
          </cell>
          <cell r="V70">
            <v>92.049000000000007</v>
          </cell>
          <cell r="W70">
            <v>92.634</v>
          </cell>
          <cell r="X70">
            <v>93.186999999999998</v>
          </cell>
          <cell r="Y70">
            <v>93.707999999999998</v>
          </cell>
          <cell r="Z70">
            <v>94.197000000000003</v>
          </cell>
          <cell r="AA70">
            <v>94.655000000000001</v>
          </cell>
          <cell r="AB70">
            <v>95.082999999999998</v>
          </cell>
          <cell r="AC70">
            <v>95.481999999999999</v>
          </cell>
          <cell r="AD70">
            <v>95.853999999999999</v>
          </cell>
          <cell r="AE70">
            <v>96.197999999999993</v>
          </cell>
          <cell r="AF70">
            <v>96.518000000000001</v>
          </cell>
          <cell r="AG70">
            <v>96.813000000000002</v>
          </cell>
          <cell r="AH70">
            <v>97.085999999999999</v>
          </cell>
          <cell r="AI70">
            <v>97.337999999999994</v>
          </cell>
        </row>
        <row r="71">
          <cell r="B71" t="str">
            <v>United Kingdom</v>
          </cell>
          <cell r="E71">
            <v>79</v>
          </cell>
          <cell r="F71">
            <v>78.7</v>
          </cell>
          <cell r="G71">
            <v>78.400000000000006</v>
          </cell>
          <cell r="H71">
            <v>77.8</v>
          </cell>
          <cell r="I71">
            <v>77.099999999999994</v>
          </cell>
          <cell r="J71">
            <v>77.7</v>
          </cell>
          <cell r="K71">
            <v>78.5</v>
          </cell>
          <cell r="L71">
            <v>78.400000000000006</v>
          </cell>
          <cell r="M71">
            <v>78.099999999999994</v>
          </cell>
          <cell r="N71">
            <v>78.400000000000006</v>
          </cell>
          <cell r="O71">
            <v>78.7</v>
          </cell>
          <cell r="P71">
            <v>79.900000000000006</v>
          </cell>
          <cell r="Q71">
            <v>81.3</v>
          </cell>
          <cell r="R71">
            <v>82.6</v>
          </cell>
          <cell r="S71">
            <v>83.9</v>
          </cell>
          <cell r="T71">
            <v>84.816000000000003</v>
          </cell>
          <cell r="U71">
            <v>85.738</v>
          </cell>
          <cell r="V71">
            <v>86.66</v>
          </cell>
          <cell r="W71">
            <v>87.573999999999998</v>
          </cell>
          <cell r="X71">
            <v>88.474999999999994</v>
          </cell>
          <cell r="Y71">
            <v>89.355999999999995</v>
          </cell>
          <cell r="Z71">
            <v>90.210999999999999</v>
          </cell>
          <cell r="AA71">
            <v>91.034000000000006</v>
          </cell>
          <cell r="AB71">
            <v>91.822000000000003</v>
          </cell>
          <cell r="AC71">
            <v>92.57</v>
          </cell>
          <cell r="AD71">
            <v>93.275000000000006</v>
          </cell>
          <cell r="AE71">
            <v>93.935000000000002</v>
          </cell>
          <cell r="AF71">
            <v>94.549000000000007</v>
          </cell>
          <cell r="AG71">
            <v>95.116</v>
          </cell>
          <cell r="AH71">
            <v>95.637</v>
          </cell>
          <cell r="AI71">
            <v>96.114000000000004</v>
          </cell>
        </row>
        <row r="72">
          <cell r="B72" t="str">
            <v>Georgia</v>
          </cell>
          <cell r="E72">
            <v>36.9</v>
          </cell>
          <cell r="F72">
            <v>40.1</v>
          </cell>
          <cell r="G72">
            <v>43.1</v>
          </cell>
          <cell r="H72">
            <v>45.5</v>
          </cell>
          <cell r="I72">
            <v>48</v>
          </cell>
          <cell r="J72">
            <v>50.3</v>
          </cell>
          <cell r="K72">
            <v>52.5</v>
          </cell>
          <cell r="L72">
            <v>54.2</v>
          </cell>
          <cell r="M72">
            <v>55</v>
          </cell>
          <cell r="N72">
            <v>53.8</v>
          </cell>
          <cell r="O72">
            <v>52.6</v>
          </cell>
          <cell r="P72">
            <v>53.6</v>
          </cell>
          <cell r="Q72">
            <v>55.5</v>
          </cell>
          <cell r="R72">
            <v>57.4</v>
          </cell>
          <cell r="S72">
            <v>59.5</v>
          </cell>
          <cell r="T72">
            <v>61.765000000000001</v>
          </cell>
          <cell r="U72">
            <v>63.920999999999999</v>
          </cell>
          <cell r="V72">
            <v>65.968999999999994</v>
          </cell>
          <cell r="W72">
            <v>67.91</v>
          </cell>
          <cell r="X72">
            <v>69.745000000000005</v>
          </cell>
          <cell r="Y72">
            <v>71.477000000000004</v>
          </cell>
          <cell r="Z72">
            <v>73.11</v>
          </cell>
          <cell r="AA72">
            <v>74.649000000000001</v>
          </cell>
          <cell r="AB72">
            <v>76.096999999999994</v>
          </cell>
          <cell r="AC72">
            <v>77.459999999999994</v>
          </cell>
          <cell r="AD72">
            <v>78.741</v>
          </cell>
          <cell r="AE72">
            <v>79.944999999999993</v>
          </cell>
          <cell r="AF72">
            <v>81.076999999999998</v>
          </cell>
          <cell r="AG72">
            <v>82.14</v>
          </cell>
          <cell r="AH72">
            <v>83.14</v>
          </cell>
          <cell r="AI72">
            <v>84.08</v>
          </cell>
        </row>
        <row r="73">
          <cell r="B73" t="str">
            <v>Ghana</v>
          </cell>
          <cell r="E73">
            <v>15.4</v>
          </cell>
          <cell r="F73">
            <v>19.100000000000001</v>
          </cell>
          <cell r="G73">
            <v>23.3</v>
          </cell>
          <cell r="H73">
            <v>26.1</v>
          </cell>
          <cell r="I73">
            <v>29</v>
          </cell>
          <cell r="J73">
            <v>30</v>
          </cell>
          <cell r="K73">
            <v>31.2</v>
          </cell>
          <cell r="L73">
            <v>32.9</v>
          </cell>
          <cell r="M73">
            <v>36.4</v>
          </cell>
          <cell r="N73">
            <v>40.1</v>
          </cell>
          <cell r="O73">
            <v>43.9</v>
          </cell>
          <cell r="P73">
            <v>47.3</v>
          </cell>
          <cell r="Q73">
            <v>50.7</v>
          </cell>
          <cell r="R73">
            <v>54.1</v>
          </cell>
          <cell r="S73">
            <v>57.3</v>
          </cell>
          <cell r="T73">
            <v>59.317</v>
          </cell>
          <cell r="U73">
            <v>61.220999999999997</v>
          </cell>
          <cell r="V73">
            <v>63.015000000000001</v>
          </cell>
          <cell r="W73">
            <v>64.703000000000003</v>
          </cell>
          <cell r="X73">
            <v>66.289000000000001</v>
          </cell>
          <cell r="Y73">
            <v>67.78</v>
          </cell>
          <cell r="Z73">
            <v>69.180999999999997</v>
          </cell>
          <cell r="AA73">
            <v>70.497</v>
          </cell>
          <cell r="AB73">
            <v>71.733000000000004</v>
          </cell>
          <cell r="AC73">
            <v>72.896000000000001</v>
          </cell>
          <cell r="AD73">
            <v>73.989000000000004</v>
          </cell>
          <cell r="AE73">
            <v>75.018000000000001</v>
          </cell>
          <cell r="AF73">
            <v>75.986999999999995</v>
          </cell>
          <cell r="AG73">
            <v>76.900999999999996</v>
          </cell>
          <cell r="AH73">
            <v>77.762</v>
          </cell>
          <cell r="AI73">
            <v>78.575000000000003</v>
          </cell>
        </row>
        <row r="74">
          <cell r="B74" t="str">
            <v>Guinea</v>
          </cell>
          <cell r="E74">
            <v>6.7</v>
          </cell>
          <cell r="F74">
            <v>8.4</v>
          </cell>
          <cell r="G74">
            <v>10.5</v>
          </cell>
          <cell r="H74">
            <v>13</v>
          </cell>
          <cell r="I74">
            <v>16</v>
          </cell>
          <cell r="J74">
            <v>19.5</v>
          </cell>
          <cell r="K74">
            <v>23.6</v>
          </cell>
          <cell r="L74">
            <v>26.6</v>
          </cell>
          <cell r="M74">
            <v>28</v>
          </cell>
          <cell r="N74">
            <v>29.5</v>
          </cell>
          <cell r="O74">
            <v>30.9</v>
          </cell>
          <cell r="P74">
            <v>32.299999999999997</v>
          </cell>
          <cell r="Q74">
            <v>33.700000000000003</v>
          </cell>
          <cell r="R74">
            <v>35.1</v>
          </cell>
          <cell r="S74">
            <v>36.9</v>
          </cell>
          <cell r="T74">
            <v>40.292999999999999</v>
          </cell>
          <cell r="U74">
            <v>43.597000000000001</v>
          </cell>
          <cell r="V74">
            <v>46.779000000000003</v>
          </cell>
          <cell r="W74">
            <v>49.811999999999998</v>
          </cell>
          <cell r="X74">
            <v>52.680999999999997</v>
          </cell>
          <cell r="Y74">
            <v>55.377000000000002</v>
          </cell>
          <cell r="Z74">
            <v>57.896999999999998</v>
          </cell>
          <cell r="AA74">
            <v>60.244</v>
          </cell>
          <cell r="AB74">
            <v>62.423999999999999</v>
          </cell>
          <cell r="AC74">
            <v>64.444999999999993</v>
          </cell>
          <cell r="AD74">
            <v>66.316999999999993</v>
          </cell>
          <cell r="AE74">
            <v>68.05</v>
          </cell>
          <cell r="AF74">
            <v>69.653999999999996</v>
          </cell>
          <cell r="AG74">
            <v>71.138999999999996</v>
          </cell>
          <cell r="AH74">
            <v>72.515000000000001</v>
          </cell>
          <cell r="AI74">
            <v>73.790999999999997</v>
          </cell>
        </row>
        <row r="75">
          <cell r="B75" t="str">
            <v>Guadeloupe</v>
          </cell>
          <cell r="E75">
            <v>35.799999999999997</v>
          </cell>
          <cell r="F75">
            <v>47.5</v>
          </cell>
          <cell r="G75">
            <v>59.4</v>
          </cell>
          <cell r="H75">
            <v>70.400000000000006</v>
          </cell>
          <cell r="I75">
            <v>79.400000000000006</v>
          </cell>
          <cell r="J75">
            <v>86.2</v>
          </cell>
          <cell r="K75">
            <v>91</v>
          </cell>
          <cell r="L75">
            <v>94.3</v>
          </cell>
          <cell r="M75">
            <v>96.4</v>
          </cell>
          <cell r="N75">
            <v>97.7</v>
          </cell>
          <cell r="O75">
            <v>98.4</v>
          </cell>
          <cell r="P75">
            <v>98.4</v>
          </cell>
          <cell r="Q75">
            <v>98.4</v>
          </cell>
          <cell r="R75">
            <v>98.4</v>
          </cell>
          <cell r="S75">
            <v>98.5</v>
          </cell>
          <cell r="T75">
            <v>97.456000000000003</v>
          </cell>
          <cell r="U75">
            <v>96.010999999999996</v>
          </cell>
          <cell r="V75">
            <v>94.369</v>
          </cell>
          <cell r="W75">
            <v>92.915000000000006</v>
          </cell>
          <cell r="X75">
            <v>91.923000000000002</v>
          </cell>
          <cell r="Y75">
            <v>91.378</v>
          </cell>
          <cell r="Z75">
            <v>91.119</v>
          </cell>
          <cell r="AA75">
            <v>91.004999999999995</v>
          </cell>
          <cell r="AB75">
            <v>90.956999999999994</v>
          </cell>
          <cell r="AC75">
            <v>90.936000000000007</v>
          </cell>
          <cell r="AD75">
            <v>90.927999999999997</v>
          </cell>
          <cell r="AE75">
            <v>90.924999999999997</v>
          </cell>
          <cell r="AF75">
            <v>90.923000000000002</v>
          </cell>
          <cell r="AG75">
            <v>90.923000000000002</v>
          </cell>
          <cell r="AH75">
            <v>90.921999999999997</v>
          </cell>
          <cell r="AI75">
            <v>90.921999999999997</v>
          </cell>
        </row>
        <row r="76">
          <cell r="B76" t="str">
            <v>Gambia</v>
          </cell>
          <cell r="E76">
            <v>10.3</v>
          </cell>
          <cell r="F76">
            <v>11.2</v>
          </cell>
          <cell r="G76">
            <v>12.1</v>
          </cell>
          <cell r="H76">
            <v>14.5</v>
          </cell>
          <cell r="I76">
            <v>19.5</v>
          </cell>
          <cell r="J76">
            <v>24.4</v>
          </cell>
          <cell r="K76">
            <v>28.4</v>
          </cell>
          <cell r="L76">
            <v>33</v>
          </cell>
          <cell r="M76">
            <v>38.299999999999997</v>
          </cell>
          <cell r="N76">
            <v>43.4</v>
          </cell>
          <cell r="O76">
            <v>47.9</v>
          </cell>
          <cell r="P76">
            <v>52</v>
          </cell>
          <cell r="Q76">
            <v>55.7</v>
          </cell>
          <cell r="R76">
            <v>59.2</v>
          </cell>
          <cell r="S76">
            <v>62.6</v>
          </cell>
          <cell r="T76">
            <v>64.69</v>
          </cell>
          <cell r="U76">
            <v>66.679000000000002</v>
          </cell>
          <cell r="V76">
            <v>68.566000000000003</v>
          </cell>
          <cell r="W76">
            <v>70.352999999999994</v>
          </cell>
          <cell r="X76">
            <v>72.043999999999997</v>
          </cell>
          <cell r="Y76">
            <v>73.641000000000005</v>
          </cell>
          <cell r="Z76">
            <v>75.147000000000006</v>
          </cell>
          <cell r="AA76">
            <v>76.567999999999998</v>
          </cell>
          <cell r="AB76">
            <v>77.906000000000006</v>
          </cell>
          <cell r="AC76">
            <v>79.165999999999997</v>
          </cell>
          <cell r="AD76">
            <v>80.352000000000004</v>
          </cell>
          <cell r="AE76">
            <v>81.468000000000004</v>
          </cell>
          <cell r="AF76">
            <v>82.518000000000001</v>
          </cell>
          <cell r="AG76">
            <v>83.506</v>
          </cell>
          <cell r="AH76">
            <v>84.435000000000002</v>
          </cell>
          <cell r="AI76">
            <v>85.31</v>
          </cell>
        </row>
        <row r="77">
          <cell r="B77" t="str">
            <v>Guinea-Bissau</v>
          </cell>
          <cell r="E77">
            <v>10</v>
          </cell>
          <cell r="F77">
            <v>11.7</v>
          </cell>
          <cell r="G77">
            <v>13.6</v>
          </cell>
          <cell r="H77">
            <v>14.3</v>
          </cell>
          <cell r="I77">
            <v>15.1</v>
          </cell>
          <cell r="J77">
            <v>16</v>
          </cell>
          <cell r="K77">
            <v>17.8</v>
          </cell>
          <cell r="L77">
            <v>23.7</v>
          </cell>
          <cell r="M77">
            <v>30.8</v>
          </cell>
          <cell r="N77">
            <v>34.4</v>
          </cell>
          <cell r="O77">
            <v>36.200000000000003</v>
          </cell>
          <cell r="P77">
            <v>38.200000000000003</v>
          </cell>
          <cell r="Q77">
            <v>40.1</v>
          </cell>
          <cell r="R77">
            <v>42.1</v>
          </cell>
          <cell r="S77">
            <v>44.2</v>
          </cell>
          <cell r="T77">
            <v>47.058999999999997</v>
          </cell>
          <cell r="U77">
            <v>49.856999999999999</v>
          </cell>
          <cell r="V77">
            <v>52.575000000000003</v>
          </cell>
          <cell r="W77">
            <v>55.201999999999998</v>
          </cell>
          <cell r="X77">
            <v>57.726999999999997</v>
          </cell>
          <cell r="Y77">
            <v>60.143000000000001</v>
          </cell>
          <cell r="Z77">
            <v>62.445999999999998</v>
          </cell>
          <cell r="AA77">
            <v>64.634</v>
          </cell>
          <cell r="AB77">
            <v>66.706999999999994</v>
          </cell>
          <cell r="AC77">
            <v>68.667000000000002</v>
          </cell>
          <cell r="AD77">
            <v>70.515000000000001</v>
          </cell>
          <cell r="AE77">
            <v>72.257000000000005</v>
          </cell>
          <cell r="AF77">
            <v>73.894999999999996</v>
          </cell>
          <cell r="AG77">
            <v>75.435000000000002</v>
          </cell>
          <cell r="AH77">
            <v>76.881</v>
          </cell>
          <cell r="AI77">
            <v>78.238</v>
          </cell>
        </row>
        <row r="78">
          <cell r="B78" t="str">
            <v>Equatorial Guinea</v>
          </cell>
          <cell r="E78">
            <v>15.5</v>
          </cell>
          <cell r="F78">
            <v>20.399999999999999</v>
          </cell>
          <cell r="G78">
            <v>25.5</v>
          </cell>
          <cell r="H78">
            <v>26.5</v>
          </cell>
          <cell r="I78">
            <v>27</v>
          </cell>
          <cell r="J78">
            <v>27.4</v>
          </cell>
          <cell r="K78">
            <v>27.9</v>
          </cell>
          <cell r="L78">
            <v>29.9</v>
          </cell>
          <cell r="M78">
            <v>34.700000000000003</v>
          </cell>
          <cell r="N78">
            <v>40.5</v>
          </cell>
          <cell r="O78">
            <v>49.1</v>
          </cell>
          <cell r="P78">
            <v>57.7</v>
          </cell>
          <cell r="Q78">
            <v>65.900000000000006</v>
          </cell>
          <cell r="R78">
            <v>70.599999999999994</v>
          </cell>
          <cell r="S78">
            <v>73.099999999999994</v>
          </cell>
          <cell r="T78">
            <v>74.915999999999997</v>
          </cell>
          <cell r="U78">
            <v>76.605000000000004</v>
          </cell>
          <cell r="V78">
            <v>78.173000000000002</v>
          </cell>
          <cell r="W78">
            <v>79.628</v>
          </cell>
          <cell r="X78">
            <v>80.98</v>
          </cell>
          <cell r="Y78">
            <v>82.233999999999995</v>
          </cell>
          <cell r="Z78">
            <v>83.399000000000001</v>
          </cell>
          <cell r="AA78">
            <v>84.480999999999995</v>
          </cell>
          <cell r="AB78">
            <v>85.486000000000004</v>
          </cell>
          <cell r="AC78">
            <v>86.42</v>
          </cell>
          <cell r="AD78">
            <v>87.289000000000001</v>
          </cell>
          <cell r="AE78">
            <v>88.096999999999994</v>
          </cell>
          <cell r="AF78">
            <v>88.85</v>
          </cell>
          <cell r="AG78">
            <v>89.55</v>
          </cell>
          <cell r="AH78">
            <v>90.203000000000003</v>
          </cell>
          <cell r="AI78">
            <v>90.811999999999998</v>
          </cell>
        </row>
        <row r="79">
          <cell r="B79" t="str">
            <v>Greece</v>
          </cell>
          <cell r="E79">
            <v>52.2</v>
          </cell>
          <cell r="F79">
            <v>54.1</v>
          </cell>
          <cell r="G79">
            <v>55.9</v>
          </cell>
          <cell r="H79">
            <v>60</v>
          </cell>
          <cell r="I79">
            <v>64.2</v>
          </cell>
          <cell r="J79">
            <v>66.900000000000006</v>
          </cell>
          <cell r="K79">
            <v>69.3</v>
          </cell>
          <cell r="L79">
            <v>70.5</v>
          </cell>
          <cell r="M79">
            <v>71.5</v>
          </cell>
          <cell r="N79">
            <v>72.099999999999994</v>
          </cell>
          <cell r="O79">
            <v>72.7</v>
          </cell>
          <cell r="P79">
            <v>74.5</v>
          </cell>
          <cell r="Q79">
            <v>76.3</v>
          </cell>
          <cell r="R79">
            <v>78</v>
          </cell>
          <cell r="S79">
            <v>79.7</v>
          </cell>
          <cell r="T79">
            <v>80.730999999999995</v>
          </cell>
          <cell r="U79">
            <v>81.757999999999996</v>
          </cell>
          <cell r="V79">
            <v>82.775999999999996</v>
          </cell>
          <cell r="W79">
            <v>83.781999999999996</v>
          </cell>
          <cell r="X79">
            <v>84.769000000000005</v>
          </cell>
          <cell r="Y79">
            <v>85.736000000000004</v>
          </cell>
          <cell r="Z79">
            <v>86.677000000000007</v>
          </cell>
          <cell r="AA79">
            <v>87.588999999999999</v>
          </cell>
          <cell r="AB79">
            <v>88.468000000000004</v>
          </cell>
          <cell r="AC79">
            <v>89.313000000000002</v>
          </cell>
          <cell r="AD79">
            <v>90.12</v>
          </cell>
          <cell r="AE79">
            <v>90.888999999999996</v>
          </cell>
          <cell r="AF79">
            <v>91.617000000000004</v>
          </cell>
          <cell r="AG79">
            <v>92.304000000000002</v>
          </cell>
          <cell r="AH79">
            <v>92.948999999999998</v>
          </cell>
          <cell r="AI79">
            <v>93.554000000000002</v>
          </cell>
        </row>
        <row r="80">
          <cell r="B80" t="str">
            <v>Grenada</v>
          </cell>
          <cell r="E80">
            <v>28.5</v>
          </cell>
          <cell r="F80">
            <v>29.4</v>
          </cell>
          <cell r="G80">
            <v>30.3</v>
          </cell>
          <cell r="H80">
            <v>31.3</v>
          </cell>
          <cell r="I80">
            <v>32.200000000000003</v>
          </cell>
          <cell r="J80">
            <v>32.6</v>
          </cell>
          <cell r="K80">
            <v>32.9</v>
          </cell>
          <cell r="L80">
            <v>33.200000000000003</v>
          </cell>
          <cell r="M80">
            <v>33.4</v>
          </cell>
          <cell r="N80">
            <v>34.5</v>
          </cell>
          <cell r="O80">
            <v>35.700000000000003</v>
          </cell>
          <cell r="P80">
            <v>35.9</v>
          </cell>
          <cell r="Q80">
            <v>35.9</v>
          </cell>
          <cell r="R80">
            <v>36</v>
          </cell>
          <cell r="S80">
            <v>36.5</v>
          </cell>
          <cell r="T80">
            <v>39.612000000000002</v>
          </cell>
          <cell r="U80">
            <v>42.648000000000003</v>
          </cell>
          <cell r="V80">
            <v>45.58</v>
          </cell>
          <cell r="W80">
            <v>48.387</v>
          </cell>
          <cell r="X80">
            <v>51.055</v>
          </cell>
          <cell r="Y80">
            <v>53.576000000000001</v>
          </cell>
          <cell r="Z80">
            <v>55.945999999999998</v>
          </cell>
          <cell r="AA80">
            <v>58.167000000000002</v>
          </cell>
          <cell r="AB80">
            <v>60.241999999999997</v>
          </cell>
          <cell r="AC80">
            <v>62.177</v>
          </cell>
          <cell r="AD80">
            <v>63.978999999999999</v>
          </cell>
          <cell r="AE80">
            <v>65.656000000000006</v>
          </cell>
          <cell r="AF80">
            <v>67.215999999999994</v>
          </cell>
          <cell r="AG80">
            <v>68.668000000000006</v>
          </cell>
          <cell r="AH80">
            <v>70.019000000000005</v>
          </cell>
          <cell r="AI80">
            <v>71.277000000000001</v>
          </cell>
        </row>
        <row r="81">
          <cell r="B81" t="str">
            <v>Greenland</v>
          </cell>
          <cell r="E81">
            <v>49</v>
          </cell>
          <cell r="F81">
            <v>53.8</v>
          </cell>
          <cell r="G81">
            <v>58.5</v>
          </cell>
          <cell r="H81">
            <v>66.099999999999994</v>
          </cell>
          <cell r="I81">
            <v>72.7</v>
          </cell>
          <cell r="J81">
            <v>74.400000000000006</v>
          </cell>
          <cell r="K81">
            <v>76.099999999999994</v>
          </cell>
          <cell r="L81">
            <v>78</v>
          </cell>
          <cell r="M81">
            <v>79.7</v>
          </cell>
          <cell r="N81">
            <v>80.900000000000006</v>
          </cell>
          <cell r="O81">
            <v>81.599999999999994</v>
          </cell>
          <cell r="P81">
            <v>82.9</v>
          </cell>
          <cell r="Q81">
            <v>84.4</v>
          </cell>
          <cell r="R81">
            <v>86.1</v>
          </cell>
          <cell r="S81">
            <v>87.3</v>
          </cell>
          <cell r="T81">
            <v>88.227000000000004</v>
          </cell>
          <cell r="U81">
            <v>89.087000000000003</v>
          </cell>
          <cell r="V81">
            <v>89.884</v>
          </cell>
          <cell r="W81">
            <v>90.623000000000005</v>
          </cell>
          <cell r="X81">
            <v>91.308000000000007</v>
          </cell>
          <cell r="Y81">
            <v>91.942999999999998</v>
          </cell>
          <cell r="Z81">
            <v>92.531000000000006</v>
          </cell>
          <cell r="AA81">
            <v>93.075999999999993</v>
          </cell>
          <cell r="AB81">
            <v>93.581000000000003</v>
          </cell>
          <cell r="AC81">
            <v>94.049000000000007</v>
          </cell>
          <cell r="AD81">
            <v>94.483000000000004</v>
          </cell>
          <cell r="AE81">
            <v>94.885000000000005</v>
          </cell>
          <cell r="AF81">
            <v>95.257000000000005</v>
          </cell>
          <cell r="AG81">
            <v>95.602999999999994</v>
          </cell>
          <cell r="AH81">
            <v>95.921999999999997</v>
          </cell>
          <cell r="AI81">
            <v>96.218999999999994</v>
          </cell>
        </row>
        <row r="82">
          <cell r="B82" t="str">
            <v>Guatemala</v>
          </cell>
          <cell r="E82">
            <v>25.1</v>
          </cell>
          <cell r="F82">
            <v>28</v>
          </cell>
          <cell r="G82">
            <v>31.1</v>
          </cell>
          <cell r="H82">
            <v>34</v>
          </cell>
          <cell r="I82">
            <v>35.5</v>
          </cell>
          <cell r="J82">
            <v>37.1</v>
          </cell>
          <cell r="K82">
            <v>38.700000000000003</v>
          </cell>
          <cell r="L82">
            <v>40.299999999999997</v>
          </cell>
          <cell r="M82">
            <v>42</v>
          </cell>
          <cell r="N82">
            <v>43.7</v>
          </cell>
          <cell r="O82">
            <v>45.3</v>
          </cell>
          <cell r="P82">
            <v>46.9</v>
          </cell>
          <cell r="Q82">
            <v>48.4</v>
          </cell>
          <cell r="R82">
            <v>50</v>
          </cell>
          <cell r="S82">
            <v>51.8</v>
          </cell>
          <cell r="T82">
            <v>53.802999999999997</v>
          </cell>
          <cell r="U82">
            <v>55.750999999999998</v>
          </cell>
          <cell r="V82">
            <v>57.639000000000003</v>
          </cell>
          <cell r="W82">
            <v>59.466999999999999</v>
          </cell>
          <cell r="X82">
            <v>61.23</v>
          </cell>
          <cell r="Y82">
            <v>62.929000000000002</v>
          </cell>
          <cell r="Z82">
            <v>64.563000000000002</v>
          </cell>
          <cell r="AA82">
            <v>66.132000000000005</v>
          </cell>
          <cell r="AB82">
            <v>67.635999999999996</v>
          </cell>
          <cell r="AC82">
            <v>69.076999999999998</v>
          </cell>
          <cell r="AD82">
            <v>70.456000000000003</v>
          </cell>
          <cell r="AE82">
            <v>71.774000000000001</v>
          </cell>
          <cell r="AF82">
            <v>73.033000000000001</v>
          </cell>
          <cell r="AG82">
            <v>74.234999999999999</v>
          </cell>
          <cell r="AH82">
            <v>75.382999999999996</v>
          </cell>
          <cell r="AI82">
            <v>76.477000000000004</v>
          </cell>
        </row>
        <row r="83">
          <cell r="B83" t="str">
            <v>French Guiana</v>
          </cell>
          <cell r="E83">
            <v>53.7</v>
          </cell>
          <cell r="F83">
            <v>58.6</v>
          </cell>
          <cell r="G83">
            <v>63.3</v>
          </cell>
          <cell r="H83">
            <v>65.7</v>
          </cell>
          <cell r="I83">
            <v>67.400000000000006</v>
          </cell>
          <cell r="J83">
            <v>69.099999999999994</v>
          </cell>
          <cell r="K83">
            <v>70.8</v>
          </cell>
          <cell r="L83">
            <v>72.7</v>
          </cell>
          <cell r="M83">
            <v>74.599999999999994</v>
          </cell>
          <cell r="N83">
            <v>77</v>
          </cell>
          <cell r="O83">
            <v>79.099999999999994</v>
          </cell>
          <cell r="P83">
            <v>81.099999999999994</v>
          </cell>
          <cell r="Q83">
            <v>82.9</v>
          </cell>
          <cell r="R83">
            <v>84.5</v>
          </cell>
          <cell r="S83">
            <v>85.8</v>
          </cell>
          <cell r="T83">
            <v>87.084999999999994</v>
          </cell>
          <cell r="U83">
            <v>88.18</v>
          </cell>
          <cell r="V83">
            <v>89.120999999999995</v>
          </cell>
          <cell r="W83">
            <v>89.938999999999993</v>
          </cell>
          <cell r="X83">
            <v>90.655000000000001</v>
          </cell>
          <cell r="Y83">
            <v>91.287000000000006</v>
          </cell>
          <cell r="Z83">
            <v>91.846999999999994</v>
          </cell>
          <cell r="AA83">
            <v>92.347999999999999</v>
          </cell>
          <cell r="AB83">
            <v>92.798000000000002</v>
          </cell>
          <cell r="AC83">
            <v>93.203999999999994</v>
          </cell>
          <cell r="AD83">
            <v>93.572999999999993</v>
          </cell>
          <cell r="AE83">
            <v>93.908000000000001</v>
          </cell>
          <cell r="AF83">
            <v>94.215000000000003</v>
          </cell>
          <cell r="AG83">
            <v>94.495999999999995</v>
          </cell>
          <cell r="AH83">
            <v>94.754999999999995</v>
          </cell>
          <cell r="AI83">
            <v>94.994</v>
          </cell>
        </row>
        <row r="84">
          <cell r="B84" t="str">
            <v>Guam</v>
          </cell>
          <cell r="E84">
            <v>41.3</v>
          </cell>
          <cell r="F84">
            <v>45.7</v>
          </cell>
          <cell r="G84">
            <v>50.1</v>
          </cell>
          <cell r="H84">
            <v>55.5</v>
          </cell>
          <cell r="I84">
            <v>61.9</v>
          </cell>
          <cell r="J84">
            <v>83.6</v>
          </cell>
          <cell r="K84">
            <v>93.8</v>
          </cell>
          <cell r="L84">
            <v>92.3</v>
          </cell>
          <cell r="M84">
            <v>90.8</v>
          </cell>
          <cell r="N84">
            <v>92.1</v>
          </cell>
          <cell r="O84">
            <v>93.1</v>
          </cell>
          <cell r="P84">
            <v>93.6</v>
          </cell>
          <cell r="Q84">
            <v>94.1</v>
          </cell>
          <cell r="R84">
            <v>94.5</v>
          </cell>
          <cell r="S84">
            <v>94.9</v>
          </cell>
          <cell r="T84">
            <v>93.975999999999999</v>
          </cell>
          <cell r="U84">
            <v>93.146000000000001</v>
          </cell>
          <cell r="V84">
            <v>92.453999999999994</v>
          </cell>
          <cell r="W84">
            <v>91.915000000000006</v>
          </cell>
          <cell r="X84">
            <v>91.516000000000005</v>
          </cell>
          <cell r="Y84">
            <v>91.233000000000004</v>
          </cell>
          <cell r="Z84">
            <v>91.037000000000006</v>
          </cell>
          <cell r="AA84">
            <v>90.905000000000001</v>
          </cell>
          <cell r="AB84">
            <v>90.816000000000003</v>
          </cell>
          <cell r="AC84">
            <v>90.757999999999996</v>
          </cell>
          <cell r="AD84">
            <v>90.72</v>
          </cell>
          <cell r="AE84">
            <v>90.694999999999993</v>
          </cell>
          <cell r="AF84">
            <v>90.679000000000002</v>
          </cell>
          <cell r="AG84">
            <v>90.668000000000006</v>
          </cell>
          <cell r="AH84">
            <v>90.661000000000001</v>
          </cell>
          <cell r="AI84">
            <v>90.656999999999996</v>
          </cell>
        </row>
        <row r="85">
          <cell r="B85" t="str">
            <v>Guyana</v>
          </cell>
          <cell r="E85">
            <v>28</v>
          </cell>
          <cell r="F85">
            <v>28.5</v>
          </cell>
          <cell r="G85">
            <v>29</v>
          </cell>
          <cell r="H85">
            <v>29.2</v>
          </cell>
          <cell r="I85">
            <v>29.4</v>
          </cell>
          <cell r="J85">
            <v>30</v>
          </cell>
          <cell r="K85">
            <v>30.5</v>
          </cell>
          <cell r="L85">
            <v>30</v>
          </cell>
          <cell r="M85">
            <v>29.6</v>
          </cell>
          <cell r="N85">
            <v>29.1</v>
          </cell>
          <cell r="O85">
            <v>28.7</v>
          </cell>
          <cell r="P85">
            <v>27.8</v>
          </cell>
          <cell r="Q85">
            <v>26.6</v>
          </cell>
          <cell r="R85">
            <v>26.4</v>
          </cell>
          <cell r="S85">
            <v>26.8</v>
          </cell>
          <cell r="T85">
            <v>29.716999999999999</v>
          </cell>
          <cell r="U85">
            <v>32.688000000000002</v>
          </cell>
          <cell r="V85">
            <v>35.674999999999997</v>
          </cell>
          <cell r="W85">
            <v>38.645000000000003</v>
          </cell>
          <cell r="X85">
            <v>41.564999999999998</v>
          </cell>
          <cell r="Y85">
            <v>44.41</v>
          </cell>
          <cell r="Z85">
            <v>47.158000000000001</v>
          </cell>
          <cell r="AA85">
            <v>49.793999999999997</v>
          </cell>
          <cell r="AB85">
            <v>52.305999999999997</v>
          </cell>
          <cell r="AC85">
            <v>54.69</v>
          </cell>
          <cell r="AD85">
            <v>56.942</v>
          </cell>
          <cell r="AE85">
            <v>59.061999999999998</v>
          </cell>
          <cell r="AF85">
            <v>61.055</v>
          </cell>
          <cell r="AG85">
            <v>62.923000000000002</v>
          </cell>
          <cell r="AH85">
            <v>64.673000000000002</v>
          </cell>
          <cell r="AI85">
            <v>66.311000000000007</v>
          </cell>
        </row>
        <row r="86">
          <cell r="B86" t="str">
            <v>Honduras</v>
          </cell>
          <cell r="E86">
            <v>17.600000000000001</v>
          </cell>
          <cell r="F86">
            <v>20</v>
          </cell>
          <cell r="G86">
            <v>22.7</v>
          </cell>
          <cell r="H86">
            <v>25.7</v>
          </cell>
          <cell r="I86">
            <v>28.9</v>
          </cell>
          <cell r="J86">
            <v>32.1</v>
          </cell>
          <cell r="K86">
            <v>34.9</v>
          </cell>
          <cell r="L86">
            <v>37.700000000000003</v>
          </cell>
          <cell r="M86">
            <v>40.5</v>
          </cell>
          <cell r="N86">
            <v>42.9</v>
          </cell>
          <cell r="O86">
            <v>45.5</v>
          </cell>
          <cell r="P86">
            <v>48.6</v>
          </cell>
          <cell r="Q86">
            <v>51.9</v>
          </cell>
          <cell r="R86">
            <v>55.2</v>
          </cell>
          <cell r="S86">
            <v>58.4</v>
          </cell>
          <cell r="T86">
            <v>60.658999999999999</v>
          </cell>
          <cell r="U86">
            <v>62.786999999999999</v>
          </cell>
          <cell r="V86">
            <v>64.784999999999997</v>
          </cell>
          <cell r="W86">
            <v>66.66</v>
          </cell>
          <cell r="X86">
            <v>68.415999999999997</v>
          </cell>
          <cell r="Y86">
            <v>70.06</v>
          </cell>
          <cell r="Z86">
            <v>71.597999999999999</v>
          </cell>
          <cell r="AA86">
            <v>73.037999999999997</v>
          </cell>
          <cell r="AB86">
            <v>74.385000000000005</v>
          </cell>
          <cell r="AC86">
            <v>75.647000000000006</v>
          </cell>
          <cell r="AD86">
            <v>76.828000000000003</v>
          </cell>
          <cell r="AE86">
            <v>77.935000000000002</v>
          </cell>
          <cell r="AF86">
            <v>78.972999999999999</v>
          </cell>
          <cell r="AG86">
            <v>79.947000000000003</v>
          </cell>
          <cell r="AH86">
            <v>80.861999999999995</v>
          </cell>
          <cell r="AI86">
            <v>81.722999999999999</v>
          </cell>
        </row>
        <row r="87">
          <cell r="B87" t="str">
            <v>Croatia</v>
          </cell>
          <cell r="E87">
            <v>22.3</v>
          </cell>
          <cell r="F87">
            <v>26</v>
          </cell>
          <cell r="G87">
            <v>30.2</v>
          </cell>
          <cell r="H87">
            <v>35</v>
          </cell>
          <cell r="I87">
            <v>40.200000000000003</v>
          </cell>
          <cell r="J87">
            <v>43.9</v>
          </cell>
          <cell r="K87">
            <v>47.3</v>
          </cell>
          <cell r="L87">
            <v>49.3</v>
          </cell>
          <cell r="M87">
            <v>51</v>
          </cell>
          <cell r="N87">
            <v>52.3</v>
          </cell>
          <cell r="O87">
            <v>53.4</v>
          </cell>
          <cell r="P87">
            <v>54.3</v>
          </cell>
          <cell r="Q87">
            <v>55.2</v>
          </cell>
          <cell r="R87">
            <v>56.2</v>
          </cell>
          <cell r="S87">
            <v>57.6</v>
          </cell>
          <cell r="T87">
            <v>59.91</v>
          </cell>
          <cell r="U87">
            <v>62.08</v>
          </cell>
          <cell r="V87">
            <v>64.114999999999995</v>
          </cell>
          <cell r="W87">
            <v>66.02</v>
          </cell>
          <cell r="X87">
            <v>67.801000000000002</v>
          </cell>
          <cell r="Y87">
            <v>69.465000000000003</v>
          </cell>
          <cell r="Z87">
            <v>71.019000000000005</v>
          </cell>
          <cell r="AA87">
            <v>72.471000000000004</v>
          </cell>
          <cell r="AB87">
            <v>73.826999999999998</v>
          </cell>
          <cell r="AC87">
            <v>75.094999999999999</v>
          </cell>
          <cell r="AD87">
            <v>76.28</v>
          </cell>
          <cell r="AE87">
            <v>77.39</v>
          </cell>
          <cell r="AF87">
            <v>78.427999999999997</v>
          </cell>
          <cell r="AG87">
            <v>79.402000000000001</v>
          </cell>
          <cell r="AH87">
            <v>80.316000000000003</v>
          </cell>
          <cell r="AI87">
            <v>81.174000000000007</v>
          </cell>
        </row>
        <row r="88">
          <cell r="B88" t="str">
            <v>Haiti</v>
          </cell>
          <cell r="E88">
            <v>12.2</v>
          </cell>
          <cell r="F88">
            <v>13.8</v>
          </cell>
          <cell r="G88">
            <v>15.6</v>
          </cell>
          <cell r="H88">
            <v>17.600000000000001</v>
          </cell>
          <cell r="I88">
            <v>19.8</v>
          </cell>
          <cell r="J88">
            <v>20.399999999999999</v>
          </cell>
          <cell r="K88">
            <v>20.5</v>
          </cell>
          <cell r="L88">
            <v>23.3</v>
          </cell>
          <cell r="M88">
            <v>28.5</v>
          </cell>
          <cell r="N88">
            <v>32.6</v>
          </cell>
          <cell r="O88">
            <v>35.6</v>
          </cell>
          <cell r="P88">
            <v>42.6</v>
          </cell>
          <cell r="Q88">
            <v>47.5</v>
          </cell>
          <cell r="R88">
            <v>52.4</v>
          </cell>
          <cell r="S88">
            <v>57.1</v>
          </cell>
          <cell r="T88">
            <v>59.11</v>
          </cell>
          <cell r="U88">
            <v>61.021999999999998</v>
          </cell>
          <cell r="V88">
            <v>62.838000000000001</v>
          </cell>
          <cell r="W88">
            <v>64.558999999999997</v>
          </cell>
          <cell r="X88">
            <v>66.188000000000002</v>
          </cell>
          <cell r="Y88">
            <v>67.728999999999999</v>
          </cell>
          <cell r="Z88">
            <v>69.186000000000007</v>
          </cell>
          <cell r="AA88">
            <v>70.563000000000002</v>
          </cell>
          <cell r="AB88">
            <v>71.863</v>
          </cell>
          <cell r="AC88">
            <v>73.091999999999999</v>
          </cell>
          <cell r="AD88">
            <v>74.253</v>
          </cell>
          <cell r="AE88">
            <v>75.349999999999994</v>
          </cell>
          <cell r="AF88">
            <v>76.387</v>
          </cell>
          <cell r="AG88">
            <v>77.367999999999995</v>
          </cell>
          <cell r="AH88">
            <v>78.295000000000002</v>
          </cell>
          <cell r="AI88">
            <v>79.174000000000007</v>
          </cell>
        </row>
        <row r="89">
          <cell r="B89" t="str">
            <v>Hungary</v>
          </cell>
          <cell r="E89">
            <v>53</v>
          </cell>
          <cell r="F89">
            <v>54.4</v>
          </cell>
          <cell r="G89">
            <v>55.9</v>
          </cell>
          <cell r="H89">
            <v>58</v>
          </cell>
          <cell r="I89">
            <v>60.1</v>
          </cell>
          <cell r="J89">
            <v>62.2</v>
          </cell>
          <cell r="K89">
            <v>64.2</v>
          </cell>
          <cell r="L89">
            <v>65.099999999999994</v>
          </cell>
          <cell r="M89">
            <v>65.8</v>
          </cell>
          <cell r="N89">
            <v>65.2</v>
          </cell>
          <cell r="O89">
            <v>64.599999999999994</v>
          </cell>
          <cell r="P89">
            <v>66.400000000000006</v>
          </cell>
          <cell r="Q89">
            <v>68.900000000000006</v>
          </cell>
          <cell r="R89">
            <v>70.5</v>
          </cell>
          <cell r="S89">
            <v>71.900000000000006</v>
          </cell>
          <cell r="T89">
            <v>73.835999999999999</v>
          </cell>
          <cell r="U89">
            <v>75.635999999999996</v>
          </cell>
          <cell r="V89">
            <v>77.308999999999997</v>
          </cell>
          <cell r="W89">
            <v>78.863</v>
          </cell>
          <cell r="X89">
            <v>80.305000000000007</v>
          </cell>
          <cell r="Y89">
            <v>81.643000000000001</v>
          </cell>
          <cell r="Z89">
            <v>82.885000000000005</v>
          </cell>
          <cell r="AA89">
            <v>84.037000000000006</v>
          </cell>
          <cell r="AB89">
            <v>85.106999999999999</v>
          </cell>
          <cell r="AC89">
            <v>86.1</v>
          </cell>
          <cell r="AD89">
            <v>87.021000000000001</v>
          </cell>
          <cell r="AE89">
            <v>87.878</v>
          </cell>
          <cell r="AF89">
            <v>88.674000000000007</v>
          </cell>
          <cell r="AG89">
            <v>89.414000000000001</v>
          </cell>
          <cell r="AH89">
            <v>90.102999999999994</v>
          </cell>
          <cell r="AI89">
            <v>90.742999999999995</v>
          </cell>
        </row>
        <row r="90">
          <cell r="B90" t="str">
            <v>Indonesia</v>
          </cell>
          <cell r="E90">
            <v>12.4</v>
          </cell>
          <cell r="F90">
            <v>13.5</v>
          </cell>
          <cell r="G90">
            <v>14.6</v>
          </cell>
          <cell r="H90">
            <v>15.8</v>
          </cell>
          <cell r="I90">
            <v>17.100000000000001</v>
          </cell>
          <cell r="J90">
            <v>19.3</v>
          </cell>
          <cell r="K90">
            <v>22.1</v>
          </cell>
          <cell r="L90">
            <v>26.1</v>
          </cell>
          <cell r="M90">
            <v>30.6</v>
          </cell>
          <cell r="N90">
            <v>36.1</v>
          </cell>
          <cell r="O90">
            <v>42</v>
          </cell>
          <cell r="P90">
            <v>45.9</v>
          </cell>
          <cell r="Q90">
            <v>49.9</v>
          </cell>
          <cell r="R90">
            <v>53.3</v>
          </cell>
          <cell r="S90">
            <v>56.6</v>
          </cell>
          <cell r="T90">
            <v>58.595999999999997</v>
          </cell>
          <cell r="U90">
            <v>60.509</v>
          </cell>
          <cell r="V90">
            <v>62.338999999999999</v>
          </cell>
          <cell r="W90">
            <v>64.087000000000003</v>
          </cell>
          <cell r="X90">
            <v>65.751999999999995</v>
          </cell>
          <cell r="Y90">
            <v>67.337999999999994</v>
          </cell>
          <cell r="Z90">
            <v>68.846000000000004</v>
          </cell>
          <cell r="AA90">
            <v>70.278999999999996</v>
          </cell>
          <cell r="AB90">
            <v>71.64</v>
          </cell>
          <cell r="AC90">
            <v>72.932000000000002</v>
          </cell>
          <cell r="AD90">
            <v>74.158000000000001</v>
          </cell>
          <cell r="AE90">
            <v>75.319999999999993</v>
          </cell>
          <cell r="AF90">
            <v>76.424000000000007</v>
          </cell>
          <cell r="AG90">
            <v>77.47</v>
          </cell>
          <cell r="AH90">
            <v>78.462999999999994</v>
          </cell>
          <cell r="AI90">
            <v>79.405000000000001</v>
          </cell>
        </row>
        <row r="91">
          <cell r="B91" t="str">
            <v>Isle of Man</v>
          </cell>
          <cell r="E91">
            <v>52.9</v>
          </cell>
          <cell r="F91">
            <v>54</v>
          </cell>
          <cell r="G91">
            <v>55.1</v>
          </cell>
          <cell r="H91">
            <v>56.3</v>
          </cell>
          <cell r="I91">
            <v>55.8</v>
          </cell>
          <cell r="J91">
            <v>52.4</v>
          </cell>
          <cell r="K91">
            <v>51.8</v>
          </cell>
          <cell r="L91">
            <v>51.8</v>
          </cell>
          <cell r="M91">
            <v>51.7</v>
          </cell>
          <cell r="N91">
            <v>51.8</v>
          </cell>
          <cell r="O91">
            <v>51.8</v>
          </cell>
          <cell r="P91">
            <v>51.9</v>
          </cell>
          <cell r="Q91">
            <v>52</v>
          </cell>
          <cell r="R91">
            <v>52.2</v>
          </cell>
          <cell r="S91">
            <v>52.9</v>
          </cell>
          <cell r="T91">
            <v>55.195999999999998</v>
          </cell>
          <cell r="U91">
            <v>57.4</v>
          </cell>
          <cell r="V91">
            <v>59.508000000000003</v>
          </cell>
          <cell r="W91">
            <v>61.518000000000001</v>
          </cell>
          <cell r="X91">
            <v>63.430999999999997</v>
          </cell>
          <cell r="Y91">
            <v>65.248000000000005</v>
          </cell>
          <cell r="Z91">
            <v>66.971000000000004</v>
          </cell>
          <cell r="AA91">
            <v>68.602999999999994</v>
          </cell>
          <cell r="AB91">
            <v>70.146000000000001</v>
          </cell>
          <cell r="AC91">
            <v>71.605999999999995</v>
          </cell>
          <cell r="AD91">
            <v>72.986000000000004</v>
          </cell>
          <cell r="AE91">
            <v>74.289000000000001</v>
          </cell>
          <cell r="AF91">
            <v>75.52</v>
          </cell>
          <cell r="AG91">
            <v>76.683000000000007</v>
          </cell>
          <cell r="AH91">
            <v>77.781999999999996</v>
          </cell>
          <cell r="AI91">
            <v>78.819999999999993</v>
          </cell>
        </row>
        <row r="92">
          <cell r="B92" t="str">
            <v>India</v>
          </cell>
          <cell r="E92">
            <v>17</v>
          </cell>
          <cell r="F92">
            <v>17.600000000000001</v>
          </cell>
          <cell r="G92">
            <v>17.899999999999999</v>
          </cell>
          <cell r="H92">
            <v>18.8</v>
          </cell>
          <cell r="I92">
            <v>19.8</v>
          </cell>
          <cell r="J92">
            <v>21.3</v>
          </cell>
          <cell r="K92">
            <v>23.1</v>
          </cell>
          <cell r="L92">
            <v>24.3</v>
          </cell>
          <cell r="M92">
            <v>25.5</v>
          </cell>
          <cell r="N92">
            <v>26.6</v>
          </cell>
          <cell r="O92">
            <v>27.7</v>
          </cell>
          <cell r="P92">
            <v>29.2</v>
          </cell>
          <cell r="Q92">
            <v>30.9</v>
          </cell>
          <cell r="R92">
            <v>32.799999999999997</v>
          </cell>
          <cell r="S92">
            <v>34.9</v>
          </cell>
          <cell r="T92">
            <v>37.917999999999999</v>
          </cell>
          <cell r="U92">
            <v>40.898000000000003</v>
          </cell>
          <cell r="V92">
            <v>43.811999999999998</v>
          </cell>
          <cell r="W92">
            <v>46.634999999999998</v>
          </cell>
          <cell r="X92">
            <v>49.348999999999997</v>
          </cell>
          <cell r="Y92">
            <v>51.942999999999998</v>
          </cell>
          <cell r="Z92">
            <v>54.408000000000001</v>
          </cell>
          <cell r="AA92">
            <v>56.74</v>
          </cell>
          <cell r="AB92">
            <v>58.939</v>
          </cell>
          <cell r="AC92">
            <v>61.006</v>
          </cell>
          <cell r="AD92">
            <v>62.945</v>
          </cell>
          <cell r="AE92">
            <v>64.762</v>
          </cell>
          <cell r="AF92">
            <v>66.462999999999994</v>
          </cell>
          <cell r="AG92">
            <v>68.054000000000002</v>
          </cell>
          <cell r="AH92">
            <v>69.542000000000002</v>
          </cell>
          <cell r="AI92">
            <v>70.933999999999997</v>
          </cell>
        </row>
        <row r="93">
          <cell r="B93" t="str">
            <v>Ireland</v>
          </cell>
          <cell r="E93">
            <v>40.1</v>
          </cell>
          <cell r="F93">
            <v>43.7</v>
          </cell>
          <cell r="G93">
            <v>45.2</v>
          </cell>
          <cell r="H93">
            <v>46.2</v>
          </cell>
          <cell r="I93">
            <v>51.3</v>
          </cell>
          <cell r="J93">
            <v>53.6</v>
          </cell>
          <cell r="K93">
            <v>55.3</v>
          </cell>
          <cell r="L93">
            <v>56.3</v>
          </cell>
          <cell r="M93">
            <v>56.9</v>
          </cell>
          <cell r="N93">
            <v>57.9</v>
          </cell>
          <cell r="O93">
            <v>59.2</v>
          </cell>
          <cell r="P93">
            <v>60.5</v>
          </cell>
          <cell r="Q93">
            <v>61.5</v>
          </cell>
          <cell r="R93">
            <v>62.5</v>
          </cell>
          <cell r="S93">
            <v>63.7</v>
          </cell>
          <cell r="T93">
            <v>65.498000000000005</v>
          </cell>
          <cell r="U93">
            <v>67.248999999999995</v>
          </cell>
          <cell r="V93">
            <v>68.95</v>
          </cell>
          <cell r="W93">
            <v>70.596999999999994</v>
          </cell>
          <cell r="X93">
            <v>72.19</v>
          </cell>
          <cell r="Y93">
            <v>73.724999999999994</v>
          </cell>
          <cell r="Z93">
            <v>75.203000000000003</v>
          </cell>
          <cell r="AA93">
            <v>76.620999999999995</v>
          </cell>
          <cell r="AB93">
            <v>77.978999999999999</v>
          </cell>
          <cell r="AC93">
            <v>79.278000000000006</v>
          </cell>
          <cell r="AD93">
            <v>80.516999999999996</v>
          </cell>
          <cell r="AE93">
            <v>81.697999999999993</v>
          </cell>
          <cell r="AF93">
            <v>82.820999999999998</v>
          </cell>
          <cell r="AG93">
            <v>83.887</v>
          </cell>
          <cell r="AH93">
            <v>84.897999999999996</v>
          </cell>
          <cell r="AI93">
            <v>85.855000000000004</v>
          </cell>
        </row>
        <row r="94">
          <cell r="B94" t="str">
            <v>Iran</v>
          </cell>
          <cell r="E94">
            <v>27.5</v>
          </cell>
          <cell r="F94">
            <v>30.6</v>
          </cell>
          <cell r="G94">
            <v>33.700000000000003</v>
          </cell>
          <cell r="H94">
            <v>37.1</v>
          </cell>
          <cell r="I94">
            <v>41.2</v>
          </cell>
          <cell r="J94">
            <v>45.7</v>
          </cell>
          <cell r="K94">
            <v>49.7</v>
          </cell>
          <cell r="L94">
            <v>53.4</v>
          </cell>
          <cell r="M94">
            <v>56.3</v>
          </cell>
          <cell r="N94">
            <v>60.2</v>
          </cell>
          <cell r="O94">
            <v>64</v>
          </cell>
          <cell r="P94">
            <v>67.599999999999994</v>
          </cell>
          <cell r="Q94">
            <v>70.599999999999994</v>
          </cell>
          <cell r="R94">
            <v>73.400000000000006</v>
          </cell>
          <cell r="S94">
            <v>75.900000000000006</v>
          </cell>
          <cell r="T94">
            <v>77.262</v>
          </cell>
          <cell r="U94">
            <v>78.552000000000007</v>
          </cell>
          <cell r="V94">
            <v>79.775000000000006</v>
          </cell>
          <cell r="W94">
            <v>80.930999999999997</v>
          </cell>
          <cell r="X94">
            <v>82.025000000000006</v>
          </cell>
          <cell r="Y94">
            <v>83.058999999999997</v>
          </cell>
          <cell r="Z94">
            <v>84.034999999999997</v>
          </cell>
          <cell r="AA94">
            <v>84.956999999999994</v>
          </cell>
          <cell r="AB94">
            <v>85.825999999999993</v>
          </cell>
          <cell r="AC94">
            <v>86.647000000000006</v>
          </cell>
          <cell r="AD94">
            <v>87.421000000000006</v>
          </cell>
          <cell r="AE94">
            <v>88.15</v>
          </cell>
          <cell r="AF94">
            <v>88.837999999999994</v>
          </cell>
          <cell r="AG94">
            <v>89.486000000000004</v>
          </cell>
          <cell r="AH94">
            <v>90.096000000000004</v>
          </cell>
          <cell r="AI94">
            <v>90.671999999999997</v>
          </cell>
        </row>
        <row r="95">
          <cell r="B95" t="str">
            <v>Iraq</v>
          </cell>
          <cell r="E95">
            <v>35.1</v>
          </cell>
          <cell r="F95">
            <v>37.6</v>
          </cell>
          <cell r="G95">
            <v>42.9</v>
          </cell>
          <cell r="H95">
            <v>50.7</v>
          </cell>
          <cell r="I95">
            <v>56.2</v>
          </cell>
          <cell r="J95">
            <v>61.4</v>
          </cell>
          <cell r="K95">
            <v>65.5</v>
          </cell>
          <cell r="L95">
            <v>68.8</v>
          </cell>
          <cell r="M95">
            <v>69.7</v>
          </cell>
          <cell r="N95">
            <v>68.8</v>
          </cell>
          <cell r="O95">
            <v>68.5</v>
          </cell>
          <cell r="P95">
            <v>68.8</v>
          </cell>
          <cell r="Q95">
            <v>69.099999999999994</v>
          </cell>
          <cell r="R95">
            <v>69.900000000000006</v>
          </cell>
          <cell r="S95">
            <v>70.900000000000006</v>
          </cell>
          <cell r="T95">
            <v>72.418999999999997</v>
          </cell>
          <cell r="U95">
            <v>73.838999999999999</v>
          </cell>
          <cell r="V95">
            <v>75.165999999999997</v>
          </cell>
          <cell r="W95">
            <v>76.408000000000001</v>
          </cell>
          <cell r="X95">
            <v>77.569000000000003</v>
          </cell>
          <cell r="Y95">
            <v>78.656000000000006</v>
          </cell>
          <cell r="Z95">
            <v>79.674999999999997</v>
          </cell>
          <cell r="AA95">
            <v>80.631</v>
          </cell>
          <cell r="AB95">
            <v>81.528000000000006</v>
          </cell>
          <cell r="AC95">
            <v>82.37</v>
          </cell>
          <cell r="AD95">
            <v>83.162000000000006</v>
          </cell>
          <cell r="AE95">
            <v>83.908000000000001</v>
          </cell>
          <cell r="AF95">
            <v>84.61</v>
          </cell>
          <cell r="AG95">
            <v>85.272000000000006</v>
          </cell>
          <cell r="AH95">
            <v>85.897000000000006</v>
          </cell>
          <cell r="AI95">
            <v>86.488</v>
          </cell>
        </row>
        <row r="96">
          <cell r="B96" t="str">
            <v>Iceland</v>
          </cell>
          <cell r="E96">
            <v>72.8</v>
          </cell>
          <cell r="F96">
            <v>76.8</v>
          </cell>
          <cell r="G96">
            <v>80.3</v>
          </cell>
          <cell r="H96">
            <v>82.7</v>
          </cell>
          <cell r="I96">
            <v>84.9</v>
          </cell>
          <cell r="J96">
            <v>86.7</v>
          </cell>
          <cell r="K96">
            <v>88.3</v>
          </cell>
          <cell r="L96">
            <v>89.6</v>
          </cell>
          <cell r="M96">
            <v>90.8</v>
          </cell>
          <cell r="N96">
            <v>91.6</v>
          </cell>
          <cell r="O96">
            <v>92.4</v>
          </cell>
          <cell r="P96">
            <v>93</v>
          </cell>
          <cell r="Q96">
            <v>93.6</v>
          </cell>
          <cell r="R96">
            <v>93.7</v>
          </cell>
          <cell r="S96">
            <v>93.9</v>
          </cell>
          <cell r="T96">
            <v>94.6</v>
          </cell>
          <cell r="U96">
            <v>95.144999999999996</v>
          </cell>
          <cell r="V96">
            <v>95.581999999999994</v>
          </cell>
          <cell r="W96">
            <v>95.941000000000003</v>
          </cell>
          <cell r="X96">
            <v>96.24</v>
          </cell>
          <cell r="Y96">
            <v>96.492999999999995</v>
          </cell>
          <cell r="Z96">
            <v>96.71</v>
          </cell>
          <cell r="AA96">
            <v>96.897999999999996</v>
          </cell>
          <cell r="AB96">
            <v>97.063000000000002</v>
          </cell>
          <cell r="AC96">
            <v>97.209000000000003</v>
          </cell>
          <cell r="AD96">
            <v>97.337999999999994</v>
          </cell>
          <cell r="AE96">
            <v>97.453999999999994</v>
          </cell>
          <cell r="AF96">
            <v>97.558000000000007</v>
          </cell>
          <cell r="AG96">
            <v>97.652000000000001</v>
          </cell>
          <cell r="AH96">
            <v>97.738</v>
          </cell>
          <cell r="AI96">
            <v>97.816000000000003</v>
          </cell>
        </row>
        <row r="97">
          <cell r="B97" t="str">
            <v>Israel</v>
          </cell>
          <cell r="E97">
            <v>71</v>
          </cell>
          <cell r="F97">
            <v>71</v>
          </cell>
          <cell r="G97">
            <v>76.8</v>
          </cell>
          <cell r="H97">
            <v>80.900000000000006</v>
          </cell>
          <cell r="I97">
            <v>84.2</v>
          </cell>
          <cell r="J97">
            <v>86.6</v>
          </cell>
          <cell r="K97">
            <v>88.6</v>
          </cell>
          <cell r="L97">
            <v>89.8</v>
          </cell>
          <cell r="M97">
            <v>90.4</v>
          </cell>
          <cell r="N97">
            <v>90.9</v>
          </cell>
          <cell r="O97">
            <v>91.2</v>
          </cell>
          <cell r="P97">
            <v>91.5</v>
          </cell>
          <cell r="Q97">
            <v>91.8</v>
          </cell>
          <cell r="R97">
            <v>92.2</v>
          </cell>
          <cell r="S97">
            <v>92.6</v>
          </cell>
          <cell r="T97">
            <v>93.260999999999996</v>
          </cell>
          <cell r="U97">
            <v>93.8</v>
          </cell>
          <cell r="V97">
            <v>94.248999999999995</v>
          </cell>
          <cell r="W97">
            <v>94.626999999999995</v>
          </cell>
          <cell r="X97">
            <v>94.950999999999993</v>
          </cell>
          <cell r="Y97">
            <v>95.230999999999995</v>
          </cell>
          <cell r="Z97">
            <v>95.474999999999994</v>
          </cell>
          <cell r="AA97">
            <v>95.69</v>
          </cell>
          <cell r="AB97">
            <v>95.88</v>
          </cell>
          <cell r="AC97">
            <v>96.05</v>
          </cell>
          <cell r="AD97">
            <v>96.201999999999998</v>
          </cell>
          <cell r="AE97">
            <v>96.338999999999999</v>
          </cell>
          <cell r="AF97">
            <v>96.463999999999999</v>
          </cell>
          <cell r="AG97">
            <v>96.576999999999998</v>
          </cell>
          <cell r="AH97">
            <v>96.680999999999997</v>
          </cell>
          <cell r="AI97">
            <v>96.775000000000006</v>
          </cell>
        </row>
        <row r="98">
          <cell r="B98" t="str">
            <v>Italy</v>
          </cell>
          <cell r="E98">
            <v>54.1</v>
          </cell>
          <cell r="F98">
            <v>56.9</v>
          </cell>
          <cell r="G98">
            <v>59.4</v>
          </cell>
          <cell r="H98">
            <v>61.8</v>
          </cell>
          <cell r="I98">
            <v>64.3</v>
          </cell>
          <cell r="J98">
            <v>65.599999999999994</v>
          </cell>
          <cell r="K98">
            <v>66.599999999999994</v>
          </cell>
          <cell r="L98">
            <v>66.8</v>
          </cell>
          <cell r="M98">
            <v>66.7</v>
          </cell>
          <cell r="N98">
            <v>66.900000000000006</v>
          </cell>
          <cell r="O98">
            <v>67.2</v>
          </cell>
          <cell r="P98">
            <v>67.7</v>
          </cell>
          <cell r="Q98">
            <v>68.3</v>
          </cell>
          <cell r="R98">
            <v>69.599999999999994</v>
          </cell>
          <cell r="S98">
            <v>71</v>
          </cell>
          <cell r="T98">
            <v>72.498999999999995</v>
          </cell>
          <cell r="U98">
            <v>73.902000000000001</v>
          </cell>
          <cell r="V98">
            <v>75.215000000000003</v>
          </cell>
          <cell r="W98">
            <v>76.444999999999993</v>
          </cell>
          <cell r="X98">
            <v>77.596999999999994</v>
          </cell>
          <cell r="Y98">
            <v>78.677000000000007</v>
          </cell>
          <cell r="Z98">
            <v>79.688999999999993</v>
          </cell>
          <cell r="AA98">
            <v>80.64</v>
          </cell>
          <cell r="AB98">
            <v>81.534000000000006</v>
          </cell>
          <cell r="AC98">
            <v>82.373999999999995</v>
          </cell>
          <cell r="AD98">
            <v>83.164000000000001</v>
          </cell>
          <cell r="AE98">
            <v>83.909000000000006</v>
          </cell>
          <cell r="AF98">
            <v>84.611000000000004</v>
          </cell>
          <cell r="AG98">
            <v>85.272999999999996</v>
          </cell>
          <cell r="AH98">
            <v>85.897999999999996</v>
          </cell>
          <cell r="AI98">
            <v>86.49</v>
          </cell>
        </row>
        <row r="99">
          <cell r="B99" t="str">
            <v>Jamaica</v>
          </cell>
          <cell r="E99">
            <v>24.1</v>
          </cell>
          <cell r="F99">
            <v>28.7</v>
          </cell>
          <cell r="G99">
            <v>33.799999999999997</v>
          </cell>
          <cell r="H99">
            <v>37.5</v>
          </cell>
          <cell r="I99">
            <v>41.3</v>
          </cell>
          <cell r="J99">
            <v>44</v>
          </cell>
          <cell r="K99">
            <v>46.7</v>
          </cell>
          <cell r="L99">
            <v>48.4</v>
          </cell>
          <cell r="M99">
            <v>49.4</v>
          </cell>
          <cell r="N99">
            <v>50.6</v>
          </cell>
          <cell r="O99">
            <v>51.8</v>
          </cell>
          <cell r="P99">
            <v>52.8</v>
          </cell>
          <cell r="Q99">
            <v>53.7</v>
          </cell>
          <cell r="R99">
            <v>54.8</v>
          </cell>
          <cell r="S99">
            <v>56.3</v>
          </cell>
          <cell r="T99">
            <v>58.777000000000001</v>
          </cell>
          <cell r="U99">
            <v>61.097000000000001</v>
          </cell>
          <cell r="V99">
            <v>63.262999999999998</v>
          </cell>
          <cell r="W99">
            <v>65.281999999999996</v>
          </cell>
          <cell r="X99">
            <v>67.162000000000006</v>
          </cell>
          <cell r="Y99">
            <v>68.911000000000001</v>
          </cell>
          <cell r="Z99">
            <v>70.537000000000006</v>
          </cell>
          <cell r="AA99">
            <v>72.05</v>
          </cell>
          <cell r="AB99">
            <v>73.456999999999994</v>
          </cell>
          <cell r="AC99">
            <v>74.766000000000005</v>
          </cell>
          <cell r="AD99">
            <v>75.986000000000004</v>
          </cell>
          <cell r="AE99">
            <v>77.123999999999995</v>
          </cell>
          <cell r="AF99">
            <v>78.185000000000002</v>
          </cell>
          <cell r="AG99">
            <v>79.177000000000007</v>
          </cell>
          <cell r="AH99">
            <v>80.105000000000004</v>
          </cell>
          <cell r="AI99">
            <v>80.974000000000004</v>
          </cell>
        </row>
        <row r="100">
          <cell r="B100" t="str">
            <v>Jordan</v>
          </cell>
          <cell r="E100">
            <v>37</v>
          </cell>
          <cell r="F100">
            <v>43.2</v>
          </cell>
          <cell r="G100">
            <v>50.9</v>
          </cell>
          <cell r="H100">
            <v>54.3</v>
          </cell>
          <cell r="I100">
            <v>56</v>
          </cell>
          <cell r="J100">
            <v>57.7</v>
          </cell>
          <cell r="K100">
            <v>60</v>
          </cell>
          <cell r="L100">
            <v>67</v>
          </cell>
          <cell r="M100">
            <v>73.3</v>
          </cell>
          <cell r="N100">
            <v>78.2</v>
          </cell>
          <cell r="O100">
            <v>78.3</v>
          </cell>
          <cell r="P100">
            <v>79.5</v>
          </cell>
          <cell r="Q100">
            <v>86.1</v>
          </cell>
          <cell r="R100">
            <v>90.3</v>
          </cell>
          <cell r="S100">
            <v>91.4</v>
          </cell>
          <cell r="T100">
            <v>91.793999999999997</v>
          </cell>
          <cell r="U100">
            <v>92.144000000000005</v>
          </cell>
          <cell r="V100">
            <v>92.456999999999994</v>
          </cell>
          <cell r="W100">
            <v>92.738</v>
          </cell>
          <cell r="X100">
            <v>92.992999999999995</v>
          </cell>
          <cell r="Y100">
            <v>93.224000000000004</v>
          </cell>
          <cell r="Z100">
            <v>93.433999999999997</v>
          </cell>
          <cell r="AA100">
            <v>93.626000000000005</v>
          </cell>
          <cell r="AB100">
            <v>93.802000000000007</v>
          </cell>
          <cell r="AC100">
            <v>93.965000000000003</v>
          </cell>
          <cell r="AD100">
            <v>94.114999999999995</v>
          </cell>
          <cell r="AE100">
            <v>94.253</v>
          </cell>
          <cell r="AF100">
            <v>94.382000000000005</v>
          </cell>
          <cell r="AG100">
            <v>94.501000000000005</v>
          </cell>
          <cell r="AH100">
            <v>94.611999999999995</v>
          </cell>
          <cell r="AI100">
            <v>94.715999999999994</v>
          </cell>
        </row>
        <row r="101">
          <cell r="B101" t="str">
            <v>Japan</v>
          </cell>
          <cell r="E101">
            <v>53.4</v>
          </cell>
          <cell r="F101">
            <v>58.4</v>
          </cell>
          <cell r="G101">
            <v>63.3</v>
          </cell>
          <cell r="H101">
            <v>67.900000000000006</v>
          </cell>
          <cell r="I101">
            <v>71.900000000000006</v>
          </cell>
          <cell r="J101">
            <v>75.7</v>
          </cell>
          <cell r="K101">
            <v>76.2</v>
          </cell>
          <cell r="L101">
            <v>76.7</v>
          </cell>
          <cell r="M101">
            <v>77.3</v>
          </cell>
          <cell r="N101">
            <v>78</v>
          </cell>
          <cell r="O101">
            <v>78.599999999999994</v>
          </cell>
          <cell r="P101">
            <v>86</v>
          </cell>
          <cell r="Q101">
            <v>90.8</v>
          </cell>
          <cell r="R101">
            <v>91.4</v>
          </cell>
          <cell r="S101">
            <v>91.8</v>
          </cell>
          <cell r="T101">
            <v>92.521000000000001</v>
          </cell>
          <cell r="U101">
            <v>93.201999999999998</v>
          </cell>
          <cell r="V101">
            <v>93.843000000000004</v>
          </cell>
          <cell r="W101">
            <v>94.441000000000003</v>
          </cell>
          <cell r="X101">
            <v>94.995999999999995</v>
          </cell>
          <cell r="Y101">
            <v>95.509</v>
          </cell>
          <cell r="Z101">
            <v>95.98</v>
          </cell>
          <cell r="AA101">
            <v>96.41</v>
          </cell>
          <cell r="AB101">
            <v>96.801000000000002</v>
          </cell>
          <cell r="AC101">
            <v>97.156000000000006</v>
          </cell>
          <cell r="AD101">
            <v>97.475999999999999</v>
          </cell>
          <cell r="AE101">
            <v>97.763999999999996</v>
          </cell>
          <cell r="AF101">
            <v>98.022000000000006</v>
          </cell>
          <cell r="AG101">
            <v>98.253</v>
          </cell>
          <cell r="AH101">
            <v>98.459000000000003</v>
          </cell>
          <cell r="AI101">
            <v>98.641999999999996</v>
          </cell>
        </row>
        <row r="102">
          <cell r="B102" t="str">
            <v>Kazakhstan</v>
          </cell>
          <cell r="E102">
            <v>36.4</v>
          </cell>
          <cell r="F102">
            <v>40.4</v>
          </cell>
          <cell r="G102">
            <v>44.2</v>
          </cell>
          <cell r="H102">
            <v>47</v>
          </cell>
          <cell r="I102">
            <v>50.2</v>
          </cell>
          <cell r="J102">
            <v>52.6</v>
          </cell>
          <cell r="K102">
            <v>54.1</v>
          </cell>
          <cell r="L102">
            <v>56</v>
          </cell>
          <cell r="M102">
            <v>56.3</v>
          </cell>
          <cell r="N102">
            <v>55.9</v>
          </cell>
          <cell r="O102">
            <v>56.1</v>
          </cell>
          <cell r="P102">
            <v>56.5</v>
          </cell>
          <cell r="Q102">
            <v>56.8</v>
          </cell>
          <cell r="R102">
            <v>57.2</v>
          </cell>
          <cell r="S102">
            <v>57.7</v>
          </cell>
          <cell r="T102">
            <v>59.975999999999999</v>
          </cell>
          <cell r="U102">
            <v>62.107999999999997</v>
          </cell>
          <cell r="V102">
            <v>64.099999999999994</v>
          </cell>
          <cell r="W102">
            <v>65.959000000000003</v>
          </cell>
          <cell r="X102">
            <v>67.691999999999993</v>
          </cell>
          <cell r="Y102">
            <v>69.308000000000007</v>
          </cell>
          <cell r="Z102">
            <v>70.813999999999993</v>
          </cell>
          <cell r="AA102">
            <v>72.218000000000004</v>
          </cell>
          <cell r="AB102">
            <v>73.527000000000001</v>
          </cell>
          <cell r="AC102">
            <v>74.748999999999995</v>
          </cell>
          <cell r="AD102">
            <v>75.89</v>
          </cell>
          <cell r="AE102">
            <v>76.956000000000003</v>
          </cell>
          <cell r="AF102">
            <v>77.954999999999998</v>
          </cell>
          <cell r="AG102">
            <v>78.89</v>
          </cell>
          <cell r="AH102">
            <v>79.766000000000005</v>
          </cell>
          <cell r="AI102">
            <v>80.588999999999999</v>
          </cell>
        </row>
        <row r="103">
          <cell r="B103" t="str">
            <v>Kenya</v>
          </cell>
          <cell r="E103">
            <v>5.6</v>
          </cell>
          <cell r="F103">
            <v>6.4</v>
          </cell>
          <cell r="G103">
            <v>7.4</v>
          </cell>
          <cell r="H103">
            <v>8.6</v>
          </cell>
          <cell r="I103">
            <v>10.3</v>
          </cell>
          <cell r="J103">
            <v>12.9</v>
          </cell>
          <cell r="K103">
            <v>15.6</v>
          </cell>
          <cell r="L103">
            <v>16.100000000000001</v>
          </cell>
          <cell r="M103">
            <v>16.7</v>
          </cell>
          <cell r="N103">
            <v>18.3</v>
          </cell>
          <cell r="O103">
            <v>19.899999999999999</v>
          </cell>
          <cell r="P103">
            <v>21.7</v>
          </cell>
          <cell r="Q103">
            <v>23.6</v>
          </cell>
          <cell r="R103">
            <v>25.7</v>
          </cell>
          <cell r="S103">
            <v>28</v>
          </cell>
          <cell r="T103">
            <v>30.882999999999999</v>
          </cell>
          <cell r="U103">
            <v>33.816000000000003</v>
          </cell>
          <cell r="V103">
            <v>36.764000000000003</v>
          </cell>
          <cell r="W103">
            <v>39.697000000000003</v>
          </cell>
          <cell r="X103">
            <v>42.585999999999999</v>
          </cell>
          <cell r="Y103">
            <v>45.406999999999996</v>
          </cell>
          <cell r="Z103">
            <v>48.14</v>
          </cell>
          <cell r="AA103">
            <v>50.77</v>
          </cell>
          <cell r="AB103">
            <v>53.286000000000001</v>
          </cell>
          <cell r="AC103">
            <v>55.682000000000002</v>
          </cell>
          <cell r="AD103">
            <v>57.954999999999998</v>
          </cell>
          <cell r="AE103">
            <v>60.103000000000002</v>
          </cell>
          <cell r="AF103">
            <v>62.128999999999998</v>
          </cell>
          <cell r="AG103">
            <v>64.034999999999997</v>
          </cell>
          <cell r="AH103">
            <v>65.826999999999998</v>
          </cell>
          <cell r="AI103">
            <v>67.509</v>
          </cell>
        </row>
        <row r="104">
          <cell r="B104" t="str">
            <v>Kyrgyzstan</v>
          </cell>
          <cell r="E104">
            <v>26.5</v>
          </cell>
          <cell r="F104">
            <v>30.6</v>
          </cell>
          <cell r="G104">
            <v>34.200000000000003</v>
          </cell>
          <cell r="H104">
            <v>35.9</v>
          </cell>
          <cell r="I104">
            <v>37.5</v>
          </cell>
          <cell r="J104">
            <v>38.200000000000003</v>
          </cell>
          <cell r="K104">
            <v>38.6</v>
          </cell>
          <cell r="L104">
            <v>38.4</v>
          </cell>
          <cell r="M104">
            <v>37.799999999999997</v>
          </cell>
          <cell r="N104">
            <v>36.299999999999997</v>
          </cell>
          <cell r="O104">
            <v>35.299999999999997</v>
          </cell>
          <cell r="P104">
            <v>35.299999999999997</v>
          </cell>
          <cell r="Q104">
            <v>35.299999999999997</v>
          </cell>
          <cell r="R104">
            <v>35.799999999999997</v>
          </cell>
          <cell r="S104">
            <v>36.9</v>
          </cell>
          <cell r="T104">
            <v>40.064999999999998</v>
          </cell>
          <cell r="U104">
            <v>43.152999999999999</v>
          </cell>
          <cell r="V104">
            <v>46.136000000000003</v>
          </cell>
          <cell r="W104">
            <v>48.991999999999997</v>
          </cell>
          <cell r="X104">
            <v>51.706000000000003</v>
          </cell>
          <cell r="Y104">
            <v>54.268999999999998</v>
          </cell>
          <cell r="Z104">
            <v>56.68</v>
          </cell>
          <cell r="AA104">
            <v>58.938000000000002</v>
          </cell>
          <cell r="AB104">
            <v>61.046999999999997</v>
          </cell>
          <cell r="AC104">
            <v>63.014000000000003</v>
          </cell>
          <cell r="AD104">
            <v>64.844999999999999</v>
          </cell>
          <cell r="AE104">
            <v>66.549000000000007</v>
          </cell>
          <cell r="AF104">
            <v>68.134</v>
          </cell>
          <cell r="AG104">
            <v>69.608000000000004</v>
          </cell>
          <cell r="AH104">
            <v>70.98</v>
          </cell>
          <cell r="AI104">
            <v>72.257000000000005</v>
          </cell>
        </row>
        <row r="105">
          <cell r="B105" t="str">
            <v>Cambodia</v>
          </cell>
          <cell r="E105">
            <v>10.199999999999999</v>
          </cell>
          <cell r="F105">
            <v>10.199999999999999</v>
          </cell>
          <cell r="G105">
            <v>10.3</v>
          </cell>
          <cell r="H105">
            <v>10.8</v>
          </cell>
          <cell r="I105">
            <v>16</v>
          </cell>
          <cell r="J105">
            <v>4.5</v>
          </cell>
          <cell r="K105">
            <v>9.9</v>
          </cell>
          <cell r="L105">
            <v>13.9</v>
          </cell>
          <cell r="M105">
            <v>15.5</v>
          </cell>
          <cell r="N105">
            <v>17.3</v>
          </cell>
          <cell r="O105">
            <v>18.600000000000001</v>
          </cell>
          <cell r="P105">
            <v>19.2</v>
          </cell>
          <cell r="Q105">
            <v>20.3</v>
          </cell>
          <cell r="R105">
            <v>22.2</v>
          </cell>
          <cell r="S105">
            <v>24.2</v>
          </cell>
          <cell r="T105">
            <v>26.395</v>
          </cell>
          <cell r="U105">
            <v>28.661000000000001</v>
          </cell>
          <cell r="V105">
            <v>30.983000000000001</v>
          </cell>
          <cell r="W105">
            <v>33.345999999999997</v>
          </cell>
          <cell r="X105">
            <v>35.731000000000002</v>
          </cell>
          <cell r="Y105">
            <v>38.124000000000002</v>
          </cell>
          <cell r="Z105">
            <v>40.508000000000003</v>
          </cell>
          <cell r="AA105">
            <v>42.87</v>
          </cell>
          <cell r="AB105">
            <v>45.197000000000003</v>
          </cell>
          <cell r="AC105">
            <v>47.478000000000002</v>
          </cell>
          <cell r="AD105">
            <v>49.701999999999998</v>
          </cell>
          <cell r="AE105">
            <v>51.863</v>
          </cell>
          <cell r="AF105">
            <v>53.954000000000001</v>
          </cell>
          <cell r="AG105">
            <v>55.972000000000001</v>
          </cell>
          <cell r="AH105">
            <v>57.911999999999999</v>
          </cell>
          <cell r="AI105">
            <v>59.774000000000001</v>
          </cell>
        </row>
        <row r="106">
          <cell r="B106" t="str">
            <v>Kiribati</v>
          </cell>
          <cell r="E106">
            <v>11</v>
          </cell>
          <cell r="F106">
            <v>13.4</v>
          </cell>
          <cell r="G106">
            <v>16.3</v>
          </cell>
          <cell r="H106">
            <v>19.600000000000001</v>
          </cell>
          <cell r="I106">
            <v>24.1</v>
          </cell>
          <cell r="J106">
            <v>29.6</v>
          </cell>
          <cell r="K106">
            <v>32.299999999999997</v>
          </cell>
          <cell r="L106">
            <v>33.5</v>
          </cell>
          <cell r="M106">
            <v>35</v>
          </cell>
          <cell r="N106">
            <v>36.4</v>
          </cell>
          <cell r="O106">
            <v>43</v>
          </cell>
          <cell r="P106">
            <v>43.6</v>
          </cell>
          <cell r="Q106">
            <v>47.4</v>
          </cell>
          <cell r="R106">
            <v>51.6</v>
          </cell>
          <cell r="S106">
            <v>55.6</v>
          </cell>
          <cell r="T106">
            <v>58.192</v>
          </cell>
          <cell r="U106">
            <v>60.606000000000002</v>
          </cell>
          <cell r="V106">
            <v>62.847999999999999</v>
          </cell>
          <cell r="W106">
            <v>64.924999999999997</v>
          </cell>
          <cell r="X106">
            <v>66.847999999999999</v>
          </cell>
          <cell r="Y106">
            <v>68.626999999999995</v>
          </cell>
          <cell r="Z106">
            <v>70.272999999999996</v>
          </cell>
          <cell r="AA106">
            <v>71.796000000000006</v>
          </cell>
          <cell r="AB106">
            <v>73.204999999999998</v>
          </cell>
          <cell r="AC106">
            <v>74.512</v>
          </cell>
          <cell r="AD106">
            <v>75.724000000000004</v>
          </cell>
          <cell r="AE106">
            <v>76.849999999999994</v>
          </cell>
          <cell r="AF106">
            <v>77.897000000000006</v>
          </cell>
          <cell r="AG106">
            <v>78.870999999999995</v>
          </cell>
          <cell r="AH106">
            <v>79.78</v>
          </cell>
          <cell r="AI106">
            <v>80.629000000000005</v>
          </cell>
        </row>
        <row r="107">
          <cell r="B107" t="str">
            <v>Saint Kitts and Nevis</v>
          </cell>
          <cell r="E107">
            <v>26.5</v>
          </cell>
          <cell r="F107">
            <v>27</v>
          </cell>
          <cell r="G107">
            <v>27.6</v>
          </cell>
          <cell r="H107">
            <v>30.9</v>
          </cell>
          <cell r="I107">
            <v>34.1</v>
          </cell>
          <cell r="J107">
            <v>35</v>
          </cell>
          <cell r="K107">
            <v>35.9</v>
          </cell>
          <cell r="L107">
            <v>35.200000000000003</v>
          </cell>
          <cell r="M107">
            <v>34.6</v>
          </cell>
          <cell r="N107">
            <v>33.700000000000003</v>
          </cell>
          <cell r="O107">
            <v>32.799999999999997</v>
          </cell>
          <cell r="P107">
            <v>32</v>
          </cell>
          <cell r="Q107">
            <v>31.3</v>
          </cell>
          <cell r="R107">
            <v>30.8</v>
          </cell>
          <cell r="S107">
            <v>30.8</v>
          </cell>
          <cell r="T107">
            <v>33.820999999999998</v>
          </cell>
          <cell r="U107">
            <v>36.844999999999999</v>
          </cell>
          <cell r="V107">
            <v>39.838000000000001</v>
          </cell>
          <cell r="W107">
            <v>42.768000000000001</v>
          </cell>
          <cell r="X107">
            <v>45.610999999999997</v>
          </cell>
          <cell r="Y107">
            <v>48.347000000000001</v>
          </cell>
          <cell r="Z107">
            <v>50.962000000000003</v>
          </cell>
          <cell r="AA107">
            <v>53.447000000000003</v>
          </cell>
          <cell r="AB107">
            <v>55.798000000000002</v>
          </cell>
          <cell r="AC107">
            <v>58.012999999999998</v>
          </cell>
          <cell r="AD107">
            <v>60.094999999999999</v>
          </cell>
          <cell r="AE107">
            <v>62.048000000000002</v>
          </cell>
          <cell r="AF107">
            <v>63.875999999999998</v>
          </cell>
          <cell r="AG107">
            <v>65.585999999999999</v>
          </cell>
          <cell r="AH107">
            <v>67.183999999999997</v>
          </cell>
          <cell r="AI107">
            <v>68.677999999999997</v>
          </cell>
        </row>
        <row r="108">
          <cell r="B108" t="str">
            <v>South Korea</v>
          </cell>
          <cell r="E108">
            <v>21.4</v>
          </cell>
          <cell r="F108">
            <v>24.4</v>
          </cell>
          <cell r="G108">
            <v>27.7</v>
          </cell>
          <cell r="H108">
            <v>32.4</v>
          </cell>
          <cell r="I108">
            <v>40.700000000000003</v>
          </cell>
          <cell r="J108">
            <v>48</v>
          </cell>
          <cell r="K108">
            <v>56.7</v>
          </cell>
          <cell r="L108">
            <v>64.900000000000006</v>
          </cell>
          <cell r="M108">
            <v>73.8</v>
          </cell>
          <cell r="N108">
            <v>78.2</v>
          </cell>
          <cell r="O108">
            <v>79.599999999999994</v>
          </cell>
          <cell r="P108">
            <v>81.3</v>
          </cell>
          <cell r="Q108">
            <v>81.900000000000006</v>
          </cell>
          <cell r="R108">
            <v>81.599999999999994</v>
          </cell>
          <cell r="S108">
            <v>81.400000000000006</v>
          </cell>
          <cell r="T108">
            <v>82.36</v>
          </cell>
          <cell r="U108">
            <v>83.325999999999993</v>
          </cell>
          <cell r="V108">
            <v>84.29</v>
          </cell>
          <cell r="W108">
            <v>85.248999999999995</v>
          </cell>
          <cell r="X108">
            <v>86.197000000000003</v>
          </cell>
          <cell r="Y108">
            <v>87.128</v>
          </cell>
          <cell r="Z108">
            <v>88.037000000000006</v>
          </cell>
          <cell r="AA108">
            <v>88.92</v>
          </cell>
          <cell r="AB108">
            <v>89.772999999999996</v>
          </cell>
          <cell r="AC108">
            <v>90.59</v>
          </cell>
          <cell r="AD108">
            <v>91.37</v>
          </cell>
          <cell r="AE108">
            <v>92.11</v>
          </cell>
          <cell r="AF108">
            <v>92.807000000000002</v>
          </cell>
          <cell r="AG108">
            <v>93.462000000000003</v>
          </cell>
          <cell r="AH108">
            <v>94.072000000000003</v>
          </cell>
          <cell r="AI108">
            <v>94.638999999999996</v>
          </cell>
        </row>
        <row r="109">
          <cell r="B109" t="str">
            <v>Laos</v>
          </cell>
          <cell r="E109">
            <v>7.2</v>
          </cell>
          <cell r="F109">
            <v>7.6</v>
          </cell>
          <cell r="G109">
            <v>7.9</v>
          </cell>
          <cell r="H109">
            <v>8.3000000000000007</v>
          </cell>
          <cell r="I109">
            <v>9.6</v>
          </cell>
          <cell r="J109">
            <v>11.1</v>
          </cell>
          <cell r="K109">
            <v>12.4</v>
          </cell>
          <cell r="L109">
            <v>13.8</v>
          </cell>
          <cell r="M109">
            <v>15.4</v>
          </cell>
          <cell r="N109">
            <v>17.399999999999999</v>
          </cell>
          <cell r="O109">
            <v>22</v>
          </cell>
          <cell r="P109">
            <v>27.2</v>
          </cell>
          <cell r="Q109">
            <v>30.1</v>
          </cell>
          <cell r="R109">
            <v>33.1</v>
          </cell>
          <cell r="S109">
            <v>36.299999999999997</v>
          </cell>
          <cell r="T109">
            <v>39.402000000000001</v>
          </cell>
          <cell r="U109">
            <v>42.441000000000003</v>
          </cell>
          <cell r="V109">
            <v>45.387999999999998</v>
          </cell>
          <cell r="W109">
            <v>48.22</v>
          </cell>
          <cell r="X109">
            <v>50.923000000000002</v>
          </cell>
          <cell r="Y109">
            <v>53.485999999999997</v>
          </cell>
          <cell r="Z109">
            <v>55.905000000000001</v>
          </cell>
          <cell r="AA109">
            <v>58.179000000000002</v>
          </cell>
          <cell r="AB109">
            <v>60.31</v>
          </cell>
          <cell r="AC109">
            <v>62.302999999999997</v>
          </cell>
          <cell r="AD109">
            <v>64.162999999999997</v>
          </cell>
          <cell r="AE109">
            <v>65.899000000000001</v>
          </cell>
          <cell r="AF109">
            <v>67.516999999999996</v>
          </cell>
          <cell r="AG109">
            <v>69.025000000000006</v>
          </cell>
          <cell r="AH109">
            <v>70.430999999999997</v>
          </cell>
          <cell r="AI109">
            <v>71.742999999999995</v>
          </cell>
        </row>
        <row r="110">
          <cell r="B110" t="str">
            <v>Lebanon</v>
          </cell>
          <cell r="E110">
            <v>32</v>
          </cell>
          <cell r="F110">
            <v>36.299999999999997</v>
          </cell>
          <cell r="G110">
            <v>42.3</v>
          </cell>
          <cell r="H110">
            <v>50.9</v>
          </cell>
          <cell r="I110">
            <v>59.5</v>
          </cell>
          <cell r="J110">
            <v>67</v>
          </cell>
          <cell r="K110">
            <v>73.7</v>
          </cell>
          <cell r="L110">
            <v>79.400000000000006</v>
          </cell>
          <cell r="M110">
            <v>83.1</v>
          </cell>
          <cell r="N110">
            <v>84.8</v>
          </cell>
          <cell r="O110">
            <v>86</v>
          </cell>
          <cell r="P110">
            <v>86.6</v>
          </cell>
          <cell r="Q110">
            <v>87.3</v>
          </cell>
          <cell r="R110">
            <v>88.1</v>
          </cell>
          <cell r="S110">
            <v>88.9</v>
          </cell>
          <cell r="T110">
            <v>89.811000000000007</v>
          </cell>
          <cell r="U110">
            <v>90.637</v>
          </cell>
          <cell r="V110">
            <v>91.387</v>
          </cell>
          <cell r="W110">
            <v>92.069000000000003</v>
          </cell>
          <cell r="X110">
            <v>92.69</v>
          </cell>
          <cell r="Y110">
            <v>93.257000000000005</v>
          </cell>
          <cell r="Z110">
            <v>93.775000000000006</v>
          </cell>
          <cell r="AA110">
            <v>94.25</v>
          </cell>
          <cell r="AB110">
            <v>94.683999999999997</v>
          </cell>
          <cell r="AC110">
            <v>95.082999999999998</v>
          </cell>
          <cell r="AD110">
            <v>95.448999999999998</v>
          </cell>
          <cell r="AE110">
            <v>95.784999999999997</v>
          </cell>
          <cell r="AF110">
            <v>96.094999999999999</v>
          </cell>
          <cell r="AG110">
            <v>96.38</v>
          </cell>
          <cell r="AH110">
            <v>96.643000000000001</v>
          </cell>
          <cell r="AI110">
            <v>96.885000000000005</v>
          </cell>
        </row>
        <row r="111">
          <cell r="B111" t="str">
            <v>Liberia</v>
          </cell>
          <cell r="E111">
            <v>13</v>
          </cell>
          <cell r="F111">
            <v>15.6</v>
          </cell>
          <cell r="G111">
            <v>18.600000000000001</v>
          </cell>
          <cell r="H111">
            <v>22.1</v>
          </cell>
          <cell r="I111">
            <v>26</v>
          </cell>
          <cell r="J111">
            <v>30.4</v>
          </cell>
          <cell r="K111">
            <v>35.200000000000003</v>
          </cell>
          <cell r="L111">
            <v>42.4</v>
          </cell>
          <cell r="M111">
            <v>55.4</v>
          </cell>
          <cell r="N111">
            <v>46</v>
          </cell>
          <cell r="O111">
            <v>44.3</v>
          </cell>
          <cell r="P111">
            <v>46.1</v>
          </cell>
          <cell r="Q111">
            <v>47.8</v>
          </cell>
          <cell r="R111">
            <v>49.8</v>
          </cell>
          <cell r="S111">
            <v>52.1</v>
          </cell>
          <cell r="T111">
            <v>54.54</v>
          </cell>
          <cell r="U111">
            <v>56.872999999999998</v>
          </cell>
          <cell r="V111">
            <v>59.094999999999999</v>
          </cell>
          <cell r="W111">
            <v>61.204000000000001</v>
          </cell>
          <cell r="X111">
            <v>63.201000000000001</v>
          </cell>
          <cell r="Y111">
            <v>65.088999999999999</v>
          </cell>
          <cell r="Z111">
            <v>66.870999999999995</v>
          </cell>
          <cell r="AA111">
            <v>68.55</v>
          </cell>
          <cell r="AB111">
            <v>70.132000000000005</v>
          </cell>
          <cell r="AC111">
            <v>71.62</v>
          </cell>
          <cell r="AD111">
            <v>73.021000000000001</v>
          </cell>
          <cell r="AE111">
            <v>74.338999999999999</v>
          </cell>
          <cell r="AF111">
            <v>75.578999999999994</v>
          </cell>
          <cell r="AG111">
            <v>76.745999999999995</v>
          </cell>
          <cell r="AH111">
            <v>77.844999999999999</v>
          </cell>
          <cell r="AI111">
            <v>78.88</v>
          </cell>
        </row>
        <row r="112">
          <cell r="B112" t="str">
            <v>Libya</v>
          </cell>
          <cell r="E112">
            <v>19.5</v>
          </cell>
          <cell r="F112">
            <v>23.2</v>
          </cell>
          <cell r="G112">
            <v>27.3</v>
          </cell>
          <cell r="H112">
            <v>33.700000000000003</v>
          </cell>
          <cell r="I112">
            <v>49.7</v>
          </cell>
          <cell r="J112">
            <v>62.8</v>
          </cell>
          <cell r="K112">
            <v>70.099999999999994</v>
          </cell>
          <cell r="L112">
            <v>75.5</v>
          </cell>
          <cell r="M112">
            <v>75.7</v>
          </cell>
          <cell r="N112">
            <v>76</v>
          </cell>
          <cell r="O112">
            <v>76.400000000000006</v>
          </cell>
          <cell r="P112">
            <v>77.099999999999994</v>
          </cell>
          <cell r="Q112">
            <v>78.099999999999994</v>
          </cell>
          <cell r="R112">
            <v>79.3</v>
          </cell>
          <cell r="S112">
            <v>80.7</v>
          </cell>
          <cell r="T112">
            <v>81.98</v>
          </cell>
          <cell r="U112">
            <v>83.168999999999997</v>
          </cell>
          <cell r="V112">
            <v>84.274000000000001</v>
          </cell>
          <cell r="W112">
            <v>85.3</v>
          </cell>
          <cell r="X112">
            <v>86.254999999999995</v>
          </cell>
          <cell r="Y112">
            <v>87.141999999999996</v>
          </cell>
          <cell r="Z112">
            <v>87.968000000000004</v>
          </cell>
          <cell r="AA112">
            <v>88.736000000000004</v>
          </cell>
          <cell r="AB112">
            <v>89.451999999999998</v>
          </cell>
          <cell r="AC112">
            <v>90.117999999999995</v>
          </cell>
          <cell r="AD112">
            <v>90.74</v>
          </cell>
          <cell r="AE112">
            <v>91.319000000000003</v>
          </cell>
          <cell r="AF112">
            <v>91.86</v>
          </cell>
          <cell r="AG112">
            <v>92.364999999999995</v>
          </cell>
          <cell r="AH112">
            <v>92.837000000000003</v>
          </cell>
          <cell r="AI112">
            <v>93.277000000000001</v>
          </cell>
        </row>
        <row r="113">
          <cell r="B113" t="str">
            <v>Saint Lucia</v>
          </cell>
          <cell r="E113">
            <v>19.2</v>
          </cell>
          <cell r="F113">
            <v>20.3</v>
          </cell>
          <cell r="G113">
            <v>21.5</v>
          </cell>
          <cell r="H113">
            <v>22.7</v>
          </cell>
          <cell r="I113">
            <v>23.9</v>
          </cell>
          <cell r="J113">
            <v>25.2</v>
          </cell>
          <cell r="K113">
            <v>26.5</v>
          </cell>
          <cell r="L113">
            <v>27.9</v>
          </cell>
          <cell r="M113">
            <v>29.3</v>
          </cell>
          <cell r="N113">
            <v>28.8</v>
          </cell>
          <cell r="O113">
            <v>27.8</v>
          </cell>
          <cell r="P113">
            <v>23.1</v>
          </cell>
          <cell r="Q113">
            <v>18.5</v>
          </cell>
          <cell r="R113">
            <v>18.5</v>
          </cell>
          <cell r="S113">
            <v>18.8</v>
          </cell>
          <cell r="T113">
            <v>20.942</v>
          </cell>
          <cell r="U113">
            <v>23.213000000000001</v>
          </cell>
          <cell r="V113">
            <v>25.599</v>
          </cell>
          <cell r="W113">
            <v>28.084</v>
          </cell>
          <cell r="X113">
            <v>30.649000000000001</v>
          </cell>
          <cell r="Y113">
            <v>33.273000000000003</v>
          </cell>
          <cell r="Z113">
            <v>35.933</v>
          </cell>
          <cell r="AA113">
            <v>38.609000000000002</v>
          </cell>
          <cell r="AB113">
            <v>41.279000000000003</v>
          </cell>
          <cell r="AC113">
            <v>43.924999999999997</v>
          </cell>
          <cell r="AD113">
            <v>46.527999999999999</v>
          </cell>
          <cell r="AE113">
            <v>49.073</v>
          </cell>
          <cell r="AF113">
            <v>51.548999999999999</v>
          </cell>
          <cell r="AG113">
            <v>53.945</v>
          </cell>
          <cell r="AH113">
            <v>56.253999999999998</v>
          </cell>
          <cell r="AI113">
            <v>58.47</v>
          </cell>
        </row>
        <row r="114">
          <cell r="B114" t="str">
            <v>Liechtenstein</v>
          </cell>
          <cell r="E114">
            <v>19.899999999999999</v>
          </cell>
          <cell r="F114">
            <v>20.399999999999999</v>
          </cell>
          <cell r="G114">
            <v>20.399999999999999</v>
          </cell>
          <cell r="H114">
            <v>19.5</v>
          </cell>
          <cell r="I114">
            <v>18.5</v>
          </cell>
          <cell r="J114">
            <v>18.3</v>
          </cell>
          <cell r="K114">
            <v>18.3</v>
          </cell>
          <cell r="L114">
            <v>17.600000000000001</v>
          </cell>
          <cell r="M114">
            <v>16.899999999999999</v>
          </cell>
          <cell r="N114">
            <v>16.5</v>
          </cell>
          <cell r="O114">
            <v>15.1</v>
          </cell>
          <cell r="P114">
            <v>14.7</v>
          </cell>
          <cell r="Q114">
            <v>14.5</v>
          </cell>
          <cell r="R114">
            <v>14.3</v>
          </cell>
          <cell r="S114">
            <v>14.4</v>
          </cell>
          <cell r="T114">
            <v>16.326000000000001</v>
          </cell>
          <cell r="U114">
            <v>18.416</v>
          </cell>
          <cell r="V114">
            <v>20.664000000000001</v>
          </cell>
          <cell r="W114">
            <v>23.058</v>
          </cell>
          <cell r="X114">
            <v>25.58</v>
          </cell>
          <cell r="Y114">
            <v>28.212</v>
          </cell>
          <cell r="Z114">
            <v>30.93</v>
          </cell>
          <cell r="AA114">
            <v>33.707999999999998</v>
          </cell>
          <cell r="AB114">
            <v>36.521000000000001</v>
          </cell>
          <cell r="AC114">
            <v>39.343000000000004</v>
          </cell>
          <cell r="AD114">
            <v>42.149000000000001</v>
          </cell>
          <cell r="AE114">
            <v>44.918999999999997</v>
          </cell>
          <cell r="AF114">
            <v>47.631</v>
          </cell>
          <cell r="AG114">
            <v>50.271000000000001</v>
          </cell>
          <cell r="AH114">
            <v>52.825000000000003</v>
          </cell>
          <cell r="AI114">
            <v>55.283000000000001</v>
          </cell>
        </row>
        <row r="115">
          <cell r="B115" t="str">
            <v>Sri Lanka</v>
          </cell>
          <cell r="E115">
            <v>15.3</v>
          </cell>
          <cell r="F115">
            <v>15.6</v>
          </cell>
          <cell r="G115">
            <v>16.399999999999999</v>
          </cell>
          <cell r="H115">
            <v>17.100000000000001</v>
          </cell>
          <cell r="I115">
            <v>17.600000000000001</v>
          </cell>
          <cell r="J115">
            <v>18.100000000000001</v>
          </cell>
          <cell r="K115">
            <v>18.600000000000001</v>
          </cell>
          <cell r="L115">
            <v>18.600000000000001</v>
          </cell>
          <cell r="M115">
            <v>18.5</v>
          </cell>
          <cell r="N115">
            <v>18.5</v>
          </cell>
          <cell r="O115">
            <v>18.399999999999999</v>
          </cell>
          <cell r="P115">
            <v>18.3</v>
          </cell>
          <cell r="Q115">
            <v>18.2</v>
          </cell>
          <cell r="R115">
            <v>18.3</v>
          </cell>
          <cell r="S115">
            <v>18.7</v>
          </cell>
          <cell r="T115">
            <v>20.84</v>
          </cell>
          <cell r="U115">
            <v>23.12</v>
          </cell>
          <cell r="V115">
            <v>25.526</v>
          </cell>
          <cell r="W115">
            <v>28.045000000000002</v>
          </cell>
          <cell r="X115">
            <v>30.66</v>
          </cell>
          <cell r="Y115">
            <v>33.348999999999997</v>
          </cell>
          <cell r="Z115">
            <v>36.091999999999999</v>
          </cell>
          <cell r="AA115">
            <v>38.866</v>
          </cell>
          <cell r="AB115">
            <v>41.65</v>
          </cell>
          <cell r="AC115">
            <v>44.423000000000002</v>
          </cell>
          <cell r="AD115">
            <v>47.164999999999999</v>
          </cell>
          <cell r="AE115">
            <v>49.857999999999997</v>
          </cell>
          <cell r="AF115">
            <v>52.488</v>
          </cell>
          <cell r="AG115">
            <v>55.042999999999999</v>
          </cell>
          <cell r="AH115">
            <v>57.511000000000003</v>
          </cell>
          <cell r="AI115">
            <v>59.886000000000003</v>
          </cell>
        </row>
        <row r="116">
          <cell r="B116" t="str">
            <v>Lesotho</v>
          </cell>
          <cell r="E116">
            <v>1.8</v>
          </cell>
          <cell r="F116">
            <v>2</v>
          </cell>
          <cell r="G116">
            <v>3.5</v>
          </cell>
          <cell r="H116">
            <v>6.4</v>
          </cell>
          <cell r="I116">
            <v>8.6</v>
          </cell>
          <cell r="J116">
            <v>10.8</v>
          </cell>
          <cell r="K116">
            <v>11.5</v>
          </cell>
          <cell r="L116">
            <v>11.8</v>
          </cell>
          <cell r="M116">
            <v>14</v>
          </cell>
          <cell r="N116">
            <v>17</v>
          </cell>
          <cell r="O116">
            <v>19.5</v>
          </cell>
          <cell r="P116">
            <v>22.2</v>
          </cell>
          <cell r="Q116">
            <v>24.8</v>
          </cell>
          <cell r="R116">
            <v>26.9</v>
          </cell>
          <cell r="S116">
            <v>29</v>
          </cell>
          <cell r="T116">
            <v>32.04</v>
          </cell>
          <cell r="U116">
            <v>35.104999999999997</v>
          </cell>
          <cell r="V116">
            <v>38.158999999999999</v>
          </cell>
          <cell r="W116">
            <v>41.164999999999999</v>
          </cell>
          <cell r="X116">
            <v>44.094999999999999</v>
          </cell>
          <cell r="Y116">
            <v>46.924999999999997</v>
          </cell>
          <cell r="Z116">
            <v>49.637999999999998</v>
          </cell>
          <cell r="AA116">
            <v>52.220999999999997</v>
          </cell>
          <cell r="AB116">
            <v>54.668999999999997</v>
          </cell>
          <cell r="AC116">
            <v>56.976999999999997</v>
          </cell>
          <cell r="AD116">
            <v>59.148000000000003</v>
          </cell>
          <cell r="AE116">
            <v>61.183999999999997</v>
          </cell>
          <cell r="AF116">
            <v>63.088999999999999</v>
          </cell>
          <cell r="AG116">
            <v>64.87</v>
          </cell>
          <cell r="AH116">
            <v>66.534000000000006</v>
          </cell>
          <cell r="AI116">
            <v>68.087999999999994</v>
          </cell>
        </row>
        <row r="117">
          <cell r="B117" t="str">
            <v>Lithuania</v>
          </cell>
          <cell r="E117">
            <v>28.8</v>
          </cell>
          <cell r="F117">
            <v>34.1</v>
          </cell>
          <cell r="G117">
            <v>39.5</v>
          </cell>
          <cell r="H117">
            <v>44.5</v>
          </cell>
          <cell r="I117">
            <v>49.6</v>
          </cell>
          <cell r="J117">
            <v>55.7</v>
          </cell>
          <cell r="K117">
            <v>61.2</v>
          </cell>
          <cell r="L117">
            <v>65</v>
          </cell>
          <cell r="M117">
            <v>67.599999999999994</v>
          </cell>
          <cell r="N117">
            <v>67.3</v>
          </cell>
          <cell r="O117">
            <v>67</v>
          </cell>
          <cell r="P117">
            <v>66.599999999999994</v>
          </cell>
          <cell r="Q117">
            <v>66.8</v>
          </cell>
          <cell r="R117">
            <v>67.2</v>
          </cell>
          <cell r="S117">
            <v>68</v>
          </cell>
          <cell r="T117">
            <v>69.701999999999998</v>
          </cell>
          <cell r="U117">
            <v>71.343000000000004</v>
          </cell>
          <cell r="V117">
            <v>72.92</v>
          </cell>
          <cell r="W117">
            <v>74.433999999999997</v>
          </cell>
          <cell r="X117">
            <v>75.882999999999996</v>
          </cell>
          <cell r="Y117">
            <v>77.269000000000005</v>
          </cell>
          <cell r="Z117">
            <v>78.590999999999994</v>
          </cell>
          <cell r="AA117">
            <v>79.850999999999999</v>
          </cell>
          <cell r="AB117">
            <v>81.049000000000007</v>
          </cell>
          <cell r="AC117">
            <v>82.186999999999998</v>
          </cell>
          <cell r="AD117">
            <v>83.266999999999996</v>
          </cell>
          <cell r="AE117">
            <v>84.289000000000001</v>
          </cell>
          <cell r="AF117">
            <v>85.257000000000005</v>
          </cell>
          <cell r="AG117">
            <v>86.171999999999997</v>
          </cell>
          <cell r="AH117">
            <v>87.036000000000001</v>
          </cell>
          <cell r="AI117">
            <v>87.852000000000004</v>
          </cell>
        </row>
        <row r="118">
          <cell r="B118" t="str">
            <v>Luxembourg</v>
          </cell>
          <cell r="E118">
            <v>67.2</v>
          </cell>
          <cell r="F118">
            <v>68.400000000000006</v>
          </cell>
          <cell r="G118">
            <v>69.599999999999994</v>
          </cell>
          <cell r="H118">
            <v>72</v>
          </cell>
          <cell r="I118">
            <v>74.400000000000006</v>
          </cell>
          <cell r="J118">
            <v>77.3</v>
          </cell>
          <cell r="K118">
            <v>80</v>
          </cell>
          <cell r="L118">
            <v>80.7</v>
          </cell>
          <cell r="M118">
            <v>80.900000000000006</v>
          </cell>
          <cell r="N118">
            <v>82.9</v>
          </cell>
          <cell r="O118">
            <v>84.2</v>
          </cell>
          <cell r="P118">
            <v>86.6</v>
          </cell>
          <cell r="Q118">
            <v>88.5</v>
          </cell>
          <cell r="R118">
            <v>90.2</v>
          </cell>
          <cell r="S118">
            <v>91.5</v>
          </cell>
          <cell r="T118">
            <v>92.540999999999997</v>
          </cell>
          <cell r="U118">
            <v>93.242999999999995</v>
          </cell>
          <cell r="V118">
            <v>93.745000000000005</v>
          </cell>
          <cell r="W118">
            <v>94.117000000000004</v>
          </cell>
          <cell r="X118">
            <v>94.400999999999996</v>
          </cell>
          <cell r="Y118">
            <v>94.623999999999995</v>
          </cell>
          <cell r="Z118">
            <v>94.8</v>
          </cell>
          <cell r="AA118">
            <v>94.942999999999998</v>
          </cell>
          <cell r="AB118">
            <v>95.058000000000007</v>
          </cell>
          <cell r="AC118">
            <v>95.153000000000006</v>
          </cell>
          <cell r="AD118">
            <v>95.231999999999999</v>
          </cell>
          <cell r="AE118">
            <v>95.296999999999997</v>
          </cell>
          <cell r="AF118">
            <v>95.352000000000004</v>
          </cell>
          <cell r="AG118">
            <v>95.397999999999996</v>
          </cell>
          <cell r="AH118">
            <v>95.436000000000007</v>
          </cell>
          <cell r="AI118">
            <v>95.468999999999994</v>
          </cell>
        </row>
        <row r="119">
          <cell r="B119" t="str">
            <v>Latvia</v>
          </cell>
          <cell r="E119">
            <v>46.4</v>
          </cell>
          <cell r="F119">
            <v>49.5</v>
          </cell>
          <cell r="G119">
            <v>52.9</v>
          </cell>
          <cell r="H119">
            <v>56.8</v>
          </cell>
          <cell r="I119">
            <v>60.7</v>
          </cell>
          <cell r="J119">
            <v>64.2</v>
          </cell>
          <cell r="K119">
            <v>67.099999999999994</v>
          </cell>
          <cell r="L119">
            <v>68.599999999999994</v>
          </cell>
          <cell r="M119">
            <v>69.3</v>
          </cell>
          <cell r="N119">
            <v>68.8</v>
          </cell>
          <cell r="O119">
            <v>68.099999999999994</v>
          </cell>
          <cell r="P119">
            <v>68</v>
          </cell>
          <cell r="Q119">
            <v>67.8</v>
          </cell>
          <cell r="R119">
            <v>68</v>
          </cell>
          <cell r="S119">
            <v>68.3</v>
          </cell>
          <cell r="T119">
            <v>70.001999999999995</v>
          </cell>
          <cell r="U119">
            <v>71.644999999999996</v>
          </cell>
          <cell r="V119">
            <v>73.228999999999999</v>
          </cell>
          <cell r="W119">
            <v>74.751000000000005</v>
          </cell>
          <cell r="X119">
            <v>76.210999999999999</v>
          </cell>
          <cell r="Y119">
            <v>77.608999999999995</v>
          </cell>
          <cell r="Z119">
            <v>78.944000000000003</v>
          </cell>
          <cell r="AA119">
            <v>80.216999999999999</v>
          </cell>
          <cell r="AB119">
            <v>81.427999999999997</v>
          </cell>
          <cell r="AC119">
            <v>82.578999999999994</v>
          </cell>
          <cell r="AD119">
            <v>83.67</v>
          </cell>
          <cell r="AE119">
            <v>84.703999999999994</v>
          </cell>
          <cell r="AF119">
            <v>85.682000000000002</v>
          </cell>
          <cell r="AG119">
            <v>86.605999999999995</v>
          </cell>
          <cell r="AH119">
            <v>87.477999999999994</v>
          </cell>
          <cell r="AI119">
            <v>88.299000000000007</v>
          </cell>
        </row>
        <row r="120">
          <cell r="B120" t="str">
            <v>Morocco</v>
          </cell>
          <cell r="E120">
            <v>26.2</v>
          </cell>
          <cell r="F120">
            <v>27.7</v>
          </cell>
          <cell r="G120">
            <v>29.4</v>
          </cell>
          <cell r="H120">
            <v>31.9</v>
          </cell>
          <cell r="I120">
            <v>34.5</v>
          </cell>
          <cell r="J120">
            <v>37.700000000000003</v>
          </cell>
          <cell r="K120">
            <v>41.2</v>
          </cell>
          <cell r="L120">
            <v>44.8</v>
          </cell>
          <cell r="M120">
            <v>48.4</v>
          </cell>
          <cell r="N120">
            <v>51.7</v>
          </cell>
          <cell r="O120">
            <v>53.3</v>
          </cell>
          <cell r="P120">
            <v>55.2</v>
          </cell>
          <cell r="Q120">
            <v>58</v>
          </cell>
          <cell r="R120">
            <v>60.8</v>
          </cell>
          <cell r="S120">
            <v>63.5</v>
          </cell>
          <cell r="T120">
            <v>64.659000000000006</v>
          </cell>
          <cell r="U120">
            <v>65.816000000000003</v>
          </cell>
          <cell r="V120">
            <v>66.966999999999999</v>
          </cell>
          <cell r="W120">
            <v>68.111999999999995</v>
          </cell>
          <cell r="X120">
            <v>69.248000000000005</v>
          </cell>
          <cell r="Y120">
            <v>70.373999999999995</v>
          </cell>
          <cell r="Z120">
            <v>71.488</v>
          </cell>
          <cell r="AA120">
            <v>72.587999999999994</v>
          </cell>
          <cell r="AB120">
            <v>73.673000000000002</v>
          </cell>
          <cell r="AC120">
            <v>74.741</v>
          </cell>
          <cell r="AD120">
            <v>75.790000000000006</v>
          </cell>
          <cell r="AE120">
            <v>76.819000000000003</v>
          </cell>
          <cell r="AF120">
            <v>77.826999999999998</v>
          </cell>
          <cell r="AG120">
            <v>78.811999999999998</v>
          </cell>
          <cell r="AH120">
            <v>79.772999999999996</v>
          </cell>
          <cell r="AI120">
            <v>80.709000000000003</v>
          </cell>
        </row>
        <row r="121">
          <cell r="B121" t="str">
            <v>Moldova</v>
          </cell>
          <cell r="E121">
            <v>18.5</v>
          </cell>
          <cell r="F121">
            <v>20.7</v>
          </cell>
          <cell r="G121">
            <v>23.4</v>
          </cell>
          <cell r="H121">
            <v>27.6</v>
          </cell>
          <cell r="I121">
            <v>32.1</v>
          </cell>
          <cell r="J121">
            <v>36.200000000000003</v>
          </cell>
          <cell r="K121">
            <v>40.4</v>
          </cell>
          <cell r="L121">
            <v>44.2</v>
          </cell>
          <cell r="M121">
            <v>46.8</v>
          </cell>
          <cell r="N121">
            <v>46.3</v>
          </cell>
          <cell r="O121">
            <v>44.6</v>
          </cell>
          <cell r="P121">
            <v>42.8</v>
          </cell>
          <cell r="Q121">
            <v>42.6</v>
          </cell>
          <cell r="R121">
            <v>42.5</v>
          </cell>
          <cell r="S121">
            <v>42.8</v>
          </cell>
          <cell r="T121">
            <v>45.664999999999999</v>
          </cell>
          <cell r="U121">
            <v>48.459000000000003</v>
          </cell>
          <cell r="V121">
            <v>51.164999999999999</v>
          </cell>
          <cell r="W121">
            <v>53.77</v>
          </cell>
          <cell r="X121">
            <v>56.264000000000003</v>
          </cell>
          <cell r="Y121">
            <v>58.643000000000001</v>
          </cell>
          <cell r="Z121">
            <v>60.902999999999999</v>
          </cell>
          <cell r="AA121">
            <v>63.042999999999999</v>
          </cell>
          <cell r="AB121">
            <v>65.064999999999998</v>
          </cell>
          <cell r="AC121">
            <v>66.971999999999994</v>
          </cell>
          <cell r="AD121">
            <v>68.766999999999996</v>
          </cell>
          <cell r="AE121">
            <v>70.456000000000003</v>
          </cell>
          <cell r="AF121">
            <v>72.042000000000002</v>
          </cell>
          <cell r="AG121">
            <v>73.531999999999996</v>
          </cell>
          <cell r="AH121">
            <v>74.930999999999997</v>
          </cell>
          <cell r="AI121">
            <v>76.245000000000005</v>
          </cell>
        </row>
        <row r="122">
          <cell r="B122" t="str">
            <v>Madagascar</v>
          </cell>
          <cell r="E122">
            <v>7.8</v>
          </cell>
          <cell r="F122">
            <v>9.1</v>
          </cell>
          <cell r="G122">
            <v>10.6</v>
          </cell>
          <cell r="H122">
            <v>12.4</v>
          </cell>
          <cell r="I122">
            <v>14.1</v>
          </cell>
          <cell r="J122">
            <v>16.3</v>
          </cell>
          <cell r="K122">
            <v>18.5</v>
          </cell>
          <cell r="L122">
            <v>20.9</v>
          </cell>
          <cell r="M122">
            <v>23.6</v>
          </cell>
          <cell r="N122">
            <v>25.8</v>
          </cell>
          <cell r="O122">
            <v>27.1</v>
          </cell>
          <cell r="P122">
            <v>28.8</v>
          </cell>
          <cell r="Q122">
            <v>31.9</v>
          </cell>
          <cell r="R122">
            <v>35.200000000000003</v>
          </cell>
          <cell r="S122">
            <v>38.5</v>
          </cell>
          <cell r="T122">
            <v>41.462000000000003</v>
          </cell>
          <cell r="U122">
            <v>44.332000000000001</v>
          </cell>
          <cell r="V122">
            <v>47.088999999999999</v>
          </cell>
          <cell r="W122">
            <v>49.718000000000004</v>
          </cell>
          <cell r="X122">
            <v>52.21</v>
          </cell>
          <cell r="Y122">
            <v>54.56</v>
          </cell>
          <cell r="Z122">
            <v>56.768000000000001</v>
          </cell>
          <cell r="AA122">
            <v>58.835999999999999</v>
          </cell>
          <cell r="AB122">
            <v>60.768999999999998</v>
          </cell>
          <cell r="AC122">
            <v>62.573999999999998</v>
          </cell>
          <cell r="AD122">
            <v>64.256</v>
          </cell>
          <cell r="AE122">
            <v>65.823999999999998</v>
          </cell>
          <cell r="AF122">
            <v>67.284999999999997</v>
          </cell>
          <cell r="AG122">
            <v>68.647000000000006</v>
          </cell>
          <cell r="AH122">
            <v>69.917000000000002</v>
          </cell>
          <cell r="AI122">
            <v>71.102000000000004</v>
          </cell>
        </row>
        <row r="123">
          <cell r="B123" t="str">
            <v>Maldives</v>
          </cell>
          <cell r="E123">
            <v>10.6</v>
          </cell>
          <cell r="F123">
            <v>10.9</v>
          </cell>
          <cell r="G123">
            <v>11.2</v>
          </cell>
          <cell r="H123">
            <v>11.5</v>
          </cell>
          <cell r="I123">
            <v>11.9</v>
          </cell>
          <cell r="J123">
            <v>17.3</v>
          </cell>
          <cell r="K123">
            <v>22.3</v>
          </cell>
          <cell r="L123">
            <v>25.5</v>
          </cell>
          <cell r="M123">
            <v>25.8</v>
          </cell>
          <cell r="N123">
            <v>25.6</v>
          </cell>
          <cell r="O123">
            <v>27.7</v>
          </cell>
          <cell r="P123">
            <v>33.799999999999997</v>
          </cell>
          <cell r="Q123">
            <v>36.4</v>
          </cell>
          <cell r="R123">
            <v>38.5</v>
          </cell>
          <cell r="S123">
            <v>40.700000000000003</v>
          </cell>
          <cell r="T123">
            <v>43.692999999999998</v>
          </cell>
          <cell r="U123">
            <v>46.604999999999997</v>
          </cell>
          <cell r="V123">
            <v>49.414999999999999</v>
          </cell>
          <cell r="W123">
            <v>52.11</v>
          </cell>
          <cell r="X123">
            <v>54.679000000000002</v>
          </cell>
          <cell r="Y123">
            <v>57.115000000000002</v>
          </cell>
          <cell r="Z123">
            <v>59.417000000000002</v>
          </cell>
          <cell r="AA123">
            <v>61.585000000000001</v>
          </cell>
          <cell r="AB123">
            <v>63.622999999999998</v>
          </cell>
          <cell r="AC123">
            <v>65.534000000000006</v>
          </cell>
          <cell r="AD123">
            <v>67.325000000000003</v>
          </cell>
          <cell r="AE123">
            <v>69.001000000000005</v>
          </cell>
          <cell r="AF123">
            <v>70.569000000000003</v>
          </cell>
          <cell r="AG123">
            <v>72.034999999999997</v>
          </cell>
          <cell r="AH123">
            <v>73.408000000000001</v>
          </cell>
          <cell r="AI123">
            <v>74.691999999999993</v>
          </cell>
        </row>
        <row r="124">
          <cell r="B124" t="str">
            <v>Mexico</v>
          </cell>
          <cell r="E124">
            <v>42.7</v>
          </cell>
          <cell r="F124">
            <v>46.7</v>
          </cell>
          <cell r="G124">
            <v>50.8</v>
          </cell>
          <cell r="H124">
            <v>54.9</v>
          </cell>
          <cell r="I124">
            <v>59</v>
          </cell>
          <cell r="J124">
            <v>62.8</v>
          </cell>
          <cell r="K124">
            <v>66.3</v>
          </cell>
          <cell r="L124">
            <v>69</v>
          </cell>
          <cell r="M124">
            <v>71.400000000000006</v>
          </cell>
          <cell r="N124">
            <v>73.400000000000006</v>
          </cell>
          <cell r="O124">
            <v>74.7</v>
          </cell>
          <cell r="P124">
            <v>76.3</v>
          </cell>
          <cell r="Q124">
            <v>77.8</v>
          </cell>
          <cell r="R124">
            <v>79.3</v>
          </cell>
          <cell r="S124">
            <v>80.7</v>
          </cell>
          <cell r="T124">
            <v>81.652000000000001</v>
          </cell>
          <cell r="U124">
            <v>82.623000000000005</v>
          </cell>
          <cell r="V124">
            <v>83.605999999999995</v>
          </cell>
          <cell r="W124">
            <v>84.594999999999999</v>
          </cell>
          <cell r="X124">
            <v>85.584000000000003</v>
          </cell>
          <cell r="Y124">
            <v>86.566000000000003</v>
          </cell>
          <cell r="Z124">
            <v>87.534000000000006</v>
          </cell>
          <cell r="AA124">
            <v>88.480999999999995</v>
          </cell>
          <cell r="AB124">
            <v>89.400999999999996</v>
          </cell>
          <cell r="AC124">
            <v>90.287999999999997</v>
          </cell>
          <cell r="AD124">
            <v>91.137</v>
          </cell>
          <cell r="AE124">
            <v>91.944000000000003</v>
          </cell>
          <cell r="AF124">
            <v>92.704999999999998</v>
          </cell>
          <cell r="AG124">
            <v>93.418000000000006</v>
          </cell>
          <cell r="AH124">
            <v>94.081999999999994</v>
          </cell>
          <cell r="AI124">
            <v>94.695999999999998</v>
          </cell>
        </row>
        <row r="125">
          <cell r="B125" t="str">
            <v>Marshall Islands</v>
          </cell>
          <cell r="E125">
            <v>23.3</v>
          </cell>
          <cell r="F125">
            <v>29.1</v>
          </cell>
          <cell r="G125">
            <v>35.6</v>
          </cell>
          <cell r="H125">
            <v>42.7</v>
          </cell>
          <cell r="I125">
            <v>53.5</v>
          </cell>
          <cell r="J125">
            <v>60.6</v>
          </cell>
          <cell r="K125">
            <v>58.3</v>
          </cell>
          <cell r="L125">
            <v>61.9</v>
          </cell>
          <cell r="M125">
            <v>65.099999999999994</v>
          </cell>
          <cell r="N125">
            <v>66.7</v>
          </cell>
          <cell r="O125">
            <v>68.599999999999994</v>
          </cell>
          <cell r="P125">
            <v>71.099999999999994</v>
          </cell>
          <cell r="Q125">
            <v>73.599999999999994</v>
          </cell>
          <cell r="R125">
            <v>75.8</v>
          </cell>
          <cell r="S125">
            <v>77.8</v>
          </cell>
          <cell r="T125">
            <v>79.245999999999995</v>
          </cell>
          <cell r="U125">
            <v>80.584999999999994</v>
          </cell>
          <cell r="V125">
            <v>81.825000000000003</v>
          </cell>
          <cell r="W125">
            <v>82.974000000000004</v>
          </cell>
          <cell r="X125">
            <v>84.039000000000001</v>
          </cell>
          <cell r="Y125">
            <v>85.028000000000006</v>
          </cell>
          <cell r="Z125">
            <v>85.947000000000003</v>
          </cell>
          <cell r="AA125">
            <v>86.801000000000002</v>
          </cell>
          <cell r="AB125">
            <v>87.596000000000004</v>
          </cell>
          <cell r="AC125">
            <v>88.335999999999999</v>
          </cell>
          <cell r="AD125">
            <v>89.025000000000006</v>
          </cell>
          <cell r="AE125">
            <v>89.668000000000006</v>
          </cell>
          <cell r="AF125">
            <v>90.269000000000005</v>
          </cell>
          <cell r="AG125">
            <v>90.83</v>
          </cell>
          <cell r="AH125">
            <v>91.355000000000004</v>
          </cell>
          <cell r="AI125">
            <v>91.846000000000004</v>
          </cell>
        </row>
        <row r="126">
          <cell r="B126" t="str">
            <v>North Macedonia</v>
          </cell>
          <cell r="E126">
            <v>23.4</v>
          </cell>
          <cell r="F126">
            <v>28.4</v>
          </cell>
          <cell r="G126">
            <v>34</v>
          </cell>
          <cell r="H126">
            <v>40.4</v>
          </cell>
          <cell r="I126">
            <v>47.1</v>
          </cell>
          <cell r="J126">
            <v>50.6</v>
          </cell>
          <cell r="K126">
            <v>53.5</v>
          </cell>
          <cell r="L126">
            <v>55.7</v>
          </cell>
          <cell r="M126">
            <v>57.8</v>
          </cell>
          <cell r="N126">
            <v>59.6</v>
          </cell>
          <cell r="O126">
            <v>58.5</v>
          </cell>
          <cell r="P126">
            <v>57.5</v>
          </cell>
          <cell r="Q126">
            <v>57.1</v>
          </cell>
          <cell r="R126">
            <v>57.4</v>
          </cell>
          <cell r="S126">
            <v>58.5</v>
          </cell>
          <cell r="T126">
            <v>60.941000000000003</v>
          </cell>
          <cell r="U126">
            <v>63.247999999999998</v>
          </cell>
          <cell r="V126">
            <v>65.421000000000006</v>
          </cell>
          <cell r="W126">
            <v>67.463999999999999</v>
          </cell>
          <cell r="X126">
            <v>69.38</v>
          </cell>
          <cell r="Y126">
            <v>71.174999999999997</v>
          </cell>
          <cell r="Z126">
            <v>72.855999999999995</v>
          </cell>
          <cell r="AA126">
            <v>74.427999999999997</v>
          </cell>
          <cell r="AB126">
            <v>75.897999999999996</v>
          </cell>
          <cell r="AC126">
            <v>77.272999999999996</v>
          </cell>
          <cell r="AD126">
            <v>78.558000000000007</v>
          </cell>
          <cell r="AE126">
            <v>79.760000000000005</v>
          </cell>
          <cell r="AF126">
            <v>80.884</v>
          </cell>
          <cell r="AG126">
            <v>81.936000000000007</v>
          </cell>
          <cell r="AH126">
            <v>82.921999999999997</v>
          </cell>
          <cell r="AI126">
            <v>83.844999999999999</v>
          </cell>
        </row>
        <row r="127">
          <cell r="B127" t="str">
            <v>Mali</v>
          </cell>
          <cell r="E127">
            <v>8.5</v>
          </cell>
          <cell r="F127">
            <v>9.6999999999999993</v>
          </cell>
          <cell r="G127">
            <v>11.1</v>
          </cell>
          <cell r="H127">
            <v>12.6</v>
          </cell>
          <cell r="I127">
            <v>14.3</v>
          </cell>
          <cell r="J127">
            <v>16.2</v>
          </cell>
          <cell r="K127">
            <v>18.5</v>
          </cell>
          <cell r="L127">
            <v>21</v>
          </cell>
          <cell r="M127">
            <v>23.3</v>
          </cell>
          <cell r="N127">
            <v>25.5</v>
          </cell>
          <cell r="O127">
            <v>28.4</v>
          </cell>
          <cell r="P127">
            <v>32.1</v>
          </cell>
          <cell r="Q127">
            <v>36</v>
          </cell>
          <cell r="R127">
            <v>40</v>
          </cell>
          <cell r="S127">
            <v>43.9</v>
          </cell>
          <cell r="T127">
            <v>46.969000000000001</v>
          </cell>
          <cell r="U127">
            <v>49.884</v>
          </cell>
          <cell r="V127">
            <v>52.631999999999998</v>
          </cell>
          <cell r="W127">
            <v>55.207999999999998</v>
          </cell>
          <cell r="X127">
            <v>57.610999999999997</v>
          </cell>
          <cell r="Y127">
            <v>59.845999999999997</v>
          </cell>
          <cell r="Z127">
            <v>61.918999999999997</v>
          </cell>
          <cell r="AA127">
            <v>63.838999999999999</v>
          </cell>
          <cell r="AB127">
            <v>65.616</v>
          </cell>
          <cell r="AC127">
            <v>67.260000000000005</v>
          </cell>
          <cell r="AD127">
            <v>68.781999999999996</v>
          </cell>
          <cell r="AE127">
            <v>70.191000000000003</v>
          </cell>
          <cell r="AF127">
            <v>71.495999999999995</v>
          </cell>
          <cell r="AG127">
            <v>72.706999999999994</v>
          </cell>
          <cell r="AH127">
            <v>73.831000000000003</v>
          </cell>
          <cell r="AI127">
            <v>74.876000000000005</v>
          </cell>
        </row>
        <row r="128">
          <cell r="B128" t="str">
            <v>Malta</v>
          </cell>
          <cell r="E128">
            <v>88.9</v>
          </cell>
          <cell r="F128">
            <v>89.8</v>
          </cell>
          <cell r="G128">
            <v>90.1</v>
          </cell>
          <cell r="H128">
            <v>89.8</v>
          </cell>
          <cell r="I128">
            <v>89.7</v>
          </cell>
          <cell r="J128">
            <v>89.7</v>
          </cell>
          <cell r="K128">
            <v>89.8</v>
          </cell>
          <cell r="L128">
            <v>89.8</v>
          </cell>
          <cell r="M128">
            <v>90.4</v>
          </cell>
          <cell r="N128">
            <v>90.9</v>
          </cell>
          <cell r="O128">
            <v>92.4</v>
          </cell>
          <cell r="P128">
            <v>93.6</v>
          </cell>
          <cell r="Q128">
            <v>94.1</v>
          </cell>
          <cell r="R128">
            <v>94.4</v>
          </cell>
          <cell r="S128">
            <v>94.7</v>
          </cell>
          <cell r="T128">
            <v>94.902000000000001</v>
          </cell>
          <cell r="U128">
            <v>95.096000000000004</v>
          </cell>
          <cell r="V128">
            <v>95.28</v>
          </cell>
          <cell r="W128">
            <v>95.456000000000003</v>
          </cell>
          <cell r="X128">
            <v>95.623999999999995</v>
          </cell>
          <cell r="Y128">
            <v>95.784999999999997</v>
          </cell>
          <cell r="Z128">
            <v>95.94</v>
          </cell>
          <cell r="AA128">
            <v>96.087000000000003</v>
          </cell>
          <cell r="AB128">
            <v>96.227999999999994</v>
          </cell>
          <cell r="AC128">
            <v>96.363</v>
          </cell>
          <cell r="AD128">
            <v>96.492999999999995</v>
          </cell>
          <cell r="AE128">
            <v>96.617000000000004</v>
          </cell>
          <cell r="AF128">
            <v>96.736999999999995</v>
          </cell>
          <cell r="AG128">
            <v>96.850999999999999</v>
          </cell>
          <cell r="AH128">
            <v>96.960999999999999</v>
          </cell>
          <cell r="AI128">
            <v>97.066000000000003</v>
          </cell>
        </row>
        <row r="129">
          <cell r="B129" t="str">
            <v>Myanmar</v>
          </cell>
          <cell r="E129">
            <v>16.2</v>
          </cell>
          <cell r="F129">
            <v>17.600000000000001</v>
          </cell>
          <cell r="G129">
            <v>19.2</v>
          </cell>
          <cell r="H129">
            <v>21</v>
          </cell>
          <cell r="I129">
            <v>22.8</v>
          </cell>
          <cell r="J129">
            <v>23.9</v>
          </cell>
          <cell r="K129">
            <v>24</v>
          </cell>
          <cell r="L129">
            <v>24.4</v>
          </cell>
          <cell r="M129">
            <v>25.2</v>
          </cell>
          <cell r="N129">
            <v>26.1</v>
          </cell>
          <cell r="O129">
            <v>27</v>
          </cell>
          <cell r="P129">
            <v>27.9</v>
          </cell>
          <cell r="Q129">
            <v>28.9</v>
          </cell>
          <cell r="R129">
            <v>29.9</v>
          </cell>
          <cell r="S129">
            <v>31.1</v>
          </cell>
          <cell r="T129">
            <v>34.198999999999998</v>
          </cell>
          <cell r="U129">
            <v>37.298999999999999</v>
          </cell>
          <cell r="V129">
            <v>40.363999999999997</v>
          </cell>
          <cell r="W129">
            <v>43.36</v>
          </cell>
          <cell r="X129">
            <v>46.262999999999998</v>
          </cell>
          <cell r="Y129">
            <v>49.052</v>
          </cell>
          <cell r="Z129">
            <v>51.713000000000001</v>
          </cell>
          <cell r="AA129">
            <v>54.237000000000002</v>
          </cell>
          <cell r="AB129">
            <v>56.62</v>
          </cell>
          <cell r="AC129">
            <v>58.863</v>
          </cell>
          <cell r="AD129">
            <v>60.966000000000001</v>
          </cell>
          <cell r="AE129">
            <v>62.935000000000002</v>
          </cell>
          <cell r="AF129">
            <v>64.775999999999996</v>
          </cell>
          <cell r="AG129">
            <v>66.494</v>
          </cell>
          <cell r="AH129">
            <v>68.099000000000004</v>
          </cell>
          <cell r="AI129">
            <v>69.596000000000004</v>
          </cell>
        </row>
        <row r="130">
          <cell r="B130" t="str">
            <v>Montenegro</v>
          </cell>
          <cell r="E130">
            <v>12.7</v>
          </cell>
          <cell r="F130">
            <v>15.5</v>
          </cell>
          <cell r="G130">
            <v>18.8</v>
          </cell>
          <cell r="H130">
            <v>22.6</v>
          </cell>
          <cell r="I130">
            <v>26.9</v>
          </cell>
          <cell r="J130">
            <v>31.6</v>
          </cell>
          <cell r="K130">
            <v>36.799999999999997</v>
          </cell>
          <cell r="L130">
            <v>42.3</v>
          </cell>
          <cell r="M130">
            <v>48</v>
          </cell>
          <cell r="N130">
            <v>53.4</v>
          </cell>
          <cell r="O130">
            <v>58.5</v>
          </cell>
          <cell r="P130">
            <v>62.5</v>
          </cell>
          <cell r="Q130">
            <v>64.099999999999994</v>
          </cell>
          <cell r="R130">
            <v>65.8</v>
          </cell>
          <cell r="S130">
            <v>67.5</v>
          </cell>
          <cell r="T130">
            <v>69.239999999999995</v>
          </cell>
          <cell r="U130">
            <v>70.903000000000006</v>
          </cell>
          <cell r="V130">
            <v>72.489000000000004</v>
          </cell>
          <cell r="W130">
            <v>74</v>
          </cell>
          <cell r="X130">
            <v>75.436999999999998</v>
          </cell>
          <cell r="Y130">
            <v>76.802000000000007</v>
          </cell>
          <cell r="Z130">
            <v>78.097999999999999</v>
          </cell>
          <cell r="AA130">
            <v>79.325999999999993</v>
          </cell>
          <cell r="AB130">
            <v>80.489999999999995</v>
          </cell>
          <cell r="AC130">
            <v>81.591999999999999</v>
          </cell>
          <cell r="AD130">
            <v>82.634</v>
          </cell>
          <cell r="AE130">
            <v>83.619</v>
          </cell>
          <cell r="AF130">
            <v>84.55</v>
          </cell>
          <cell r="AG130">
            <v>85.43</v>
          </cell>
          <cell r="AH130">
            <v>86.260999999999996</v>
          </cell>
          <cell r="AI130">
            <v>87.045000000000002</v>
          </cell>
        </row>
        <row r="131">
          <cell r="B131" t="str">
            <v>Mongolia</v>
          </cell>
          <cell r="E131">
            <v>20</v>
          </cell>
          <cell r="F131">
            <v>26.6</v>
          </cell>
          <cell r="G131">
            <v>35.700000000000003</v>
          </cell>
          <cell r="H131">
            <v>42.1</v>
          </cell>
          <cell r="I131">
            <v>45.1</v>
          </cell>
          <cell r="J131">
            <v>48.7</v>
          </cell>
          <cell r="K131">
            <v>52.1</v>
          </cell>
          <cell r="L131">
            <v>55</v>
          </cell>
          <cell r="M131">
            <v>57</v>
          </cell>
          <cell r="N131">
            <v>56.8</v>
          </cell>
          <cell r="O131">
            <v>57.1</v>
          </cell>
          <cell r="P131">
            <v>62.5</v>
          </cell>
          <cell r="Q131">
            <v>67.599999999999994</v>
          </cell>
          <cell r="R131">
            <v>68.2</v>
          </cell>
          <cell r="S131">
            <v>68.7</v>
          </cell>
          <cell r="T131">
            <v>70.406999999999996</v>
          </cell>
          <cell r="U131">
            <v>72.055000000000007</v>
          </cell>
          <cell r="V131">
            <v>73.641999999999996</v>
          </cell>
          <cell r="W131">
            <v>75.165999999999997</v>
          </cell>
          <cell r="X131">
            <v>76.626999999999995</v>
          </cell>
          <cell r="Y131">
            <v>78.024000000000001</v>
          </cell>
          <cell r="Z131">
            <v>79.356999999999999</v>
          </cell>
          <cell r="AA131">
            <v>80.626999999999995</v>
          </cell>
          <cell r="AB131">
            <v>81.834999999999994</v>
          </cell>
          <cell r="AC131">
            <v>82.980999999999995</v>
          </cell>
          <cell r="AD131">
            <v>84.066999999999993</v>
          </cell>
          <cell r="AE131">
            <v>85.094999999999999</v>
          </cell>
          <cell r="AF131">
            <v>86.066000000000003</v>
          </cell>
          <cell r="AG131">
            <v>86.981999999999999</v>
          </cell>
          <cell r="AH131">
            <v>87.844999999999999</v>
          </cell>
          <cell r="AI131">
            <v>88.656999999999996</v>
          </cell>
        </row>
        <row r="132">
          <cell r="B132" t="str">
            <v>Northern Mariana Islands</v>
          </cell>
          <cell r="E132">
            <v>42</v>
          </cell>
          <cell r="F132">
            <v>45.8</v>
          </cell>
          <cell r="G132">
            <v>51.2</v>
          </cell>
          <cell r="H132">
            <v>58.8</v>
          </cell>
          <cell r="I132">
            <v>70.099999999999994</v>
          </cell>
          <cell r="J132">
            <v>80.599999999999994</v>
          </cell>
          <cell r="K132">
            <v>86.8</v>
          </cell>
          <cell r="L132">
            <v>88.4</v>
          </cell>
          <cell r="M132">
            <v>89.7</v>
          </cell>
          <cell r="N132">
            <v>89.6</v>
          </cell>
          <cell r="O132">
            <v>90.2</v>
          </cell>
          <cell r="P132">
            <v>90.6</v>
          </cell>
          <cell r="Q132">
            <v>90.9</v>
          </cell>
          <cell r="R132">
            <v>91.4</v>
          </cell>
          <cell r="S132">
            <v>91.8</v>
          </cell>
          <cell r="T132">
            <v>92.218999999999994</v>
          </cell>
          <cell r="U132">
            <v>92.62</v>
          </cell>
          <cell r="V132">
            <v>93.001000000000005</v>
          </cell>
          <cell r="W132">
            <v>93.364000000000004</v>
          </cell>
          <cell r="X132">
            <v>93.71</v>
          </cell>
          <cell r="Y132">
            <v>94.039000000000001</v>
          </cell>
          <cell r="Z132">
            <v>94.352000000000004</v>
          </cell>
          <cell r="AA132">
            <v>94.65</v>
          </cell>
          <cell r="AB132">
            <v>94.933000000000007</v>
          </cell>
          <cell r="AC132">
            <v>95.201999999999998</v>
          </cell>
          <cell r="AD132">
            <v>95.457999999999998</v>
          </cell>
          <cell r="AE132">
            <v>95.7</v>
          </cell>
          <cell r="AF132">
            <v>95.930999999999997</v>
          </cell>
          <cell r="AG132">
            <v>96.149000000000001</v>
          </cell>
          <cell r="AH132">
            <v>96.355999999999995</v>
          </cell>
          <cell r="AI132">
            <v>96.552999999999997</v>
          </cell>
        </row>
        <row r="133">
          <cell r="B133" t="str">
            <v>Mozambique</v>
          </cell>
          <cell r="E133">
            <v>5.5</v>
          </cell>
          <cell r="F133">
            <v>6.1</v>
          </cell>
          <cell r="G133">
            <v>6.9</v>
          </cell>
          <cell r="H133">
            <v>7.9</v>
          </cell>
          <cell r="I133">
            <v>9</v>
          </cell>
          <cell r="J133">
            <v>10.9</v>
          </cell>
          <cell r="K133">
            <v>13.2</v>
          </cell>
          <cell r="L133">
            <v>18.3</v>
          </cell>
          <cell r="M133">
            <v>25</v>
          </cell>
          <cell r="N133">
            <v>27.5</v>
          </cell>
          <cell r="O133">
            <v>29.1</v>
          </cell>
          <cell r="P133">
            <v>30</v>
          </cell>
          <cell r="Q133">
            <v>31.8</v>
          </cell>
          <cell r="R133">
            <v>34.4</v>
          </cell>
          <cell r="S133">
            <v>37.1</v>
          </cell>
          <cell r="T133">
            <v>39.814</v>
          </cell>
          <cell r="U133">
            <v>42.521999999999998</v>
          </cell>
          <cell r="V133">
            <v>45.206000000000003</v>
          </cell>
          <cell r="W133">
            <v>47.847999999999999</v>
          </cell>
          <cell r="X133">
            <v>50.433</v>
          </cell>
          <cell r="Y133">
            <v>52.948</v>
          </cell>
          <cell r="Z133">
            <v>55.384</v>
          </cell>
          <cell r="AA133">
            <v>57.731999999999999</v>
          </cell>
          <cell r="AB133">
            <v>59.985999999999997</v>
          </cell>
          <cell r="AC133">
            <v>62.143999999999998</v>
          </cell>
          <cell r="AD133">
            <v>64.201999999999998</v>
          </cell>
          <cell r="AE133">
            <v>66.162000000000006</v>
          </cell>
          <cell r="AF133">
            <v>68.022999999999996</v>
          </cell>
          <cell r="AG133">
            <v>69.787000000000006</v>
          </cell>
          <cell r="AH133">
            <v>71.456999999999994</v>
          </cell>
          <cell r="AI133">
            <v>73.036000000000001</v>
          </cell>
        </row>
        <row r="134">
          <cell r="B134" t="str">
            <v>Mauritania</v>
          </cell>
          <cell r="E134">
            <v>3.1</v>
          </cell>
          <cell r="F134">
            <v>4.5999999999999996</v>
          </cell>
          <cell r="G134">
            <v>6.9</v>
          </cell>
          <cell r="H134">
            <v>10.1</v>
          </cell>
          <cell r="I134">
            <v>14.6</v>
          </cell>
          <cell r="J134">
            <v>20.6</v>
          </cell>
          <cell r="K134">
            <v>27.4</v>
          </cell>
          <cell r="L134">
            <v>35</v>
          </cell>
          <cell r="M134">
            <v>39.299999999999997</v>
          </cell>
          <cell r="N134">
            <v>38.700000000000003</v>
          </cell>
          <cell r="O134">
            <v>38.1</v>
          </cell>
          <cell r="P134">
            <v>42.1</v>
          </cell>
          <cell r="Q134">
            <v>46.6</v>
          </cell>
          <cell r="R134">
            <v>51.1</v>
          </cell>
          <cell r="S134">
            <v>55.3</v>
          </cell>
          <cell r="T134">
            <v>57.994</v>
          </cell>
          <cell r="U134">
            <v>60.488999999999997</v>
          </cell>
          <cell r="V134">
            <v>62.792000000000002</v>
          </cell>
          <cell r="W134">
            <v>64.915000000000006</v>
          </cell>
          <cell r="X134">
            <v>66.869</v>
          </cell>
          <cell r="Y134">
            <v>68.667000000000002</v>
          </cell>
          <cell r="Z134">
            <v>70.322000000000003</v>
          </cell>
          <cell r="AA134">
            <v>71.846000000000004</v>
          </cell>
          <cell r="AB134">
            <v>73.251000000000005</v>
          </cell>
          <cell r="AC134">
            <v>74.546999999999997</v>
          </cell>
          <cell r="AD134">
            <v>75.745000000000005</v>
          </cell>
          <cell r="AE134">
            <v>76.852999999999994</v>
          </cell>
          <cell r="AF134">
            <v>77.881</v>
          </cell>
          <cell r="AG134">
            <v>78.834999999999994</v>
          </cell>
          <cell r="AH134">
            <v>79.721999999999994</v>
          </cell>
          <cell r="AI134">
            <v>80.548000000000002</v>
          </cell>
        </row>
        <row r="135">
          <cell r="B135" t="str">
            <v>Montserrat</v>
          </cell>
          <cell r="E135">
            <v>15.8</v>
          </cell>
          <cell r="F135">
            <v>15.8</v>
          </cell>
          <cell r="G135">
            <v>15.8</v>
          </cell>
          <cell r="H135">
            <v>13.4</v>
          </cell>
          <cell r="I135">
            <v>11.4</v>
          </cell>
          <cell r="J135">
            <v>12</v>
          </cell>
          <cell r="K135">
            <v>12.5</v>
          </cell>
          <cell r="L135">
            <v>12.5</v>
          </cell>
          <cell r="M135">
            <v>12.5</v>
          </cell>
          <cell r="N135">
            <v>12.5</v>
          </cell>
          <cell r="O135">
            <v>2.1</v>
          </cell>
          <cell r="P135">
            <v>9.3000000000000007</v>
          </cell>
          <cell r="Q135">
            <v>9.1999999999999993</v>
          </cell>
          <cell r="R135">
            <v>9</v>
          </cell>
          <cell r="S135">
            <v>9.1</v>
          </cell>
          <cell r="T135">
            <v>10.566000000000001</v>
          </cell>
          <cell r="U135">
            <v>12.209</v>
          </cell>
          <cell r="V135">
            <v>14.029</v>
          </cell>
          <cell r="W135">
            <v>16.027000000000001</v>
          </cell>
          <cell r="X135">
            <v>18.193000000000001</v>
          </cell>
          <cell r="Y135">
            <v>20.515999999999998</v>
          </cell>
          <cell r="Z135">
            <v>22.975999999999999</v>
          </cell>
          <cell r="AA135">
            <v>25.55</v>
          </cell>
          <cell r="AB135">
            <v>28.210999999999999</v>
          </cell>
          <cell r="AC135">
            <v>30.928000000000001</v>
          </cell>
          <cell r="AD135">
            <v>33.673000000000002</v>
          </cell>
          <cell r="AE135">
            <v>36.414999999999999</v>
          </cell>
          <cell r="AF135">
            <v>39.128</v>
          </cell>
          <cell r="AG135">
            <v>41.789000000000001</v>
          </cell>
          <cell r="AH135">
            <v>44.378</v>
          </cell>
          <cell r="AI135">
            <v>46.878999999999998</v>
          </cell>
        </row>
        <row r="136">
          <cell r="B136" t="str">
            <v>Mauritius</v>
          </cell>
          <cell r="E136">
            <v>29.3</v>
          </cell>
          <cell r="F136">
            <v>31.6</v>
          </cell>
          <cell r="G136">
            <v>35.1</v>
          </cell>
          <cell r="H136">
            <v>38.799999999999997</v>
          </cell>
          <cell r="I136">
            <v>42.6</v>
          </cell>
          <cell r="J136">
            <v>43.4</v>
          </cell>
          <cell r="K136">
            <v>42.4</v>
          </cell>
          <cell r="L136">
            <v>42.3</v>
          </cell>
          <cell r="M136">
            <v>43.9</v>
          </cell>
          <cell r="N136">
            <v>43.3</v>
          </cell>
          <cell r="O136">
            <v>42.7</v>
          </cell>
          <cell r="P136">
            <v>42.1</v>
          </cell>
          <cell r="Q136">
            <v>41.6</v>
          </cell>
          <cell r="R136">
            <v>41</v>
          </cell>
          <cell r="S136">
            <v>40.799999999999997</v>
          </cell>
          <cell r="T136">
            <v>43.831000000000003</v>
          </cell>
          <cell r="U136">
            <v>46.783000000000001</v>
          </cell>
          <cell r="V136">
            <v>49.634999999999998</v>
          </cell>
          <cell r="W136">
            <v>52.37</v>
          </cell>
          <cell r="X136">
            <v>54.976999999999997</v>
          </cell>
          <cell r="Y136">
            <v>57.451000000000001</v>
          </cell>
          <cell r="Z136">
            <v>59.79</v>
          </cell>
          <cell r="AA136">
            <v>61.991999999999997</v>
          </cell>
          <cell r="AB136">
            <v>64.061000000000007</v>
          </cell>
          <cell r="AC136">
            <v>66.001999999999995</v>
          </cell>
          <cell r="AD136">
            <v>67.819999999999993</v>
          </cell>
          <cell r="AE136">
            <v>69.521000000000001</v>
          </cell>
          <cell r="AF136">
            <v>71.111999999999995</v>
          </cell>
          <cell r="AG136">
            <v>72.599999999999994</v>
          </cell>
          <cell r="AH136">
            <v>73.991</v>
          </cell>
          <cell r="AI136">
            <v>75.293000000000006</v>
          </cell>
        </row>
        <row r="137">
          <cell r="B137" t="str">
            <v>Malawi</v>
          </cell>
          <cell r="E137">
            <v>3.5</v>
          </cell>
          <cell r="F137">
            <v>3.9</v>
          </cell>
          <cell r="G137">
            <v>4.4000000000000004</v>
          </cell>
          <cell r="H137">
            <v>4.9000000000000004</v>
          </cell>
          <cell r="I137">
            <v>6.1</v>
          </cell>
          <cell r="J137">
            <v>7.7</v>
          </cell>
          <cell r="K137">
            <v>9.1</v>
          </cell>
          <cell r="L137">
            <v>10.199999999999999</v>
          </cell>
          <cell r="M137">
            <v>11.6</v>
          </cell>
          <cell r="N137">
            <v>13.3</v>
          </cell>
          <cell r="O137">
            <v>14.6</v>
          </cell>
          <cell r="P137">
            <v>15.1</v>
          </cell>
          <cell r="Q137">
            <v>15.5</v>
          </cell>
          <cell r="R137">
            <v>16.3</v>
          </cell>
          <cell r="S137">
            <v>17.399999999999999</v>
          </cell>
          <cell r="T137">
            <v>19.64</v>
          </cell>
          <cell r="U137">
            <v>22.035</v>
          </cell>
          <cell r="V137">
            <v>24.565999999999999</v>
          </cell>
          <cell r="W137">
            <v>27.212</v>
          </cell>
          <cell r="X137">
            <v>29.949000000000002</v>
          </cell>
          <cell r="Y137">
            <v>32.747</v>
          </cell>
          <cell r="Z137">
            <v>35.579000000000001</v>
          </cell>
          <cell r="AA137">
            <v>38.417000000000002</v>
          </cell>
          <cell r="AB137">
            <v>41.234000000000002</v>
          </cell>
          <cell r="AC137">
            <v>44.008000000000003</v>
          </cell>
          <cell r="AD137">
            <v>46.718000000000004</v>
          </cell>
          <cell r="AE137">
            <v>49.347000000000001</v>
          </cell>
          <cell r="AF137">
            <v>51.883000000000003</v>
          </cell>
          <cell r="AG137">
            <v>54.317</v>
          </cell>
          <cell r="AH137">
            <v>56.642000000000003</v>
          </cell>
          <cell r="AI137">
            <v>58.856000000000002</v>
          </cell>
        </row>
        <row r="138">
          <cell r="B138" t="str">
            <v>Malaysia</v>
          </cell>
          <cell r="E138">
            <v>20.399999999999999</v>
          </cell>
          <cell r="F138">
            <v>23.4</v>
          </cell>
          <cell r="G138">
            <v>26.6</v>
          </cell>
          <cell r="H138">
            <v>29.9</v>
          </cell>
          <cell r="I138">
            <v>33.5</v>
          </cell>
          <cell r="J138">
            <v>37.700000000000003</v>
          </cell>
          <cell r="K138">
            <v>42</v>
          </cell>
          <cell r="L138">
            <v>45.9</v>
          </cell>
          <cell r="M138">
            <v>49.8</v>
          </cell>
          <cell r="N138">
            <v>55.7</v>
          </cell>
          <cell r="O138">
            <v>62</v>
          </cell>
          <cell r="P138">
            <v>66.599999999999994</v>
          </cell>
          <cell r="Q138">
            <v>70.900000000000006</v>
          </cell>
          <cell r="R138">
            <v>74.2</v>
          </cell>
          <cell r="S138">
            <v>77.2</v>
          </cell>
          <cell r="T138">
            <v>78.774000000000001</v>
          </cell>
          <cell r="U138">
            <v>80.227999999999994</v>
          </cell>
          <cell r="V138">
            <v>81.572000000000003</v>
          </cell>
          <cell r="W138">
            <v>82.813999999999993</v>
          </cell>
          <cell r="X138">
            <v>83.962999999999994</v>
          </cell>
          <cell r="Y138">
            <v>85.025999999999996</v>
          </cell>
          <cell r="Z138">
            <v>86.010999999999996</v>
          </cell>
          <cell r="AA138">
            <v>86.923000000000002</v>
          </cell>
          <cell r="AB138">
            <v>87.77</v>
          </cell>
          <cell r="AC138">
            <v>88.555000000000007</v>
          </cell>
          <cell r="AD138">
            <v>89.284000000000006</v>
          </cell>
          <cell r="AE138">
            <v>89.962000000000003</v>
          </cell>
          <cell r="AF138">
            <v>90.593000000000004</v>
          </cell>
          <cell r="AG138">
            <v>91.18</v>
          </cell>
          <cell r="AH138">
            <v>91.727000000000004</v>
          </cell>
          <cell r="AI138">
            <v>92.236000000000004</v>
          </cell>
        </row>
        <row r="139">
          <cell r="B139" t="str">
            <v>Mayotte</v>
          </cell>
          <cell r="E139">
            <v>8.5</v>
          </cell>
          <cell r="F139">
            <v>11.9</v>
          </cell>
          <cell r="G139">
            <v>16.3</v>
          </cell>
          <cell r="H139">
            <v>22</v>
          </cell>
          <cell r="I139">
            <v>25.1</v>
          </cell>
          <cell r="J139">
            <v>27.5</v>
          </cell>
          <cell r="K139">
            <v>30.1</v>
          </cell>
          <cell r="L139">
            <v>33</v>
          </cell>
          <cell r="M139">
            <v>36.1</v>
          </cell>
          <cell r="N139">
            <v>41.5</v>
          </cell>
          <cell r="O139">
            <v>47.7</v>
          </cell>
          <cell r="P139">
            <v>50.2</v>
          </cell>
          <cell r="Q139">
            <v>49</v>
          </cell>
          <cell r="R139">
            <v>47</v>
          </cell>
          <cell r="S139">
            <v>45.8</v>
          </cell>
          <cell r="T139">
            <v>48.637</v>
          </cell>
          <cell r="U139">
            <v>51.371000000000002</v>
          </cell>
          <cell r="V139">
            <v>53.99</v>
          </cell>
          <cell r="W139">
            <v>56.484999999999999</v>
          </cell>
          <cell r="X139">
            <v>58.853000000000002</v>
          </cell>
          <cell r="Y139">
            <v>61.091999999999999</v>
          </cell>
          <cell r="Z139">
            <v>63.203000000000003</v>
          </cell>
          <cell r="AA139">
            <v>65.188999999999993</v>
          </cell>
          <cell r="AB139">
            <v>67.054000000000002</v>
          </cell>
          <cell r="AC139">
            <v>68.804000000000002</v>
          </cell>
          <cell r="AD139">
            <v>70.444000000000003</v>
          </cell>
          <cell r="AE139">
            <v>71.980999999999995</v>
          </cell>
          <cell r="AF139">
            <v>73.421000000000006</v>
          </cell>
          <cell r="AG139">
            <v>74.77</v>
          </cell>
          <cell r="AH139">
            <v>76.034000000000006</v>
          </cell>
          <cell r="AI139">
            <v>77.218999999999994</v>
          </cell>
        </row>
        <row r="140">
          <cell r="B140" t="str">
            <v>Namibia</v>
          </cell>
          <cell r="E140">
            <v>13.4</v>
          </cell>
          <cell r="F140">
            <v>15.5</v>
          </cell>
          <cell r="G140">
            <v>17.899999999999999</v>
          </cell>
          <cell r="H140">
            <v>20</v>
          </cell>
          <cell r="I140">
            <v>22.3</v>
          </cell>
          <cell r="J140">
            <v>23.7</v>
          </cell>
          <cell r="K140">
            <v>25.1</v>
          </cell>
          <cell r="L140">
            <v>26.4</v>
          </cell>
          <cell r="M140">
            <v>27.7</v>
          </cell>
          <cell r="N140">
            <v>29.8</v>
          </cell>
          <cell r="O140">
            <v>32.4</v>
          </cell>
          <cell r="P140">
            <v>36.6</v>
          </cell>
          <cell r="Q140">
            <v>41.6</v>
          </cell>
          <cell r="R140">
            <v>46.9</v>
          </cell>
          <cell r="S140">
            <v>52</v>
          </cell>
          <cell r="T140">
            <v>55.11</v>
          </cell>
          <cell r="U140">
            <v>57.944000000000003</v>
          </cell>
          <cell r="V140">
            <v>60.515999999999998</v>
          </cell>
          <cell r="W140">
            <v>62.844000000000001</v>
          </cell>
          <cell r="X140">
            <v>64.948999999999998</v>
          </cell>
          <cell r="Y140">
            <v>66.852000000000004</v>
          </cell>
          <cell r="Z140">
            <v>68.573999999999998</v>
          </cell>
          <cell r="AA140">
            <v>70.134</v>
          </cell>
          <cell r="AB140">
            <v>71.549000000000007</v>
          </cell>
          <cell r="AC140">
            <v>72.835999999999999</v>
          </cell>
          <cell r="AD140">
            <v>74.009</v>
          </cell>
          <cell r="AE140">
            <v>75.08</v>
          </cell>
          <cell r="AF140">
            <v>76.061000000000007</v>
          </cell>
          <cell r="AG140">
            <v>76.959999999999994</v>
          </cell>
          <cell r="AH140">
            <v>77.787999999999997</v>
          </cell>
          <cell r="AI140">
            <v>78.55</v>
          </cell>
        </row>
        <row r="141">
          <cell r="B141" t="str">
            <v>New Caledonia</v>
          </cell>
          <cell r="E141">
            <v>24.6</v>
          </cell>
          <cell r="F141">
            <v>30.6</v>
          </cell>
          <cell r="G141">
            <v>37.4</v>
          </cell>
          <cell r="H141">
            <v>44.6</v>
          </cell>
          <cell r="I141">
            <v>51.2</v>
          </cell>
          <cell r="J141">
            <v>55.2</v>
          </cell>
          <cell r="K141">
            <v>57.4</v>
          </cell>
          <cell r="L141">
            <v>58.8</v>
          </cell>
          <cell r="M141">
            <v>59.6</v>
          </cell>
          <cell r="N141">
            <v>60.3</v>
          </cell>
          <cell r="O141">
            <v>61.9</v>
          </cell>
          <cell r="P141">
            <v>64</v>
          </cell>
          <cell r="Q141">
            <v>67.099999999999994</v>
          </cell>
          <cell r="R141">
            <v>69.400000000000006</v>
          </cell>
          <cell r="S141">
            <v>71.5</v>
          </cell>
          <cell r="T141">
            <v>73.227000000000004</v>
          </cell>
          <cell r="U141">
            <v>74.869</v>
          </cell>
          <cell r="V141">
            <v>76.429000000000002</v>
          </cell>
          <cell r="W141">
            <v>77.906999999999996</v>
          </cell>
          <cell r="X141">
            <v>79.305000000000007</v>
          </cell>
          <cell r="Y141">
            <v>80.626000000000005</v>
          </cell>
          <cell r="Z141">
            <v>81.872</v>
          </cell>
          <cell r="AA141">
            <v>83.045000000000002</v>
          </cell>
          <cell r="AB141">
            <v>84.15</v>
          </cell>
          <cell r="AC141">
            <v>85.188999999999993</v>
          </cell>
          <cell r="AD141">
            <v>86.164000000000001</v>
          </cell>
          <cell r="AE141">
            <v>87.08</v>
          </cell>
          <cell r="AF141">
            <v>87.938999999999993</v>
          </cell>
          <cell r="AG141">
            <v>88.742999999999995</v>
          </cell>
          <cell r="AH141">
            <v>89.497</v>
          </cell>
          <cell r="AI141">
            <v>90.201999999999998</v>
          </cell>
        </row>
        <row r="142">
          <cell r="B142" t="str">
            <v>Niger</v>
          </cell>
          <cell r="E142">
            <v>4.9000000000000004</v>
          </cell>
          <cell r="F142">
            <v>5.3</v>
          </cell>
          <cell r="G142">
            <v>5.8</v>
          </cell>
          <cell r="H142">
            <v>6.8</v>
          </cell>
          <cell r="I142">
            <v>8.8000000000000007</v>
          </cell>
          <cell r="J142">
            <v>11.4</v>
          </cell>
          <cell r="K142">
            <v>13.4</v>
          </cell>
          <cell r="L142">
            <v>14.5</v>
          </cell>
          <cell r="M142">
            <v>15.4</v>
          </cell>
          <cell r="N142">
            <v>15.8</v>
          </cell>
          <cell r="O142">
            <v>16.2</v>
          </cell>
          <cell r="P142">
            <v>16.2</v>
          </cell>
          <cell r="Q142">
            <v>16.2</v>
          </cell>
          <cell r="R142">
            <v>16.2</v>
          </cell>
          <cell r="S142">
            <v>16.600000000000001</v>
          </cell>
          <cell r="T142">
            <v>18.827999999999999</v>
          </cell>
          <cell r="U142">
            <v>21.23</v>
          </cell>
          <cell r="V142">
            <v>23.79</v>
          </cell>
          <cell r="W142">
            <v>26.489000000000001</v>
          </cell>
          <cell r="X142">
            <v>29.303000000000001</v>
          </cell>
          <cell r="Y142">
            <v>32.201999999999998</v>
          </cell>
          <cell r="Z142">
            <v>35.156999999999996</v>
          </cell>
          <cell r="AA142">
            <v>38.139000000000003</v>
          </cell>
          <cell r="AB142">
            <v>41.116</v>
          </cell>
          <cell r="AC142">
            <v>44.064</v>
          </cell>
          <cell r="AD142">
            <v>46.956000000000003</v>
          </cell>
          <cell r="AE142">
            <v>49.773000000000003</v>
          </cell>
          <cell r="AF142">
            <v>52.499000000000002</v>
          </cell>
          <cell r="AG142">
            <v>55.12</v>
          </cell>
          <cell r="AH142">
            <v>57.628999999999998</v>
          </cell>
          <cell r="AI142">
            <v>60.018999999999998</v>
          </cell>
        </row>
        <row r="143">
          <cell r="B143" t="str">
            <v>Nigeria</v>
          </cell>
          <cell r="E143">
            <v>9.4</v>
          </cell>
          <cell r="F143">
            <v>12.1</v>
          </cell>
          <cell r="G143">
            <v>15.4</v>
          </cell>
          <cell r="H143">
            <v>16.600000000000001</v>
          </cell>
          <cell r="I143">
            <v>17.8</v>
          </cell>
          <cell r="J143">
            <v>19.8</v>
          </cell>
          <cell r="K143">
            <v>22</v>
          </cell>
          <cell r="L143">
            <v>25.6</v>
          </cell>
          <cell r="M143">
            <v>29.7</v>
          </cell>
          <cell r="N143">
            <v>32.200000000000003</v>
          </cell>
          <cell r="O143">
            <v>34.799999999999997</v>
          </cell>
          <cell r="P143">
            <v>39.1</v>
          </cell>
          <cell r="Q143">
            <v>43.5</v>
          </cell>
          <cell r="R143">
            <v>47.8</v>
          </cell>
          <cell r="S143">
            <v>52</v>
          </cell>
          <cell r="T143">
            <v>53.853999999999999</v>
          </cell>
          <cell r="U143">
            <v>55.67</v>
          </cell>
          <cell r="V143">
            <v>57.445</v>
          </cell>
          <cell r="W143">
            <v>59.174999999999997</v>
          </cell>
          <cell r="X143">
            <v>60.857999999999997</v>
          </cell>
          <cell r="Y143">
            <v>62.493000000000002</v>
          </cell>
          <cell r="Z143">
            <v>64.076999999999998</v>
          </cell>
          <cell r="AA143">
            <v>65.608999999999995</v>
          </cell>
          <cell r="AB143">
            <v>67.09</v>
          </cell>
          <cell r="AC143">
            <v>68.518000000000001</v>
          </cell>
          <cell r="AD143">
            <v>69.894000000000005</v>
          </cell>
          <cell r="AE143">
            <v>71.218999999999994</v>
          </cell>
          <cell r="AF143">
            <v>72.492999999999995</v>
          </cell>
          <cell r="AG143">
            <v>73.715999999999994</v>
          </cell>
          <cell r="AH143">
            <v>74.89</v>
          </cell>
          <cell r="AI143">
            <v>76.016000000000005</v>
          </cell>
        </row>
        <row r="144">
          <cell r="B144" t="str">
            <v>Nicaragua</v>
          </cell>
          <cell r="E144">
            <v>35.200000000000003</v>
          </cell>
          <cell r="F144">
            <v>37.4</v>
          </cell>
          <cell r="G144">
            <v>39.6</v>
          </cell>
          <cell r="H144">
            <v>42.7</v>
          </cell>
          <cell r="I144">
            <v>47</v>
          </cell>
          <cell r="J144">
            <v>48.9</v>
          </cell>
          <cell r="K144">
            <v>50.3</v>
          </cell>
          <cell r="L144">
            <v>51.7</v>
          </cell>
          <cell r="M144">
            <v>53.1</v>
          </cell>
          <cell r="N144">
            <v>54.4</v>
          </cell>
          <cell r="O144">
            <v>55.2</v>
          </cell>
          <cell r="P144">
            <v>55.9</v>
          </cell>
          <cell r="Q144">
            <v>56.9</v>
          </cell>
          <cell r="R144">
            <v>57.9</v>
          </cell>
          <cell r="S144">
            <v>59</v>
          </cell>
          <cell r="T144">
            <v>61.328000000000003</v>
          </cell>
          <cell r="U144">
            <v>63.542000000000002</v>
          </cell>
          <cell r="V144">
            <v>65.644000000000005</v>
          </cell>
          <cell r="W144">
            <v>67.632000000000005</v>
          </cell>
          <cell r="X144">
            <v>69.510999999999996</v>
          </cell>
          <cell r="Y144">
            <v>71.281999999999996</v>
          </cell>
          <cell r="Z144">
            <v>72.95</v>
          </cell>
          <cell r="AA144">
            <v>74.519000000000005</v>
          </cell>
          <cell r="AB144">
            <v>75.994</v>
          </cell>
          <cell r="AC144">
            <v>77.38</v>
          </cell>
          <cell r="AD144">
            <v>78.680999999999997</v>
          </cell>
          <cell r="AE144">
            <v>79.903000000000006</v>
          </cell>
          <cell r="AF144">
            <v>81.05</v>
          </cell>
          <cell r="AG144">
            <v>82.126999999999995</v>
          </cell>
          <cell r="AH144">
            <v>83.138000000000005</v>
          </cell>
          <cell r="AI144">
            <v>84.087000000000003</v>
          </cell>
        </row>
        <row r="145">
          <cell r="B145" t="str">
            <v>Niue</v>
          </cell>
          <cell r="E145">
            <v>21.5</v>
          </cell>
          <cell r="F145">
            <v>21.5</v>
          </cell>
          <cell r="G145">
            <v>21.5</v>
          </cell>
          <cell r="H145">
            <v>21.5</v>
          </cell>
          <cell r="I145">
            <v>21.1</v>
          </cell>
          <cell r="J145">
            <v>23.4</v>
          </cell>
          <cell r="K145">
            <v>27</v>
          </cell>
          <cell r="L145">
            <v>31</v>
          </cell>
          <cell r="M145">
            <v>30.9</v>
          </cell>
          <cell r="N145">
            <v>31.5</v>
          </cell>
          <cell r="O145">
            <v>33.1</v>
          </cell>
          <cell r="P145">
            <v>35.200000000000003</v>
          </cell>
          <cell r="Q145">
            <v>38.700000000000003</v>
          </cell>
          <cell r="R145">
            <v>42.6</v>
          </cell>
          <cell r="S145">
            <v>46.2</v>
          </cell>
          <cell r="T145">
            <v>49.079000000000001</v>
          </cell>
          <cell r="U145">
            <v>51.85</v>
          </cell>
          <cell r="V145">
            <v>54.502000000000002</v>
          </cell>
          <cell r="W145">
            <v>57.027000000000001</v>
          </cell>
          <cell r="X145">
            <v>59.418999999999997</v>
          </cell>
          <cell r="Y145">
            <v>61.679000000000002</v>
          </cell>
          <cell r="Z145">
            <v>63.808</v>
          </cell>
          <cell r="AA145">
            <v>65.808000000000007</v>
          </cell>
          <cell r="AB145">
            <v>67.683999999999997</v>
          </cell>
          <cell r="AC145">
            <v>69.442999999999998</v>
          </cell>
          <cell r="AD145">
            <v>71.09</v>
          </cell>
          <cell r="AE145">
            <v>72.632000000000005</v>
          </cell>
          <cell r="AF145">
            <v>74.075000000000003</v>
          </cell>
          <cell r="AG145">
            <v>75.424999999999997</v>
          </cell>
          <cell r="AH145">
            <v>76.688999999999993</v>
          </cell>
          <cell r="AI145">
            <v>77.873000000000005</v>
          </cell>
        </row>
        <row r="146">
          <cell r="B146" t="str">
            <v>Netherlands</v>
          </cell>
          <cell r="E146">
            <v>56.1</v>
          </cell>
          <cell r="F146">
            <v>58</v>
          </cell>
          <cell r="G146">
            <v>59.8</v>
          </cell>
          <cell r="H146">
            <v>60.8</v>
          </cell>
          <cell r="I146">
            <v>61.7</v>
          </cell>
          <cell r="J146">
            <v>63.2</v>
          </cell>
          <cell r="K146">
            <v>64.7</v>
          </cell>
          <cell r="L146">
            <v>66.7</v>
          </cell>
          <cell r="M146">
            <v>68.7</v>
          </cell>
          <cell r="N146">
            <v>72.8</v>
          </cell>
          <cell r="O146">
            <v>76.8</v>
          </cell>
          <cell r="P146">
            <v>82.6</v>
          </cell>
          <cell r="Q146">
            <v>87.1</v>
          </cell>
          <cell r="R146">
            <v>90.2</v>
          </cell>
          <cell r="S146">
            <v>92.2</v>
          </cell>
          <cell r="T146">
            <v>92.95</v>
          </cell>
          <cell r="U146">
            <v>93.58</v>
          </cell>
          <cell r="V146">
            <v>94.114999999999995</v>
          </cell>
          <cell r="W146">
            <v>94.575000000000003</v>
          </cell>
          <cell r="X146">
            <v>94.974999999999994</v>
          </cell>
          <cell r="Y146">
            <v>95.325999999999993</v>
          </cell>
          <cell r="Z146">
            <v>95.635000000000005</v>
          </cell>
          <cell r="AA146">
            <v>95.911000000000001</v>
          </cell>
          <cell r="AB146">
            <v>96.158000000000001</v>
          </cell>
          <cell r="AC146">
            <v>96.38</v>
          </cell>
          <cell r="AD146">
            <v>96.581000000000003</v>
          </cell>
          <cell r="AE146">
            <v>96.763000000000005</v>
          </cell>
          <cell r="AF146">
            <v>96.93</v>
          </cell>
          <cell r="AG146">
            <v>97.082999999999998</v>
          </cell>
          <cell r="AH146">
            <v>97.222999999999999</v>
          </cell>
          <cell r="AI146">
            <v>97.352999999999994</v>
          </cell>
        </row>
        <row r="147">
          <cell r="B147" t="str">
            <v>Norway</v>
          </cell>
          <cell r="E147">
            <v>50.5</v>
          </cell>
          <cell r="F147">
            <v>50.2</v>
          </cell>
          <cell r="G147">
            <v>49.9</v>
          </cell>
          <cell r="H147">
            <v>57.6</v>
          </cell>
          <cell r="I147">
            <v>65.400000000000006</v>
          </cell>
          <cell r="J147">
            <v>68.2</v>
          </cell>
          <cell r="K147">
            <v>70.5</v>
          </cell>
          <cell r="L147">
            <v>71.3</v>
          </cell>
          <cell r="M147">
            <v>72</v>
          </cell>
          <cell r="N147">
            <v>73.8</v>
          </cell>
          <cell r="O147">
            <v>76</v>
          </cell>
          <cell r="P147">
            <v>77.7</v>
          </cell>
          <cell r="Q147">
            <v>79.099999999999994</v>
          </cell>
          <cell r="R147">
            <v>81.099999999999994</v>
          </cell>
          <cell r="S147">
            <v>83</v>
          </cell>
          <cell r="T147">
            <v>84.242999999999995</v>
          </cell>
          <cell r="U147">
            <v>85.379000000000005</v>
          </cell>
          <cell r="V147">
            <v>86.42</v>
          </cell>
          <cell r="W147">
            <v>87.373000000000005</v>
          </cell>
          <cell r="X147">
            <v>88.248999999999995</v>
          </cell>
          <cell r="Y147">
            <v>89.052999999999997</v>
          </cell>
          <cell r="Z147">
            <v>89.793999999999997</v>
          </cell>
          <cell r="AA147">
            <v>90.477000000000004</v>
          </cell>
          <cell r="AB147">
            <v>91.108000000000004</v>
          </cell>
          <cell r="AC147">
            <v>91.69</v>
          </cell>
          <cell r="AD147">
            <v>92.228999999999999</v>
          </cell>
          <cell r="AE147">
            <v>92.728999999999999</v>
          </cell>
          <cell r="AF147">
            <v>93.191999999999993</v>
          </cell>
          <cell r="AG147">
            <v>93.622</v>
          </cell>
          <cell r="AH147">
            <v>94.022000000000006</v>
          </cell>
          <cell r="AI147">
            <v>94.394000000000005</v>
          </cell>
        </row>
        <row r="148">
          <cell r="B148" t="str">
            <v>Nepal</v>
          </cell>
          <cell r="E148">
            <v>2.7</v>
          </cell>
          <cell r="F148">
            <v>3.1</v>
          </cell>
          <cell r="G148">
            <v>3.5</v>
          </cell>
          <cell r="H148">
            <v>3.7</v>
          </cell>
          <cell r="I148">
            <v>4</v>
          </cell>
          <cell r="J148">
            <v>4.8</v>
          </cell>
          <cell r="K148">
            <v>6.1</v>
          </cell>
          <cell r="L148">
            <v>7.4</v>
          </cell>
          <cell r="M148">
            <v>8.9</v>
          </cell>
          <cell r="N148">
            <v>10.9</v>
          </cell>
          <cell r="O148">
            <v>13.4</v>
          </cell>
          <cell r="P148">
            <v>15.1</v>
          </cell>
          <cell r="Q148">
            <v>16.8</v>
          </cell>
          <cell r="R148">
            <v>18.600000000000001</v>
          </cell>
          <cell r="S148">
            <v>20.6</v>
          </cell>
          <cell r="T148">
            <v>22.629000000000001</v>
          </cell>
          <cell r="U148">
            <v>24.765999999999998</v>
          </cell>
          <cell r="V148">
            <v>27</v>
          </cell>
          <cell r="W148">
            <v>29.318999999999999</v>
          </cell>
          <cell r="X148">
            <v>31.710999999999999</v>
          </cell>
          <cell r="Y148">
            <v>34.159999999999997</v>
          </cell>
          <cell r="Z148">
            <v>36.652000000000001</v>
          </cell>
          <cell r="AA148">
            <v>39.167999999999999</v>
          </cell>
          <cell r="AB148">
            <v>41.695</v>
          </cell>
          <cell r="AC148">
            <v>44.216000000000001</v>
          </cell>
          <cell r="AD148">
            <v>46.716999999999999</v>
          </cell>
          <cell r="AE148">
            <v>49.183999999999997</v>
          </cell>
          <cell r="AF148">
            <v>51.606000000000002</v>
          </cell>
          <cell r="AG148">
            <v>53.972000000000001</v>
          </cell>
          <cell r="AH148">
            <v>56.273000000000003</v>
          </cell>
          <cell r="AI148">
            <v>58.503</v>
          </cell>
        </row>
        <row r="149">
          <cell r="B149" t="str">
            <v>New Zealand</v>
          </cell>
          <cell r="E149">
            <v>72.5</v>
          </cell>
          <cell r="F149">
            <v>73.599999999999994</v>
          </cell>
          <cell r="G149">
            <v>76</v>
          </cell>
          <cell r="H149">
            <v>78.900000000000006</v>
          </cell>
          <cell r="I149">
            <v>81.099999999999994</v>
          </cell>
          <cell r="J149">
            <v>82.8</v>
          </cell>
          <cell r="K149">
            <v>83.4</v>
          </cell>
          <cell r="L149">
            <v>83.7</v>
          </cell>
          <cell r="M149">
            <v>84.7</v>
          </cell>
          <cell r="N149">
            <v>85.6</v>
          </cell>
          <cell r="O149">
            <v>86</v>
          </cell>
          <cell r="P149">
            <v>86.3</v>
          </cell>
          <cell r="Q149">
            <v>86.2</v>
          </cell>
          <cell r="R149">
            <v>86.3</v>
          </cell>
          <cell r="S149">
            <v>86.7</v>
          </cell>
          <cell r="T149">
            <v>87.668999999999997</v>
          </cell>
          <cell r="U149">
            <v>88.57</v>
          </cell>
          <cell r="V149">
            <v>89.408000000000001</v>
          </cell>
          <cell r="W149">
            <v>90.186000000000007</v>
          </cell>
          <cell r="X149">
            <v>90.908000000000001</v>
          </cell>
          <cell r="Y149">
            <v>91.578000000000003</v>
          </cell>
          <cell r="Z149">
            <v>92.2</v>
          </cell>
          <cell r="AA149">
            <v>92.775999999999996</v>
          </cell>
          <cell r="AB149">
            <v>93.311000000000007</v>
          </cell>
          <cell r="AC149">
            <v>93.805999999999997</v>
          </cell>
          <cell r="AD149">
            <v>94.266000000000005</v>
          </cell>
          <cell r="AE149">
            <v>94.691000000000003</v>
          </cell>
          <cell r="AF149">
            <v>95.085999999999999</v>
          </cell>
          <cell r="AG149">
            <v>95.450999999999993</v>
          </cell>
          <cell r="AH149">
            <v>95.789000000000001</v>
          </cell>
          <cell r="AI149">
            <v>96.102000000000004</v>
          </cell>
        </row>
        <row r="150">
          <cell r="B150" t="str">
            <v>Oman</v>
          </cell>
          <cell r="E150">
            <v>8.6</v>
          </cell>
          <cell r="F150">
            <v>12</v>
          </cell>
          <cell r="G150">
            <v>16.399999999999999</v>
          </cell>
          <cell r="H150">
            <v>22.3</v>
          </cell>
          <cell r="I150">
            <v>29.7</v>
          </cell>
          <cell r="J150">
            <v>38.200000000000003</v>
          </cell>
          <cell r="K150">
            <v>47.6</v>
          </cell>
          <cell r="L150">
            <v>57.1</v>
          </cell>
          <cell r="M150">
            <v>66.099999999999994</v>
          </cell>
          <cell r="N150">
            <v>71.7</v>
          </cell>
          <cell r="O150">
            <v>71.599999999999994</v>
          </cell>
          <cell r="P150">
            <v>72.400000000000006</v>
          </cell>
          <cell r="Q150">
            <v>75.2</v>
          </cell>
          <cell r="R150">
            <v>81.400000000000006</v>
          </cell>
          <cell r="S150">
            <v>86.3</v>
          </cell>
          <cell r="T150">
            <v>87.619</v>
          </cell>
          <cell r="U150">
            <v>88.786000000000001</v>
          </cell>
          <cell r="V150">
            <v>89.822999999999993</v>
          </cell>
          <cell r="W150">
            <v>90.747</v>
          </cell>
          <cell r="X150">
            <v>91.572999999999993</v>
          </cell>
          <cell r="Y150">
            <v>92.313000000000002</v>
          </cell>
          <cell r="Z150">
            <v>92.977999999999994</v>
          </cell>
          <cell r="AA150">
            <v>93.575999999999993</v>
          </cell>
          <cell r="AB150">
            <v>94.117000000000004</v>
          </cell>
          <cell r="AC150">
            <v>94.605999999999995</v>
          </cell>
          <cell r="AD150">
            <v>95.05</v>
          </cell>
          <cell r="AE150">
            <v>95.453000000000003</v>
          </cell>
          <cell r="AF150">
            <v>95.819000000000003</v>
          </cell>
          <cell r="AG150">
            <v>96.153000000000006</v>
          </cell>
          <cell r="AH150">
            <v>96.457999999999998</v>
          </cell>
          <cell r="AI150">
            <v>96.736000000000004</v>
          </cell>
        </row>
        <row r="151">
          <cell r="B151" t="str">
            <v>Pakistan</v>
          </cell>
          <cell r="E151">
            <v>17.5</v>
          </cell>
          <cell r="F151">
            <v>19.7</v>
          </cell>
          <cell r="G151">
            <v>22.1</v>
          </cell>
          <cell r="H151">
            <v>23.5</v>
          </cell>
          <cell r="I151">
            <v>24.8</v>
          </cell>
          <cell r="J151">
            <v>26.3</v>
          </cell>
          <cell r="K151">
            <v>28.1</v>
          </cell>
          <cell r="L151">
            <v>29.3</v>
          </cell>
          <cell r="M151">
            <v>30.6</v>
          </cell>
          <cell r="N151">
            <v>31.8</v>
          </cell>
          <cell r="O151">
            <v>33</v>
          </cell>
          <cell r="P151">
            <v>34</v>
          </cell>
          <cell r="Q151">
            <v>35</v>
          </cell>
          <cell r="R151">
            <v>36</v>
          </cell>
          <cell r="S151">
            <v>37.200000000000003</v>
          </cell>
          <cell r="T151">
            <v>40.938000000000002</v>
          </cell>
          <cell r="U151">
            <v>44.487000000000002</v>
          </cell>
          <cell r="V151">
            <v>47.81</v>
          </cell>
          <cell r="W151">
            <v>50.887</v>
          </cell>
          <cell r="X151">
            <v>53.712000000000003</v>
          </cell>
          <cell r="Y151">
            <v>56.29</v>
          </cell>
          <cell r="Z151">
            <v>58.634999999999998</v>
          </cell>
          <cell r="AA151">
            <v>60.762999999999998</v>
          </cell>
          <cell r="AB151">
            <v>62.691000000000003</v>
          </cell>
          <cell r="AC151">
            <v>64.438000000000002</v>
          </cell>
          <cell r="AD151">
            <v>66.022999999999996</v>
          </cell>
          <cell r="AE151">
            <v>67.460999999999999</v>
          </cell>
          <cell r="AF151">
            <v>68.768000000000001</v>
          </cell>
          <cell r="AG151">
            <v>69.956999999999994</v>
          </cell>
          <cell r="AH151">
            <v>71.043000000000006</v>
          </cell>
          <cell r="AI151">
            <v>72.034000000000006</v>
          </cell>
        </row>
        <row r="152">
          <cell r="B152" t="str">
            <v>Panama</v>
          </cell>
          <cell r="E152">
            <v>35.799999999999997</v>
          </cell>
          <cell r="F152">
            <v>38.5</v>
          </cell>
          <cell r="G152">
            <v>41.2</v>
          </cell>
          <cell r="H152">
            <v>44.4</v>
          </cell>
          <cell r="I152">
            <v>47.6</v>
          </cell>
          <cell r="J152">
            <v>49</v>
          </cell>
          <cell r="K152">
            <v>50.4</v>
          </cell>
          <cell r="L152">
            <v>52.1</v>
          </cell>
          <cell r="M152">
            <v>53.9</v>
          </cell>
          <cell r="N152">
            <v>58.1</v>
          </cell>
          <cell r="O152">
            <v>62.2</v>
          </cell>
          <cell r="P152">
            <v>63.7</v>
          </cell>
          <cell r="Q152">
            <v>65.099999999999994</v>
          </cell>
          <cell r="R152">
            <v>66.7</v>
          </cell>
          <cell r="S152">
            <v>68.400000000000006</v>
          </cell>
          <cell r="T152">
            <v>70.045000000000002</v>
          </cell>
          <cell r="U152">
            <v>71.638000000000005</v>
          </cell>
          <cell r="V152">
            <v>73.177000000000007</v>
          </cell>
          <cell r="W152">
            <v>74.661000000000001</v>
          </cell>
          <cell r="X152">
            <v>76.087000000000003</v>
          </cell>
          <cell r="Y152">
            <v>77.456000000000003</v>
          </cell>
          <cell r="Z152">
            <v>78.766999999999996</v>
          </cell>
          <cell r="AA152">
            <v>80.02</v>
          </cell>
          <cell r="AB152">
            <v>81.215000000000003</v>
          </cell>
          <cell r="AC152">
            <v>82.353999999999999</v>
          </cell>
          <cell r="AD152">
            <v>83.436999999999998</v>
          </cell>
          <cell r="AE152">
            <v>84.465000000000003</v>
          </cell>
          <cell r="AF152">
            <v>85.44</v>
          </cell>
          <cell r="AG152">
            <v>86.361999999999995</v>
          </cell>
          <cell r="AH152">
            <v>87.233999999999995</v>
          </cell>
          <cell r="AI152">
            <v>88.058000000000007</v>
          </cell>
        </row>
        <row r="153">
          <cell r="B153" t="str">
            <v>Peru</v>
          </cell>
          <cell r="E153">
            <v>41</v>
          </cell>
          <cell r="F153">
            <v>43.9</v>
          </cell>
          <cell r="G153">
            <v>46.8</v>
          </cell>
          <cell r="H153">
            <v>51.9</v>
          </cell>
          <cell r="I153">
            <v>57.4</v>
          </cell>
          <cell r="J153">
            <v>61.5</v>
          </cell>
          <cell r="K153">
            <v>64.599999999999994</v>
          </cell>
          <cell r="L153">
            <v>66.900000000000006</v>
          </cell>
          <cell r="M153">
            <v>68.900000000000006</v>
          </cell>
          <cell r="N153">
            <v>71</v>
          </cell>
          <cell r="O153">
            <v>73</v>
          </cell>
          <cell r="P153">
            <v>75</v>
          </cell>
          <cell r="Q153">
            <v>76.400000000000006</v>
          </cell>
          <cell r="R153">
            <v>77.400000000000006</v>
          </cell>
          <cell r="S153">
            <v>78.3</v>
          </cell>
          <cell r="T153">
            <v>79.513999999999996</v>
          </cell>
          <cell r="U153">
            <v>80.691000000000003</v>
          </cell>
          <cell r="V153">
            <v>81.828999999999994</v>
          </cell>
          <cell r="W153">
            <v>82.926000000000002</v>
          </cell>
          <cell r="X153">
            <v>83.98</v>
          </cell>
          <cell r="Y153">
            <v>84.991</v>
          </cell>
          <cell r="Z153">
            <v>85.959000000000003</v>
          </cell>
          <cell r="AA153">
            <v>86.881</v>
          </cell>
          <cell r="AB153">
            <v>87.759</v>
          </cell>
          <cell r="AC153">
            <v>88.591999999999999</v>
          </cell>
          <cell r="AD153">
            <v>89.382000000000005</v>
          </cell>
          <cell r="AE153">
            <v>90.128</v>
          </cell>
          <cell r="AF153">
            <v>90.831999999999994</v>
          </cell>
          <cell r="AG153">
            <v>91.494</v>
          </cell>
          <cell r="AH153">
            <v>92.116</v>
          </cell>
          <cell r="AI153">
            <v>92.7</v>
          </cell>
        </row>
        <row r="154">
          <cell r="B154" t="str">
            <v>Philippines</v>
          </cell>
          <cell r="E154">
            <v>27.1</v>
          </cell>
          <cell r="F154">
            <v>28.7</v>
          </cell>
          <cell r="G154">
            <v>30.3</v>
          </cell>
          <cell r="H154">
            <v>31.6</v>
          </cell>
          <cell r="I154">
            <v>33</v>
          </cell>
          <cell r="J154">
            <v>35.6</v>
          </cell>
          <cell r="K154">
            <v>37.5</v>
          </cell>
          <cell r="L154">
            <v>42.2</v>
          </cell>
          <cell r="M154">
            <v>47</v>
          </cell>
          <cell r="N154">
            <v>46.6</v>
          </cell>
          <cell r="O154">
            <v>46.1</v>
          </cell>
          <cell r="P154">
            <v>45.7</v>
          </cell>
          <cell r="Q154">
            <v>45.3</v>
          </cell>
          <cell r="R154">
            <v>46.3</v>
          </cell>
          <cell r="S154">
            <v>47.4</v>
          </cell>
          <cell r="T154">
            <v>50.003</v>
          </cell>
          <cell r="U154">
            <v>52.491</v>
          </cell>
          <cell r="V154">
            <v>54.857999999999997</v>
          </cell>
          <cell r="W154">
            <v>57.098999999999997</v>
          </cell>
          <cell r="X154">
            <v>59.216000000000001</v>
          </cell>
          <cell r="Y154">
            <v>61.210999999999999</v>
          </cell>
          <cell r="Z154">
            <v>63.085000000000001</v>
          </cell>
          <cell r="AA154">
            <v>64.846000000000004</v>
          </cell>
          <cell r="AB154">
            <v>66.497</v>
          </cell>
          <cell r="AC154">
            <v>68.046000000000006</v>
          </cell>
          <cell r="AD154">
            <v>69.497</v>
          </cell>
          <cell r="AE154">
            <v>70.856999999999999</v>
          </cell>
          <cell r="AF154">
            <v>72.132999999999996</v>
          </cell>
          <cell r="AG154">
            <v>73.328999999999994</v>
          </cell>
          <cell r="AH154">
            <v>74.451999999999998</v>
          </cell>
          <cell r="AI154">
            <v>75.506</v>
          </cell>
        </row>
        <row r="155">
          <cell r="B155" t="str">
            <v>Palau</v>
          </cell>
          <cell r="E155">
            <v>53.9</v>
          </cell>
          <cell r="F155">
            <v>55.4</v>
          </cell>
          <cell r="G155">
            <v>56.8</v>
          </cell>
          <cell r="H155">
            <v>58.3</v>
          </cell>
          <cell r="I155">
            <v>59.7</v>
          </cell>
          <cell r="J155">
            <v>61.1</v>
          </cell>
          <cell r="K155">
            <v>62.5</v>
          </cell>
          <cell r="L155">
            <v>67.400000000000006</v>
          </cell>
          <cell r="M155">
            <v>69.599999999999994</v>
          </cell>
          <cell r="N155">
            <v>71.400000000000006</v>
          </cell>
          <cell r="O155">
            <v>70.3</v>
          </cell>
          <cell r="P155">
            <v>71.2</v>
          </cell>
          <cell r="Q155">
            <v>74.8</v>
          </cell>
          <cell r="R155">
            <v>78.2</v>
          </cell>
          <cell r="S155">
            <v>81</v>
          </cell>
          <cell r="T155">
            <v>81.947000000000003</v>
          </cell>
          <cell r="U155">
            <v>82.903999999999996</v>
          </cell>
          <cell r="V155">
            <v>83.866</v>
          </cell>
          <cell r="W155">
            <v>84.825999999999993</v>
          </cell>
          <cell r="X155">
            <v>85.78</v>
          </cell>
          <cell r="Y155">
            <v>86.721999999999994</v>
          </cell>
          <cell r="Z155">
            <v>87.646000000000001</v>
          </cell>
          <cell r="AA155">
            <v>88.546999999999997</v>
          </cell>
          <cell r="AB155">
            <v>89.421000000000006</v>
          </cell>
          <cell r="AC155">
            <v>90.260999999999996</v>
          </cell>
          <cell r="AD155">
            <v>91.066000000000003</v>
          </cell>
          <cell r="AE155">
            <v>91.831000000000003</v>
          </cell>
          <cell r="AF155">
            <v>92.554000000000002</v>
          </cell>
          <cell r="AG155">
            <v>93.233999999999995</v>
          </cell>
          <cell r="AH155">
            <v>93.87</v>
          </cell>
          <cell r="AI155">
            <v>94.460999999999999</v>
          </cell>
        </row>
        <row r="156">
          <cell r="B156" t="str">
            <v>Papua New Guinea</v>
          </cell>
          <cell r="E156">
            <v>1.7</v>
          </cell>
          <cell r="F156">
            <v>2.5</v>
          </cell>
          <cell r="G156">
            <v>3.7</v>
          </cell>
          <cell r="H156">
            <v>5.5</v>
          </cell>
          <cell r="I156">
            <v>9.8000000000000007</v>
          </cell>
          <cell r="J156">
            <v>11.9</v>
          </cell>
          <cell r="K156">
            <v>13</v>
          </cell>
          <cell r="L156">
            <v>14</v>
          </cell>
          <cell r="M156">
            <v>15</v>
          </cell>
          <cell r="N156">
            <v>14.1</v>
          </cell>
          <cell r="O156">
            <v>13.2</v>
          </cell>
          <cell r="P156">
            <v>13.1</v>
          </cell>
          <cell r="Q156">
            <v>13</v>
          </cell>
          <cell r="R156">
            <v>13</v>
          </cell>
          <cell r="S156">
            <v>13.3</v>
          </cell>
          <cell r="T156">
            <v>15.221</v>
          </cell>
          <cell r="U156">
            <v>17.324999999999999</v>
          </cell>
          <cell r="V156">
            <v>19.603999999999999</v>
          </cell>
          <cell r="W156">
            <v>22.045000000000002</v>
          </cell>
          <cell r="X156">
            <v>24.631</v>
          </cell>
          <cell r="Y156">
            <v>27.34</v>
          </cell>
          <cell r="Z156">
            <v>30.143999999999998</v>
          </cell>
          <cell r="AA156">
            <v>33.015000000000001</v>
          </cell>
          <cell r="AB156">
            <v>35.923000000000002</v>
          </cell>
          <cell r="AC156">
            <v>38.838000000000001</v>
          </cell>
          <cell r="AD156">
            <v>41.731999999999999</v>
          </cell>
          <cell r="AE156">
            <v>44.581000000000003</v>
          </cell>
          <cell r="AF156">
            <v>47.362000000000002</v>
          </cell>
          <cell r="AG156">
            <v>50.06</v>
          </cell>
          <cell r="AH156">
            <v>52.66</v>
          </cell>
          <cell r="AI156">
            <v>55.152000000000001</v>
          </cell>
        </row>
        <row r="157">
          <cell r="B157" t="str">
            <v>Poland</v>
          </cell>
          <cell r="E157">
            <v>38.299999999999997</v>
          </cell>
          <cell r="F157">
            <v>43.2</v>
          </cell>
          <cell r="G157">
            <v>47.9</v>
          </cell>
          <cell r="H157">
            <v>50.1</v>
          </cell>
          <cell r="I157">
            <v>52.1</v>
          </cell>
          <cell r="J157">
            <v>55.3</v>
          </cell>
          <cell r="K157">
            <v>58.1</v>
          </cell>
          <cell r="L157">
            <v>59.9</v>
          </cell>
          <cell r="M157">
            <v>61.3</v>
          </cell>
          <cell r="N157">
            <v>61.5</v>
          </cell>
          <cell r="O157">
            <v>61.7</v>
          </cell>
          <cell r="P157">
            <v>61.5</v>
          </cell>
          <cell r="Q157">
            <v>60.9</v>
          </cell>
          <cell r="R157">
            <v>60.3</v>
          </cell>
          <cell r="S157">
            <v>60</v>
          </cell>
          <cell r="T157">
            <v>61.563000000000002</v>
          </cell>
          <cell r="U157">
            <v>63.08</v>
          </cell>
          <cell r="V157">
            <v>64.552999999999997</v>
          </cell>
          <cell r="W157">
            <v>65.978999999999999</v>
          </cell>
          <cell r="X157">
            <v>67.358999999999995</v>
          </cell>
          <cell r="Y157">
            <v>68.691999999999993</v>
          </cell>
          <cell r="Z157">
            <v>69.978999999999999</v>
          </cell>
          <cell r="AA157">
            <v>71.218999999999994</v>
          </cell>
          <cell r="AB157">
            <v>72.415000000000006</v>
          </cell>
          <cell r="AC157">
            <v>73.564999999999998</v>
          </cell>
          <cell r="AD157">
            <v>74.671999999999997</v>
          </cell>
          <cell r="AE157">
            <v>75.736000000000004</v>
          </cell>
          <cell r="AF157">
            <v>76.757999999999996</v>
          </cell>
          <cell r="AG157">
            <v>77.739000000000004</v>
          </cell>
          <cell r="AH157">
            <v>78.682000000000002</v>
          </cell>
          <cell r="AI157">
            <v>79.584999999999994</v>
          </cell>
        </row>
        <row r="158">
          <cell r="B158" t="str">
            <v>Puerto Rico</v>
          </cell>
          <cell r="E158">
            <v>40.6</v>
          </cell>
          <cell r="F158">
            <v>42.4</v>
          </cell>
          <cell r="G158">
            <v>44.5</v>
          </cell>
          <cell r="H158">
            <v>51.5</v>
          </cell>
          <cell r="I158">
            <v>58.3</v>
          </cell>
          <cell r="J158">
            <v>62.8</v>
          </cell>
          <cell r="K158">
            <v>67.8</v>
          </cell>
          <cell r="L158">
            <v>84.3</v>
          </cell>
          <cell r="M158">
            <v>92.9</v>
          </cell>
          <cell r="N158">
            <v>93.7</v>
          </cell>
          <cell r="O158">
            <v>94.4</v>
          </cell>
          <cell r="P158">
            <v>94.1</v>
          </cell>
          <cell r="Q158">
            <v>93.8</v>
          </cell>
          <cell r="R158">
            <v>93.6</v>
          </cell>
          <cell r="S158">
            <v>93.6</v>
          </cell>
          <cell r="T158">
            <v>94.179000000000002</v>
          </cell>
          <cell r="U158">
            <v>94.671999999999997</v>
          </cell>
          <cell r="V158">
            <v>95.096999999999994</v>
          </cell>
          <cell r="W158">
            <v>95.465999999999994</v>
          </cell>
          <cell r="X158">
            <v>95.790999999999997</v>
          </cell>
          <cell r="Y158">
            <v>96.078000000000003</v>
          </cell>
          <cell r="Z158">
            <v>96.334000000000003</v>
          </cell>
          <cell r="AA158">
            <v>96.563000000000002</v>
          </cell>
          <cell r="AB158">
            <v>96.77</v>
          </cell>
          <cell r="AC158">
            <v>96.956999999999994</v>
          </cell>
          <cell r="AD158">
            <v>97.126999999999995</v>
          </cell>
          <cell r="AE158">
            <v>97.281999999999996</v>
          </cell>
          <cell r="AF158">
            <v>97.424000000000007</v>
          </cell>
          <cell r="AG158">
            <v>97.555000000000007</v>
          </cell>
          <cell r="AH158">
            <v>97.674999999999997</v>
          </cell>
          <cell r="AI158">
            <v>97.787000000000006</v>
          </cell>
        </row>
        <row r="159">
          <cell r="B159" t="str">
            <v>North Korea</v>
          </cell>
          <cell r="E159">
            <v>31</v>
          </cell>
          <cell r="F159">
            <v>35.5</v>
          </cell>
          <cell r="G159">
            <v>40.200000000000003</v>
          </cell>
          <cell r="H159">
            <v>45.1</v>
          </cell>
          <cell r="I159">
            <v>54.2</v>
          </cell>
          <cell r="J159">
            <v>56.7</v>
          </cell>
          <cell r="K159">
            <v>56.9</v>
          </cell>
          <cell r="L159">
            <v>57.6</v>
          </cell>
          <cell r="M159">
            <v>58.4</v>
          </cell>
          <cell r="N159">
            <v>59</v>
          </cell>
          <cell r="O159">
            <v>59.4</v>
          </cell>
          <cell r="P159">
            <v>59.8</v>
          </cell>
          <cell r="Q159">
            <v>60.4</v>
          </cell>
          <cell r="R159">
            <v>61.3</v>
          </cell>
          <cell r="S159">
            <v>62.4</v>
          </cell>
          <cell r="T159">
            <v>63.744</v>
          </cell>
          <cell r="U159">
            <v>65.070999999999998</v>
          </cell>
          <cell r="V159">
            <v>66.379000000000005</v>
          </cell>
          <cell r="W159">
            <v>67.667000000000002</v>
          </cell>
          <cell r="X159">
            <v>68.932000000000002</v>
          </cell>
          <cell r="Y159">
            <v>70.171999999999997</v>
          </cell>
          <cell r="Z159">
            <v>71.388000000000005</v>
          </cell>
          <cell r="AA159">
            <v>72.575999999999993</v>
          </cell>
          <cell r="AB159">
            <v>73.736999999999995</v>
          </cell>
          <cell r="AC159">
            <v>74.867999999999995</v>
          </cell>
          <cell r="AD159">
            <v>75.97</v>
          </cell>
          <cell r="AE159">
            <v>77.040000000000006</v>
          </cell>
          <cell r="AF159">
            <v>78.078999999999994</v>
          </cell>
          <cell r="AG159">
            <v>79.085999999999999</v>
          </cell>
          <cell r="AH159">
            <v>80.061000000000007</v>
          </cell>
          <cell r="AI159">
            <v>81.004000000000005</v>
          </cell>
        </row>
        <row r="160">
          <cell r="B160" t="str">
            <v>Portugal</v>
          </cell>
          <cell r="E160">
            <v>31.2</v>
          </cell>
          <cell r="F160">
            <v>33</v>
          </cell>
          <cell r="G160">
            <v>35</v>
          </cell>
          <cell r="H160">
            <v>36.9</v>
          </cell>
          <cell r="I160">
            <v>38.799999999999997</v>
          </cell>
          <cell r="J160">
            <v>40.799999999999997</v>
          </cell>
          <cell r="K160">
            <v>42.8</v>
          </cell>
          <cell r="L160">
            <v>45.3</v>
          </cell>
          <cell r="M160">
            <v>47.9</v>
          </cell>
          <cell r="N160">
            <v>51.1</v>
          </cell>
          <cell r="O160">
            <v>54.4</v>
          </cell>
          <cell r="P160">
            <v>57.5</v>
          </cell>
          <cell r="Q160">
            <v>60.6</v>
          </cell>
          <cell r="R160">
            <v>63.5</v>
          </cell>
          <cell r="S160">
            <v>66.3</v>
          </cell>
          <cell r="T160">
            <v>67.662000000000006</v>
          </cell>
          <cell r="U160">
            <v>69.004000000000005</v>
          </cell>
          <cell r="V160">
            <v>70.325000000000003</v>
          </cell>
          <cell r="W160">
            <v>71.620999999999995</v>
          </cell>
          <cell r="X160">
            <v>72.891999999999996</v>
          </cell>
          <cell r="Y160">
            <v>74.135000000000005</v>
          </cell>
          <cell r="Z160">
            <v>75.346999999999994</v>
          </cell>
          <cell r="AA160">
            <v>76.528999999999996</v>
          </cell>
          <cell r="AB160">
            <v>77.677000000000007</v>
          </cell>
          <cell r="AC160">
            <v>78.792000000000002</v>
          </cell>
          <cell r="AD160">
            <v>79.870999999999995</v>
          </cell>
          <cell r="AE160">
            <v>80.914000000000001</v>
          </cell>
          <cell r="AF160">
            <v>81.921000000000006</v>
          </cell>
          <cell r="AG160">
            <v>82.891000000000005</v>
          </cell>
          <cell r="AH160">
            <v>83.823999999999998</v>
          </cell>
          <cell r="AI160">
            <v>84.718999999999994</v>
          </cell>
        </row>
        <row r="161">
          <cell r="B161" t="str">
            <v>Paraguay</v>
          </cell>
          <cell r="E161">
            <v>34.6</v>
          </cell>
          <cell r="F161">
            <v>35.1</v>
          </cell>
          <cell r="G161">
            <v>35.6</v>
          </cell>
          <cell r="H161">
            <v>36.200000000000003</v>
          </cell>
          <cell r="I161">
            <v>37.1</v>
          </cell>
          <cell r="J161">
            <v>39</v>
          </cell>
          <cell r="K161">
            <v>41.7</v>
          </cell>
          <cell r="L161">
            <v>45</v>
          </cell>
          <cell r="M161">
            <v>48.7</v>
          </cell>
          <cell r="N161">
            <v>52.1</v>
          </cell>
          <cell r="O161">
            <v>55.3</v>
          </cell>
          <cell r="P161">
            <v>57.6</v>
          </cell>
          <cell r="Q161">
            <v>59.3</v>
          </cell>
          <cell r="R161">
            <v>60.8</v>
          </cell>
          <cell r="S161">
            <v>62.2</v>
          </cell>
          <cell r="T161">
            <v>63.905000000000001</v>
          </cell>
          <cell r="U161">
            <v>65.587000000000003</v>
          </cell>
          <cell r="V161">
            <v>67.242000000000004</v>
          </cell>
          <cell r="W161">
            <v>68.867000000000004</v>
          </cell>
          <cell r="X161">
            <v>70.456999999999994</v>
          </cell>
          <cell r="Y161">
            <v>72.009</v>
          </cell>
          <cell r="Z161">
            <v>73.519000000000005</v>
          </cell>
          <cell r="AA161">
            <v>74.984999999999999</v>
          </cell>
          <cell r="AB161">
            <v>76.403999999999996</v>
          </cell>
          <cell r="AC161">
            <v>77.774000000000001</v>
          </cell>
          <cell r="AD161">
            <v>79.093000000000004</v>
          </cell>
          <cell r="AE161">
            <v>80.36</v>
          </cell>
          <cell r="AF161">
            <v>81.573999999999998</v>
          </cell>
          <cell r="AG161">
            <v>82.734999999999999</v>
          </cell>
          <cell r="AH161">
            <v>83.840999999999994</v>
          </cell>
          <cell r="AI161">
            <v>84.894999999999996</v>
          </cell>
        </row>
        <row r="162">
          <cell r="B162" t="str">
            <v>Palestine</v>
          </cell>
          <cell r="E162">
            <v>37.299999999999997</v>
          </cell>
          <cell r="F162">
            <v>40.6</v>
          </cell>
          <cell r="G162">
            <v>44</v>
          </cell>
          <cell r="H162">
            <v>48.9</v>
          </cell>
          <cell r="I162">
            <v>54.3</v>
          </cell>
          <cell r="J162">
            <v>59.6</v>
          </cell>
          <cell r="K162">
            <v>62.4</v>
          </cell>
          <cell r="L162">
            <v>65.099999999999994</v>
          </cell>
          <cell r="M162">
            <v>67.7</v>
          </cell>
          <cell r="N162">
            <v>70.2</v>
          </cell>
          <cell r="O162">
            <v>72</v>
          </cell>
          <cell r="P162">
            <v>73.099999999999994</v>
          </cell>
          <cell r="Q162">
            <v>74.099999999999994</v>
          </cell>
          <cell r="R162">
            <v>75.400000000000006</v>
          </cell>
          <cell r="S162">
            <v>76.7</v>
          </cell>
          <cell r="T162">
            <v>78.421999999999997</v>
          </cell>
          <cell r="U162">
            <v>80.010000000000005</v>
          </cell>
          <cell r="V162">
            <v>81.474000000000004</v>
          </cell>
          <cell r="W162">
            <v>82.822999999999993</v>
          </cell>
          <cell r="X162">
            <v>84.066000000000003</v>
          </cell>
          <cell r="Y162">
            <v>85.212999999999994</v>
          </cell>
          <cell r="Z162">
            <v>86.271000000000001</v>
          </cell>
          <cell r="AA162">
            <v>87.247</v>
          </cell>
          <cell r="AB162">
            <v>88.147999999999996</v>
          </cell>
          <cell r="AC162">
            <v>88.980999999999995</v>
          </cell>
          <cell r="AD162">
            <v>89.751000000000005</v>
          </cell>
          <cell r="AE162">
            <v>90.462999999999994</v>
          </cell>
          <cell r="AF162">
            <v>91.122</v>
          </cell>
          <cell r="AG162">
            <v>91.733000000000004</v>
          </cell>
          <cell r="AH162">
            <v>92.298000000000002</v>
          </cell>
          <cell r="AI162">
            <v>92.822999999999993</v>
          </cell>
        </row>
        <row r="163">
          <cell r="B163" t="str">
            <v>French Polynesia</v>
          </cell>
          <cell r="E163">
            <v>33.299999999999997</v>
          </cell>
          <cell r="F163">
            <v>37.700000000000003</v>
          </cell>
          <cell r="G163">
            <v>42.3</v>
          </cell>
          <cell r="H163">
            <v>48.2</v>
          </cell>
          <cell r="I163">
            <v>55.2</v>
          </cell>
          <cell r="J163">
            <v>58.3</v>
          </cell>
          <cell r="K163">
            <v>59</v>
          </cell>
          <cell r="L163">
            <v>58.6</v>
          </cell>
          <cell r="M163">
            <v>57.9</v>
          </cell>
          <cell r="N163">
            <v>56.6</v>
          </cell>
          <cell r="O163">
            <v>56</v>
          </cell>
          <cell r="P163">
            <v>57.4</v>
          </cell>
          <cell r="Q163">
            <v>60.3</v>
          </cell>
          <cell r="R163">
            <v>61.7</v>
          </cell>
          <cell r="S163">
            <v>62</v>
          </cell>
          <cell r="T163">
            <v>63.890999999999998</v>
          </cell>
          <cell r="U163">
            <v>65.721999999999994</v>
          </cell>
          <cell r="V163">
            <v>67.492000000000004</v>
          </cell>
          <cell r="W163">
            <v>69.197999999999993</v>
          </cell>
          <cell r="X163">
            <v>70.837999999999994</v>
          </cell>
          <cell r="Y163">
            <v>72.412999999999997</v>
          </cell>
          <cell r="Z163">
            <v>73.921000000000006</v>
          </cell>
          <cell r="AA163">
            <v>75.364000000000004</v>
          </cell>
          <cell r="AB163">
            <v>76.742000000000004</v>
          </cell>
          <cell r="AC163">
            <v>78.055000000000007</v>
          </cell>
          <cell r="AD163">
            <v>79.305999999999997</v>
          </cell>
          <cell r="AE163">
            <v>80.495000000000005</v>
          </cell>
          <cell r="AF163">
            <v>81.623999999999995</v>
          </cell>
          <cell r="AG163">
            <v>82.695999999999998</v>
          </cell>
          <cell r="AH163">
            <v>83.710999999999999</v>
          </cell>
          <cell r="AI163">
            <v>84.673000000000002</v>
          </cell>
        </row>
        <row r="164">
          <cell r="B164" t="str">
            <v>Qatar</v>
          </cell>
          <cell r="E164">
            <v>80.5</v>
          </cell>
          <cell r="F164">
            <v>83</v>
          </cell>
          <cell r="G164">
            <v>85.3</v>
          </cell>
          <cell r="H164">
            <v>87.1</v>
          </cell>
          <cell r="I164">
            <v>88.4</v>
          </cell>
          <cell r="J164">
            <v>88.9</v>
          </cell>
          <cell r="K164">
            <v>89.4</v>
          </cell>
          <cell r="L164">
            <v>90.1</v>
          </cell>
          <cell r="M164">
            <v>92.8</v>
          </cell>
          <cell r="N164">
            <v>95</v>
          </cell>
          <cell r="O164">
            <v>96.3</v>
          </cell>
          <cell r="P164">
            <v>97.4</v>
          </cell>
          <cell r="Q164">
            <v>98.5</v>
          </cell>
          <cell r="R164">
            <v>98.9</v>
          </cell>
          <cell r="S164">
            <v>99.2</v>
          </cell>
          <cell r="T164">
            <v>99.200999999999993</v>
          </cell>
          <cell r="U164">
            <v>99.203000000000003</v>
          </cell>
          <cell r="V164">
            <v>99.203999999999994</v>
          </cell>
          <cell r="W164">
            <v>99.204999999999998</v>
          </cell>
          <cell r="X164">
            <v>99.206999999999994</v>
          </cell>
          <cell r="Y164">
            <v>99.207999999999998</v>
          </cell>
          <cell r="Z164">
            <v>99.209000000000003</v>
          </cell>
          <cell r="AA164">
            <v>99.210999999999999</v>
          </cell>
          <cell r="AB164">
            <v>99.212000000000003</v>
          </cell>
          <cell r="AC164">
            <v>99.212999999999994</v>
          </cell>
          <cell r="AD164">
            <v>99.215000000000003</v>
          </cell>
          <cell r="AE164">
            <v>99.215999999999994</v>
          </cell>
          <cell r="AF164">
            <v>99.216999999999999</v>
          </cell>
          <cell r="AG164">
            <v>99.218999999999994</v>
          </cell>
          <cell r="AH164">
            <v>99.22</v>
          </cell>
          <cell r="AI164">
            <v>99.221000000000004</v>
          </cell>
        </row>
        <row r="165">
          <cell r="B165" t="str">
            <v>R?union</v>
          </cell>
          <cell r="E165">
            <v>23.5</v>
          </cell>
          <cell r="F165">
            <v>27.9</v>
          </cell>
          <cell r="G165">
            <v>32.799999999999997</v>
          </cell>
          <cell r="H165">
            <v>38.200000000000003</v>
          </cell>
          <cell r="I165">
            <v>41.7</v>
          </cell>
          <cell r="J165">
            <v>44.5</v>
          </cell>
          <cell r="K165">
            <v>53.5</v>
          </cell>
          <cell r="L165">
            <v>67.900000000000006</v>
          </cell>
          <cell r="M165">
            <v>81.2</v>
          </cell>
          <cell r="N165">
            <v>86.1</v>
          </cell>
          <cell r="O165">
            <v>91.2</v>
          </cell>
          <cell r="P165">
            <v>96.3</v>
          </cell>
          <cell r="Q165">
            <v>98.5</v>
          </cell>
          <cell r="R165">
            <v>99.3</v>
          </cell>
          <cell r="S165">
            <v>99.7</v>
          </cell>
          <cell r="T165">
            <v>99.701999999999998</v>
          </cell>
          <cell r="U165">
            <v>99.703999999999994</v>
          </cell>
          <cell r="V165">
            <v>99.706000000000003</v>
          </cell>
          <cell r="W165">
            <v>99.707999999999998</v>
          </cell>
          <cell r="X165">
            <v>99.71</v>
          </cell>
          <cell r="Y165">
            <v>99.712999999999994</v>
          </cell>
          <cell r="Z165">
            <v>99.715999999999994</v>
          </cell>
          <cell r="AA165">
            <v>99.718999999999994</v>
          </cell>
          <cell r="AB165">
            <v>99.722999999999999</v>
          </cell>
          <cell r="AC165">
            <v>99.727000000000004</v>
          </cell>
          <cell r="AD165">
            <v>99.730999999999995</v>
          </cell>
          <cell r="AE165">
            <v>99.734999999999999</v>
          </cell>
          <cell r="AF165">
            <v>99.74</v>
          </cell>
          <cell r="AG165">
            <v>99.745000000000005</v>
          </cell>
          <cell r="AH165">
            <v>99.751000000000005</v>
          </cell>
          <cell r="AI165">
            <v>99.757000000000005</v>
          </cell>
        </row>
        <row r="166">
          <cell r="B166" t="str">
            <v>Romania</v>
          </cell>
          <cell r="E166">
            <v>25.6</v>
          </cell>
          <cell r="F166">
            <v>30.6</v>
          </cell>
          <cell r="G166">
            <v>34.200000000000003</v>
          </cell>
          <cell r="H166">
            <v>37.700000000000003</v>
          </cell>
          <cell r="I166">
            <v>40.299999999999997</v>
          </cell>
          <cell r="J166">
            <v>42.8</v>
          </cell>
          <cell r="K166">
            <v>46.1</v>
          </cell>
          <cell r="L166">
            <v>49.6</v>
          </cell>
          <cell r="M166">
            <v>53.2</v>
          </cell>
          <cell r="N166">
            <v>53.8</v>
          </cell>
          <cell r="O166">
            <v>53</v>
          </cell>
          <cell r="P166">
            <v>53.2</v>
          </cell>
          <cell r="Q166">
            <v>53.8</v>
          </cell>
          <cell r="R166">
            <v>53.9</v>
          </cell>
          <cell r="S166">
            <v>54.2</v>
          </cell>
          <cell r="T166">
            <v>56.286000000000001</v>
          </cell>
          <cell r="U166">
            <v>58.274000000000001</v>
          </cell>
          <cell r="V166">
            <v>60.164000000000001</v>
          </cell>
          <cell r="W166">
            <v>61.957999999999998</v>
          </cell>
          <cell r="X166">
            <v>63.658000000000001</v>
          </cell>
          <cell r="Y166">
            <v>65.266000000000005</v>
          </cell>
          <cell r="Z166">
            <v>66.787999999999997</v>
          </cell>
          <cell r="AA166">
            <v>68.225999999999999</v>
          </cell>
          <cell r="AB166">
            <v>69.584000000000003</v>
          </cell>
          <cell r="AC166">
            <v>70.867000000000004</v>
          </cell>
          <cell r="AD166">
            <v>72.078999999999994</v>
          </cell>
          <cell r="AE166">
            <v>73.224999999999994</v>
          </cell>
          <cell r="AF166">
            <v>74.307000000000002</v>
          </cell>
          <cell r="AG166">
            <v>75.33</v>
          </cell>
          <cell r="AH166">
            <v>76.298000000000002</v>
          </cell>
          <cell r="AI166">
            <v>77.213999999999999</v>
          </cell>
        </row>
        <row r="167">
          <cell r="B167" t="str">
            <v>Russian Federation</v>
          </cell>
          <cell r="E167">
            <v>44.1</v>
          </cell>
          <cell r="F167">
            <v>49</v>
          </cell>
          <cell r="G167">
            <v>53.7</v>
          </cell>
          <cell r="H167">
            <v>58.2</v>
          </cell>
          <cell r="I167">
            <v>62.5</v>
          </cell>
          <cell r="J167">
            <v>66.400000000000006</v>
          </cell>
          <cell r="K167">
            <v>69.8</v>
          </cell>
          <cell r="L167">
            <v>71.900000000000006</v>
          </cell>
          <cell r="M167">
            <v>73.400000000000006</v>
          </cell>
          <cell r="N167">
            <v>73.400000000000006</v>
          </cell>
          <cell r="O167">
            <v>73.400000000000006</v>
          </cell>
          <cell r="P167">
            <v>73.5</v>
          </cell>
          <cell r="Q167">
            <v>73.7</v>
          </cell>
          <cell r="R167">
            <v>74.099999999999994</v>
          </cell>
          <cell r="S167">
            <v>74.8</v>
          </cell>
          <cell r="T167">
            <v>76.224000000000004</v>
          </cell>
          <cell r="U167">
            <v>77.575999999999993</v>
          </cell>
          <cell r="V167">
            <v>78.856999999999999</v>
          </cell>
          <cell r="W167">
            <v>80.070999999999998</v>
          </cell>
          <cell r="X167">
            <v>81.218999999999994</v>
          </cell>
          <cell r="Y167">
            <v>82.305000000000007</v>
          </cell>
          <cell r="Z167">
            <v>83.331999999999994</v>
          </cell>
          <cell r="AA167">
            <v>84.301000000000002</v>
          </cell>
          <cell r="AB167">
            <v>85.215999999999994</v>
          </cell>
          <cell r="AC167">
            <v>86.08</v>
          </cell>
          <cell r="AD167">
            <v>86.894000000000005</v>
          </cell>
          <cell r="AE167">
            <v>87.662000000000006</v>
          </cell>
          <cell r="AF167">
            <v>88.385999999999996</v>
          </cell>
          <cell r="AG167">
            <v>89.066999999999993</v>
          </cell>
          <cell r="AH167">
            <v>89.71</v>
          </cell>
          <cell r="AI167">
            <v>90.314999999999998</v>
          </cell>
        </row>
        <row r="168">
          <cell r="B168" t="str">
            <v>Rwanda</v>
          </cell>
          <cell r="E168">
            <v>2.1</v>
          </cell>
          <cell r="F168">
            <v>2.2999999999999998</v>
          </cell>
          <cell r="G168">
            <v>2.6</v>
          </cell>
          <cell r="H168">
            <v>2.9</v>
          </cell>
          <cell r="I168">
            <v>3.2</v>
          </cell>
          <cell r="J168">
            <v>4</v>
          </cell>
          <cell r="K168">
            <v>4.7</v>
          </cell>
          <cell r="L168">
            <v>5.0999999999999996</v>
          </cell>
          <cell r="M168">
            <v>5.4</v>
          </cell>
          <cell r="N168">
            <v>9.8000000000000007</v>
          </cell>
          <cell r="O168">
            <v>14.9</v>
          </cell>
          <cell r="P168">
            <v>16.899999999999999</v>
          </cell>
          <cell r="Q168">
            <v>16.899999999999999</v>
          </cell>
          <cell r="R168">
            <v>17</v>
          </cell>
          <cell r="S168">
            <v>17.399999999999999</v>
          </cell>
          <cell r="T168">
            <v>19.600999999999999</v>
          </cell>
          <cell r="U168">
            <v>21.952999999999999</v>
          </cell>
          <cell r="V168">
            <v>24.440999999999999</v>
          </cell>
          <cell r="W168">
            <v>27.044</v>
          </cell>
          <cell r="X168">
            <v>29.74</v>
          </cell>
          <cell r="Y168">
            <v>32.500999999999998</v>
          </cell>
          <cell r="Z168">
            <v>35.302999999999997</v>
          </cell>
          <cell r="AA168">
            <v>38.116999999999997</v>
          </cell>
          <cell r="AB168">
            <v>40.917999999999999</v>
          </cell>
          <cell r="AC168">
            <v>43.683</v>
          </cell>
          <cell r="AD168">
            <v>46.393000000000001</v>
          </cell>
          <cell r="AE168">
            <v>49.03</v>
          </cell>
          <cell r="AF168">
            <v>51.58</v>
          </cell>
          <cell r="AG168">
            <v>54.034999999999997</v>
          </cell>
          <cell r="AH168">
            <v>56.384999999999998</v>
          </cell>
          <cell r="AI168">
            <v>58.628</v>
          </cell>
        </row>
        <row r="169">
          <cell r="B169" t="str">
            <v>Saudi Arabia</v>
          </cell>
          <cell r="E169">
            <v>21.3</v>
          </cell>
          <cell r="F169">
            <v>26</v>
          </cell>
          <cell r="G169">
            <v>31.3</v>
          </cell>
          <cell r="H169">
            <v>38.799999999999997</v>
          </cell>
          <cell r="I169">
            <v>48.7</v>
          </cell>
          <cell r="J169">
            <v>58.3</v>
          </cell>
          <cell r="K169">
            <v>65.900000000000006</v>
          </cell>
          <cell r="L169">
            <v>72.599999999999994</v>
          </cell>
          <cell r="M169">
            <v>76.599999999999994</v>
          </cell>
          <cell r="N169">
            <v>78.7</v>
          </cell>
          <cell r="O169">
            <v>79.8</v>
          </cell>
          <cell r="P169">
            <v>81</v>
          </cell>
          <cell r="Q169">
            <v>82.1</v>
          </cell>
          <cell r="R169">
            <v>83.2</v>
          </cell>
          <cell r="S169">
            <v>84.3</v>
          </cell>
          <cell r="T169">
            <v>85.370999999999995</v>
          </cell>
          <cell r="U169">
            <v>86.364000000000004</v>
          </cell>
          <cell r="V169">
            <v>87.286000000000001</v>
          </cell>
          <cell r="W169">
            <v>88.141000000000005</v>
          </cell>
          <cell r="X169">
            <v>88.935000000000002</v>
          </cell>
          <cell r="Y169">
            <v>89.671999999999997</v>
          </cell>
          <cell r="Z169">
            <v>90.356999999999999</v>
          </cell>
          <cell r="AA169">
            <v>90.995000000000005</v>
          </cell>
          <cell r="AB169">
            <v>91.587000000000003</v>
          </cell>
          <cell r="AC169">
            <v>92.138000000000005</v>
          </cell>
          <cell r="AD169">
            <v>92.650999999999996</v>
          </cell>
          <cell r="AE169">
            <v>93.129000000000005</v>
          </cell>
          <cell r="AF169">
            <v>93.575000000000003</v>
          </cell>
          <cell r="AG169">
            <v>93.989000000000004</v>
          </cell>
          <cell r="AH169">
            <v>94.376000000000005</v>
          </cell>
          <cell r="AI169">
            <v>94.736999999999995</v>
          </cell>
        </row>
        <row r="170">
          <cell r="B170" t="str">
            <v>Sudan</v>
          </cell>
          <cell r="E170">
            <v>6.8</v>
          </cell>
          <cell r="F170">
            <v>8.6</v>
          </cell>
          <cell r="G170">
            <v>10.7</v>
          </cell>
          <cell r="H170">
            <v>13.4</v>
          </cell>
          <cell r="I170">
            <v>16.5</v>
          </cell>
          <cell r="J170">
            <v>18.899999999999999</v>
          </cell>
          <cell r="K170">
            <v>20</v>
          </cell>
          <cell r="L170">
            <v>22.9</v>
          </cell>
          <cell r="M170">
            <v>28.6</v>
          </cell>
          <cell r="N170">
            <v>32.200000000000003</v>
          </cell>
          <cell r="O170">
            <v>32.5</v>
          </cell>
          <cell r="P170">
            <v>32.799999999999997</v>
          </cell>
          <cell r="Q170">
            <v>33.1</v>
          </cell>
          <cell r="R170">
            <v>33.9</v>
          </cell>
          <cell r="S170">
            <v>35.299999999999997</v>
          </cell>
          <cell r="T170">
            <v>39.005000000000003</v>
          </cell>
          <cell r="U170">
            <v>42.543999999999997</v>
          </cell>
          <cell r="V170">
            <v>45.875</v>
          </cell>
          <cell r="W170">
            <v>48.970999999999997</v>
          </cell>
          <cell r="X170">
            <v>51.822000000000003</v>
          </cell>
          <cell r="Y170">
            <v>54.430999999999997</v>
          </cell>
          <cell r="Z170">
            <v>56.805999999999997</v>
          </cell>
          <cell r="AA170">
            <v>58.963000000000001</v>
          </cell>
          <cell r="AB170">
            <v>60.918999999999997</v>
          </cell>
          <cell r="AC170">
            <v>62.69</v>
          </cell>
          <cell r="AD170">
            <v>64.295000000000002</v>
          </cell>
          <cell r="AE170">
            <v>65.751000000000005</v>
          </cell>
          <cell r="AF170">
            <v>67.072999999999993</v>
          </cell>
          <cell r="AG170">
            <v>68.275000000000006</v>
          </cell>
          <cell r="AH170">
            <v>69.37</v>
          </cell>
          <cell r="AI170">
            <v>70.369</v>
          </cell>
        </row>
        <row r="171">
          <cell r="B171" t="str">
            <v>Senegal</v>
          </cell>
          <cell r="E171">
            <v>17.2</v>
          </cell>
          <cell r="F171">
            <v>20</v>
          </cell>
          <cell r="G171">
            <v>23</v>
          </cell>
          <cell r="H171">
            <v>26.4</v>
          </cell>
          <cell r="I171">
            <v>30</v>
          </cell>
          <cell r="J171">
            <v>33.700000000000003</v>
          </cell>
          <cell r="K171">
            <v>35.799999999999997</v>
          </cell>
          <cell r="L171">
            <v>37.5</v>
          </cell>
          <cell r="M171">
            <v>38.9</v>
          </cell>
          <cell r="N171">
            <v>39.6</v>
          </cell>
          <cell r="O171">
            <v>40.299999999999997</v>
          </cell>
          <cell r="P171">
            <v>41.7</v>
          </cell>
          <cell r="Q171">
            <v>43.8</v>
          </cell>
          <cell r="R171">
            <v>45.9</v>
          </cell>
          <cell r="S171">
            <v>48.1</v>
          </cell>
          <cell r="T171">
            <v>50.43</v>
          </cell>
          <cell r="U171">
            <v>52.674999999999997</v>
          </cell>
          <cell r="V171">
            <v>54.83</v>
          </cell>
          <cell r="W171">
            <v>56.89</v>
          </cell>
          <cell r="X171">
            <v>58.854999999999997</v>
          </cell>
          <cell r="Y171">
            <v>60.725000000000001</v>
          </cell>
          <cell r="Z171">
            <v>62.500999999999998</v>
          </cell>
          <cell r="AA171">
            <v>64.186000000000007</v>
          </cell>
          <cell r="AB171">
            <v>65.781999999999996</v>
          </cell>
          <cell r="AC171">
            <v>67.292000000000002</v>
          </cell>
          <cell r="AD171">
            <v>68.721000000000004</v>
          </cell>
          <cell r="AE171">
            <v>70.072000000000003</v>
          </cell>
          <cell r="AF171">
            <v>71.349000000000004</v>
          </cell>
          <cell r="AG171">
            <v>72.557000000000002</v>
          </cell>
          <cell r="AH171">
            <v>73.698999999999998</v>
          </cell>
          <cell r="AI171">
            <v>74.778999999999996</v>
          </cell>
        </row>
        <row r="172">
          <cell r="B172" t="str">
            <v>Saint Helena, Ascension and Tristan da Cunha</v>
          </cell>
          <cell r="E172">
            <v>51.4</v>
          </cell>
          <cell r="F172">
            <v>50.3</v>
          </cell>
          <cell r="G172">
            <v>49.2</v>
          </cell>
          <cell r="H172">
            <v>48.1</v>
          </cell>
          <cell r="I172">
            <v>46.4</v>
          </cell>
          <cell r="J172">
            <v>44.5</v>
          </cell>
          <cell r="K172">
            <v>43.8</v>
          </cell>
          <cell r="L172">
            <v>43.5</v>
          </cell>
          <cell r="M172">
            <v>42.6</v>
          </cell>
          <cell r="N172">
            <v>41.3</v>
          </cell>
          <cell r="O172">
            <v>40.4</v>
          </cell>
          <cell r="P172">
            <v>39.9</v>
          </cell>
          <cell r="Q172">
            <v>39.5</v>
          </cell>
          <cell r="R172">
            <v>39.5</v>
          </cell>
          <cell r="S172">
            <v>40.1</v>
          </cell>
          <cell r="T172">
            <v>43.119</v>
          </cell>
          <cell r="U172">
            <v>46.055</v>
          </cell>
          <cell r="V172">
            <v>48.887</v>
          </cell>
          <cell r="W172">
            <v>51.6</v>
          </cell>
          <cell r="X172">
            <v>54.182000000000002</v>
          </cell>
          <cell r="Y172">
            <v>56.628</v>
          </cell>
          <cell r="Z172">
            <v>58.936</v>
          </cell>
          <cell r="AA172">
            <v>61.106999999999999</v>
          </cell>
          <cell r="AB172">
            <v>63.143999999999998</v>
          </cell>
          <cell r="AC172">
            <v>65.052000000000007</v>
          </cell>
          <cell r="AD172">
            <v>66.837000000000003</v>
          </cell>
          <cell r="AE172">
            <v>68.506</v>
          </cell>
          <cell r="AF172">
            <v>70.066000000000003</v>
          </cell>
          <cell r="AG172">
            <v>71.522999999999996</v>
          </cell>
          <cell r="AH172">
            <v>72.885999999999996</v>
          </cell>
          <cell r="AI172">
            <v>74.16</v>
          </cell>
        </row>
        <row r="173">
          <cell r="B173" t="str">
            <v>Solomon Islands</v>
          </cell>
          <cell r="E173">
            <v>3.8</v>
          </cell>
          <cell r="F173">
            <v>4.7</v>
          </cell>
          <cell r="G173">
            <v>5.8</v>
          </cell>
          <cell r="H173">
            <v>7.2</v>
          </cell>
          <cell r="I173">
            <v>8.9</v>
          </cell>
          <cell r="J173">
            <v>9.1</v>
          </cell>
          <cell r="K173">
            <v>10.6</v>
          </cell>
          <cell r="L173">
            <v>12.4</v>
          </cell>
          <cell r="M173">
            <v>13.7</v>
          </cell>
          <cell r="N173">
            <v>14.7</v>
          </cell>
          <cell r="O173">
            <v>15.8</v>
          </cell>
          <cell r="P173">
            <v>17.8</v>
          </cell>
          <cell r="Q173">
            <v>20</v>
          </cell>
          <cell r="R173">
            <v>22.4</v>
          </cell>
          <cell r="S173">
            <v>24.7</v>
          </cell>
          <cell r="T173">
            <v>27.158999999999999</v>
          </cell>
          <cell r="U173">
            <v>29.702999999999999</v>
          </cell>
          <cell r="V173">
            <v>32.311</v>
          </cell>
          <cell r="W173">
            <v>34.96</v>
          </cell>
          <cell r="X173">
            <v>37.628</v>
          </cell>
          <cell r="Y173">
            <v>40.293999999999997</v>
          </cell>
          <cell r="Z173">
            <v>42.938000000000002</v>
          </cell>
          <cell r="AA173">
            <v>45.540999999999997</v>
          </cell>
          <cell r="AB173">
            <v>48.088999999999999</v>
          </cell>
          <cell r="AC173">
            <v>50.567999999999998</v>
          </cell>
          <cell r="AD173">
            <v>52.968000000000004</v>
          </cell>
          <cell r="AE173">
            <v>55.28</v>
          </cell>
          <cell r="AF173">
            <v>57.5</v>
          </cell>
          <cell r="AG173">
            <v>59.625</v>
          </cell>
          <cell r="AH173">
            <v>61.651000000000003</v>
          </cell>
          <cell r="AI173">
            <v>63.58</v>
          </cell>
        </row>
        <row r="174">
          <cell r="B174" t="str">
            <v>Sierra Leone</v>
          </cell>
          <cell r="E174">
            <v>12.6</v>
          </cell>
          <cell r="F174">
            <v>14.8</v>
          </cell>
          <cell r="G174">
            <v>17.399999999999999</v>
          </cell>
          <cell r="H174">
            <v>20.399999999999999</v>
          </cell>
          <cell r="I174">
            <v>24</v>
          </cell>
          <cell r="J174">
            <v>27.7</v>
          </cell>
          <cell r="K174">
            <v>29.8</v>
          </cell>
          <cell r="L174">
            <v>32</v>
          </cell>
          <cell r="M174">
            <v>33.299999999999997</v>
          </cell>
          <cell r="N174">
            <v>34.4</v>
          </cell>
          <cell r="O174">
            <v>35.6</v>
          </cell>
          <cell r="P174">
            <v>36.9</v>
          </cell>
          <cell r="Q174">
            <v>38.9</v>
          </cell>
          <cell r="R174">
            <v>40.799999999999997</v>
          </cell>
          <cell r="S174">
            <v>42.9</v>
          </cell>
          <cell r="T174">
            <v>45.710999999999999</v>
          </cell>
          <cell r="U174">
            <v>48.457999999999998</v>
          </cell>
          <cell r="V174">
            <v>51.124000000000002</v>
          </cell>
          <cell r="W174">
            <v>53.698</v>
          </cell>
          <cell r="X174">
            <v>56.167999999999999</v>
          </cell>
          <cell r="Y174">
            <v>58.53</v>
          </cell>
          <cell r="Z174">
            <v>60.779000000000003</v>
          </cell>
          <cell r="AA174">
            <v>62.914999999999999</v>
          </cell>
          <cell r="AB174">
            <v>64.938000000000002</v>
          </cell>
          <cell r="AC174">
            <v>66.849999999999994</v>
          </cell>
          <cell r="AD174">
            <v>68.653999999999996</v>
          </cell>
          <cell r="AE174">
            <v>70.352999999999994</v>
          </cell>
          <cell r="AF174">
            <v>71.953999999999994</v>
          </cell>
          <cell r="AG174">
            <v>73.459999999999994</v>
          </cell>
          <cell r="AH174">
            <v>74.876000000000005</v>
          </cell>
          <cell r="AI174">
            <v>76.206999999999994</v>
          </cell>
        </row>
        <row r="175">
          <cell r="B175" t="str">
            <v>El Salvador</v>
          </cell>
          <cell r="E175">
            <v>36.5</v>
          </cell>
          <cell r="F175">
            <v>37.4</v>
          </cell>
          <cell r="G175">
            <v>38.4</v>
          </cell>
          <cell r="H175">
            <v>38.9</v>
          </cell>
          <cell r="I175">
            <v>39.4</v>
          </cell>
          <cell r="J175">
            <v>41.6</v>
          </cell>
          <cell r="K175">
            <v>44.1</v>
          </cell>
          <cell r="L175">
            <v>46.7</v>
          </cell>
          <cell r="M175">
            <v>49.3</v>
          </cell>
          <cell r="N175">
            <v>54</v>
          </cell>
          <cell r="O175">
            <v>58.9</v>
          </cell>
          <cell r="P175">
            <v>61.6</v>
          </cell>
          <cell r="Q175">
            <v>65.5</v>
          </cell>
          <cell r="R175">
            <v>69.7</v>
          </cell>
          <cell r="S175">
            <v>73.400000000000006</v>
          </cell>
          <cell r="T175">
            <v>75.296000000000006</v>
          </cell>
          <cell r="U175">
            <v>77.024000000000001</v>
          </cell>
          <cell r="V175">
            <v>78.600999999999999</v>
          </cell>
          <cell r="W175">
            <v>80.043000000000006</v>
          </cell>
          <cell r="X175">
            <v>81.361999999999995</v>
          </cell>
          <cell r="Y175">
            <v>82.57</v>
          </cell>
          <cell r="Z175">
            <v>83.68</v>
          </cell>
          <cell r="AA175">
            <v>84.7</v>
          </cell>
          <cell r="AB175">
            <v>85.638999999999996</v>
          </cell>
          <cell r="AC175">
            <v>86.506</v>
          </cell>
          <cell r="AD175">
            <v>87.307000000000002</v>
          </cell>
          <cell r="AE175">
            <v>88.048000000000002</v>
          </cell>
          <cell r="AF175">
            <v>88.736000000000004</v>
          </cell>
          <cell r="AG175">
            <v>89.373000000000005</v>
          </cell>
          <cell r="AH175">
            <v>89.966999999999999</v>
          </cell>
          <cell r="AI175">
            <v>90.519000000000005</v>
          </cell>
        </row>
        <row r="176">
          <cell r="B176" t="str">
            <v>San Marino</v>
          </cell>
          <cell r="E176">
            <v>43.2</v>
          </cell>
          <cell r="F176">
            <v>46</v>
          </cell>
          <cell r="G176">
            <v>48.9</v>
          </cell>
          <cell r="H176">
            <v>54.4</v>
          </cell>
          <cell r="I176">
            <v>59.8</v>
          </cell>
          <cell r="J176">
            <v>71.5</v>
          </cell>
          <cell r="K176">
            <v>81.2</v>
          </cell>
          <cell r="L176">
            <v>88.3</v>
          </cell>
          <cell r="M176">
            <v>90.4</v>
          </cell>
          <cell r="N176">
            <v>91.7</v>
          </cell>
          <cell r="O176">
            <v>93.4</v>
          </cell>
          <cell r="P176">
            <v>94.5</v>
          </cell>
          <cell r="Q176">
            <v>95.7</v>
          </cell>
          <cell r="R176">
            <v>96.7</v>
          </cell>
          <cell r="S176">
            <v>97.5</v>
          </cell>
          <cell r="T176">
            <v>97.498999999999995</v>
          </cell>
          <cell r="U176">
            <v>97.498999999999995</v>
          </cell>
          <cell r="V176">
            <v>97.498000000000005</v>
          </cell>
          <cell r="W176">
            <v>97.497</v>
          </cell>
          <cell r="X176">
            <v>97.497</v>
          </cell>
          <cell r="Y176">
            <v>97.495999999999995</v>
          </cell>
          <cell r="Z176">
            <v>97.495999999999995</v>
          </cell>
          <cell r="AA176">
            <v>97.495000000000005</v>
          </cell>
          <cell r="AB176">
            <v>97.495000000000005</v>
          </cell>
          <cell r="AC176">
            <v>97.494</v>
          </cell>
          <cell r="AD176">
            <v>97.494</v>
          </cell>
          <cell r="AE176">
            <v>97.492999999999995</v>
          </cell>
          <cell r="AF176">
            <v>97.492999999999995</v>
          </cell>
          <cell r="AG176">
            <v>97.492000000000004</v>
          </cell>
          <cell r="AH176">
            <v>97.492000000000004</v>
          </cell>
          <cell r="AI176">
            <v>97.492000000000004</v>
          </cell>
        </row>
        <row r="177">
          <cell r="B177" t="str">
            <v>Somalia</v>
          </cell>
          <cell r="E177">
            <v>12.7</v>
          </cell>
          <cell r="F177">
            <v>14.9</v>
          </cell>
          <cell r="G177">
            <v>17.3</v>
          </cell>
          <cell r="H177">
            <v>20</v>
          </cell>
          <cell r="I177">
            <v>22.7</v>
          </cell>
          <cell r="J177">
            <v>25.5</v>
          </cell>
          <cell r="K177">
            <v>26.8</v>
          </cell>
          <cell r="L177">
            <v>28.1</v>
          </cell>
          <cell r="M177">
            <v>29.7</v>
          </cell>
          <cell r="N177">
            <v>31.4</v>
          </cell>
          <cell r="O177">
            <v>33.200000000000003</v>
          </cell>
          <cell r="P177">
            <v>36.299999999999997</v>
          </cell>
          <cell r="Q177">
            <v>39.299999999999997</v>
          </cell>
          <cell r="R177">
            <v>43.2</v>
          </cell>
          <cell r="S177">
            <v>46.1</v>
          </cell>
          <cell r="T177">
            <v>48.095999999999997</v>
          </cell>
          <cell r="U177">
            <v>50.088000000000001</v>
          </cell>
          <cell r="V177">
            <v>52.067999999999998</v>
          </cell>
          <cell r="W177">
            <v>54.030999999999999</v>
          </cell>
          <cell r="X177">
            <v>55.972000000000001</v>
          </cell>
          <cell r="Y177">
            <v>57.884</v>
          </cell>
          <cell r="Z177">
            <v>59.762999999999998</v>
          </cell>
          <cell r="AA177">
            <v>61.603999999999999</v>
          </cell>
          <cell r="AB177">
            <v>63.402999999999999</v>
          </cell>
          <cell r="AC177">
            <v>65.156000000000006</v>
          </cell>
          <cell r="AD177">
            <v>66.861000000000004</v>
          </cell>
          <cell r="AE177">
            <v>68.515000000000001</v>
          </cell>
          <cell r="AF177">
            <v>70.116</v>
          </cell>
          <cell r="AG177">
            <v>71.662000000000006</v>
          </cell>
          <cell r="AH177">
            <v>73.153000000000006</v>
          </cell>
          <cell r="AI177">
            <v>74.585999999999999</v>
          </cell>
        </row>
        <row r="178">
          <cell r="B178" t="str">
            <v>Saint Pierre and Miquelon</v>
          </cell>
          <cell r="E178">
            <v>80</v>
          </cell>
          <cell r="F178">
            <v>83.5</v>
          </cell>
          <cell r="G178">
            <v>86.4</v>
          </cell>
          <cell r="H178">
            <v>87.8</v>
          </cell>
          <cell r="I178">
            <v>88.4</v>
          </cell>
          <cell r="J178">
            <v>88.9</v>
          </cell>
          <cell r="K178">
            <v>89.5</v>
          </cell>
          <cell r="L178">
            <v>89.3</v>
          </cell>
          <cell r="M178">
            <v>88.9</v>
          </cell>
          <cell r="N178">
            <v>88.9</v>
          </cell>
          <cell r="O178">
            <v>89.1</v>
          </cell>
          <cell r="P178">
            <v>89.9</v>
          </cell>
          <cell r="Q178">
            <v>89.9</v>
          </cell>
          <cell r="R178">
            <v>89.9</v>
          </cell>
          <cell r="S178">
            <v>90</v>
          </cell>
          <cell r="T178">
            <v>90.876999999999995</v>
          </cell>
          <cell r="U178">
            <v>91.665999999999997</v>
          </cell>
          <cell r="V178">
            <v>92.376000000000005</v>
          </cell>
          <cell r="W178">
            <v>93.018000000000001</v>
          </cell>
          <cell r="X178">
            <v>93.599000000000004</v>
          </cell>
          <cell r="Y178">
            <v>94.125</v>
          </cell>
          <cell r="Z178">
            <v>94.602999999999994</v>
          </cell>
          <cell r="AA178">
            <v>95.037999999999997</v>
          </cell>
          <cell r="AB178">
            <v>95.435000000000002</v>
          </cell>
          <cell r="AC178">
            <v>95.796000000000006</v>
          </cell>
          <cell r="AD178">
            <v>96.126999999999995</v>
          </cell>
          <cell r="AE178">
            <v>96.429000000000002</v>
          </cell>
          <cell r="AF178">
            <v>96.706000000000003</v>
          </cell>
          <cell r="AG178">
            <v>96.959000000000003</v>
          </cell>
          <cell r="AH178">
            <v>97.191999999999993</v>
          </cell>
          <cell r="AI178">
            <v>97.406000000000006</v>
          </cell>
        </row>
        <row r="179">
          <cell r="B179" t="str">
            <v>Serbia</v>
          </cell>
          <cell r="E179">
            <v>20.3</v>
          </cell>
          <cell r="F179">
            <v>24.4</v>
          </cell>
          <cell r="G179">
            <v>29.1</v>
          </cell>
          <cell r="H179">
            <v>34.200000000000003</v>
          </cell>
          <cell r="I179">
            <v>39.700000000000003</v>
          </cell>
          <cell r="J179">
            <v>43.1</v>
          </cell>
          <cell r="K179">
            <v>46.1</v>
          </cell>
          <cell r="L179">
            <v>48.3</v>
          </cell>
          <cell r="M179">
            <v>50.4</v>
          </cell>
          <cell r="N179">
            <v>51.7</v>
          </cell>
          <cell r="O179">
            <v>52.8</v>
          </cell>
          <cell r="P179">
            <v>53.9</v>
          </cell>
          <cell r="Q179">
            <v>55</v>
          </cell>
          <cell r="R179">
            <v>55.7</v>
          </cell>
          <cell r="S179">
            <v>56.4</v>
          </cell>
          <cell r="T179">
            <v>58.901000000000003</v>
          </cell>
          <cell r="U179">
            <v>61.237000000000002</v>
          </cell>
          <cell r="V179">
            <v>63.414000000000001</v>
          </cell>
          <cell r="W179">
            <v>65.436999999999998</v>
          </cell>
          <cell r="X179">
            <v>67.316000000000003</v>
          </cell>
          <cell r="Y179">
            <v>69.06</v>
          </cell>
          <cell r="Z179">
            <v>70.679000000000002</v>
          </cell>
          <cell r="AA179">
            <v>72.180999999999997</v>
          </cell>
          <cell r="AB179">
            <v>73.575999999999993</v>
          </cell>
          <cell r="AC179">
            <v>74.873000000000005</v>
          </cell>
          <cell r="AD179">
            <v>76.078999999999994</v>
          </cell>
          <cell r="AE179">
            <v>77.200999999999993</v>
          </cell>
          <cell r="AF179">
            <v>78.248000000000005</v>
          </cell>
          <cell r="AG179">
            <v>79.224000000000004</v>
          </cell>
          <cell r="AH179">
            <v>80.137</v>
          </cell>
          <cell r="AI179">
            <v>80.991</v>
          </cell>
        </row>
        <row r="180">
          <cell r="B180" t="str">
            <v>South Sudan</v>
          </cell>
          <cell r="E180">
            <v>8.9</v>
          </cell>
          <cell r="F180">
            <v>8.8000000000000007</v>
          </cell>
          <cell r="G180">
            <v>8.6999999999999993</v>
          </cell>
          <cell r="H180">
            <v>8.6999999999999993</v>
          </cell>
          <cell r="I180">
            <v>8.6</v>
          </cell>
          <cell r="J180">
            <v>8.6</v>
          </cell>
          <cell r="K180">
            <v>8.5</v>
          </cell>
          <cell r="L180">
            <v>9.8000000000000007</v>
          </cell>
          <cell r="M180">
            <v>13.3</v>
          </cell>
          <cell r="N180">
            <v>15.9</v>
          </cell>
          <cell r="O180">
            <v>16.5</v>
          </cell>
          <cell r="P180">
            <v>17.2</v>
          </cell>
          <cell r="Q180">
            <v>17.899999999999999</v>
          </cell>
          <cell r="R180">
            <v>18.899999999999999</v>
          </cell>
          <cell r="S180">
            <v>20.2</v>
          </cell>
          <cell r="T180">
            <v>22.315999999999999</v>
          </cell>
          <cell r="U180">
            <v>24.556999999999999</v>
          </cell>
          <cell r="V180">
            <v>26.911999999999999</v>
          </cell>
          <cell r="W180">
            <v>29.369</v>
          </cell>
          <cell r="X180">
            <v>31.913</v>
          </cell>
          <cell r="Y180">
            <v>34.527000000000001</v>
          </cell>
          <cell r="Z180">
            <v>37.192</v>
          </cell>
          <cell r="AA180">
            <v>39.890999999999998</v>
          </cell>
          <cell r="AB180">
            <v>42.603999999999999</v>
          </cell>
          <cell r="AC180">
            <v>45.311999999999998</v>
          </cell>
          <cell r="AD180">
            <v>47.997999999999998</v>
          </cell>
          <cell r="AE180">
            <v>50.646999999999998</v>
          </cell>
          <cell r="AF180">
            <v>53.243000000000002</v>
          </cell>
          <cell r="AG180">
            <v>55.774999999999999</v>
          </cell>
          <cell r="AH180">
            <v>58.231000000000002</v>
          </cell>
          <cell r="AI180">
            <v>60.603999999999999</v>
          </cell>
        </row>
        <row r="181">
          <cell r="B181" t="str">
            <v>Sao Tome and Principe</v>
          </cell>
          <cell r="E181">
            <v>13.5</v>
          </cell>
          <cell r="F181">
            <v>14.7</v>
          </cell>
          <cell r="G181">
            <v>16.100000000000001</v>
          </cell>
          <cell r="H181">
            <v>21.8</v>
          </cell>
          <cell r="I181">
            <v>29.5</v>
          </cell>
          <cell r="J181">
            <v>31.6</v>
          </cell>
          <cell r="K181">
            <v>33.5</v>
          </cell>
          <cell r="L181">
            <v>38</v>
          </cell>
          <cell r="M181">
            <v>43.6</v>
          </cell>
          <cell r="N181">
            <v>48.6</v>
          </cell>
          <cell r="O181">
            <v>53.4</v>
          </cell>
          <cell r="P181">
            <v>59.2</v>
          </cell>
          <cell r="Q181">
            <v>65</v>
          </cell>
          <cell r="R181">
            <v>70.2</v>
          </cell>
          <cell r="S181">
            <v>74.400000000000006</v>
          </cell>
          <cell r="T181">
            <v>76.356999999999999</v>
          </cell>
          <cell r="U181">
            <v>78.096999999999994</v>
          </cell>
          <cell r="V181">
            <v>79.647000000000006</v>
          </cell>
          <cell r="W181">
            <v>81.034999999999997</v>
          </cell>
          <cell r="X181">
            <v>82.281000000000006</v>
          </cell>
          <cell r="Y181">
            <v>83.403999999999996</v>
          </cell>
          <cell r="Z181">
            <v>84.42</v>
          </cell>
          <cell r="AA181">
            <v>85.340999999999994</v>
          </cell>
          <cell r="AB181">
            <v>86.180999999999997</v>
          </cell>
          <cell r="AC181">
            <v>86.947000000000003</v>
          </cell>
          <cell r="AD181">
            <v>87.65</v>
          </cell>
          <cell r="AE181">
            <v>88.295000000000002</v>
          </cell>
          <cell r="AF181">
            <v>88.888999999999996</v>
          </cell>
          <cell r="AG181">
            <v>89.438000000000002</v>
          </cell>
          <cell r="AH181">
            <v>89.945999999999998</v>
          </cell>
          <cell r="AI181">
            <v>90.418000000000006</v>
          </cell>
        </row>
        <row r="182">
          <cell r="B182" t="str">
            <v>Suriname</v>
          </cell>
          <cell r="E182">
            <v>46.9</v>
          </cell>
          <cell r="F182">
            <v>47.1</v>
          </cell>
          <cell r="G182">
            <v>47.3</v>
          </cell>
          <cell r="H182">
            <v>47.1</v>
          </cell>
          <cell r="I182">
            <v>45.9</v>
          </cell>
          <cell r="J182">
            <v>53.7</v>
          </cell>
          <cell r="K182">
            <v>65</v>
          </cell>
          <cell r="L182">
            <v>65.3</v>
          </cell>
          <cell r="M182">
            <v>65.7</v>
          </cell>
          <cell r="N182">
            <v>66.099999999999994</v>
          </cell>
          <cell r="O182">
            <v>66.400000000000006</v>
          </cell>
          <cell r="P182">
            <v>66.7</v>
          </cell>
          <cell r="Q182">
            <v>66.3</v>
          </cell>
          <cell r="R182">
            <v>66.099999999999994</v>
          </cell>
          <cell r="S182">
            <v>66.099999999999994</v>
          </cell>
          <cell r="T182">
            <v>68.105000000000004</v>
          </cell>
          <cell r="U182">
            <v>69.989000000000004</v>
          </cell>
          <cell r="V182">
            <v>71.756</v>
          </cell>
          <cell r="W182">
            <v>73.412000000000006</v>
          </cell>
          <cell r="X182">
            <v>74.962999999999994</v>
          </cell>
          <cell r="Y182">
            <v>76.415000000000006</v>
          </cell>
          <cell r="Z182">
            <v>77.774000000000001</v>
          </cell>
          <cell r="AA182">
            <v>79.045000000000002</v>
          </cell>
          <cell r="AB182">
            <v>80.236000000000004</v>
          </cell>
          <cell r="AC182">
            <v>81.349999999999994</v>
          </cell>
          <cell r="AD182">
            <v>82.393000000000001</v>
          </cell>
          <cell r="AE182">
            <v>83.370999999999995</v>
          </cell>
          <cell r="AF182">
            <v>84.287000000000006</v>
          </cell>
          <cell r="AG182">
            <v>85.146000000000001</v>
          </cell>
          <cell r="AH182">
            <v>85.951999999999998</v>
          </cell>
          <cell r="AI182">
            <v>86.709000000000003</v>
          </cell>
        </row>
        <row r="183">
          <cell r="B183" t="str">
            <v>Slovakia</v>
          </cell>
          <cell r="E183">
            <v>30</v>
          </cell>
          <cell r="F183">
            <v>31.7</v>
          </cell>
          <cell r="G183">
            <v>33.5</v>
          </cell>
          <cell r="H183">
            <v>37</v>
          </cell>
          <cell r="I183">
            <v>41.1</v>
          </cell>
          <cell r="J183">
            <v>46.3</v>
          </cell>
          <cell r="K183">
            <v>51.6</v>
          </cell>
          <cell r="L183">
            <v>54.2</v>
          </cell>
          <cell r="M183">
            <v>56.5</v>
          </cell>
          <cell r="N183">
            <v>56.5</v>
          </cell>
          <cell r="O183">
            <v>56.2</v>
          </cell>
          <cell r="P183">
            <v>55.6</v>
          </cell>
          <cell r="Q183">
            <v>54.7</v>
          </cell>
          <cell r="R183">
            <v>53.9</v>
          </cell>
          <cell r="S183">
            <v>53.8</v>
          </cell>
          <cell r="T183">
            <v>56.051000000000002</v>
          </cell>
          <cell r="U183">
            <v>58.22</v>
          </cell>
          <cell r="V183">
            <v>60.305</v>
          </cell>
          <cell r="W183">
            <v>62.302</v>
          </cell>
          <cell r="X183">
            <v>64.209999999999994</v>
          </cell>
          <cell r="Y183">
            <v>66.031000000000006</v>
          </cell>
          <cell r="Z183">
            <v>67.763999999999996</v>
          </cell>
          <cell r="AA183">
            <v>69.411000000000001</v>
          </cell>
          <cell r="AB183">
            <v>70.974999999999994</v>
          </cell>
          <cell r="AC183">
            <v>72.459000000000003</v>
          </cell>
          <cell r="AD183">
            <v>73.864999999999995</v>
          </cell>
          <cell r="AE183">
            <v>75.195999999999998</v>
          </cell>
          <cell r="AF183">
            <v>76.456999999999994</v>
          </cell>
          <cell r="AG183">
            <v>77.650000000000006</v>
          </cell>
          <cell r="AH183">
            <v>78.778999999999996</v>
          </cell>
          <cell r="AI183">
            <v>79.846000000000004</v>
          </cell>
        </row>
        <row r="184">
          <cell r="B184" t="str">
            <v>Slovenia</v>
          </cell>
          <cell r="E184">
            <v>19.899999999999999</v>
          </cell>
          <cell r="F184">
            <v>23.8</v>
          </cell>
          <cell r="G184">
            <v>28.2</v>
          </cell>
          <cell r="H184">
            <v>32.5</v>
          </cell>
          <cell r="I184">
            <v>37</v>
          </cell>
          <cell r="J184">
            <v>42.4</v>
          </cell>
          <cell r="K184">
            <v>48</v>
          </cell>
          <cell r="L184">
            <v>49.6</v>
          </cell>
          <cell r="M184">
            <v>50.4</v>
          </cell>
          <cell r="N184">
            <v>50.6</v>
          </cell>
          <cell r="O184">
            <v>50.8</v>
          </cell>
          <cell r="P184">
            <v>51.5</v>
          </cell>
          <cell r="Q184">
            <v>52.7</v>
          </cell>
          <cell r="R184">
            <v>53.8</v>
          </cell>
          <cell r="S184">
            <v>55.1</v>
          </cell>
          <cell r="T184">
            <v>57.347999999999999</v>
          </cell>
          <cell r="U184">
            <v>59.511000000000003</v>
          </cell>
          <cell r="V184">
            <v>61.584000000000003</v>
          </cell>
          <cell r="W184">
            <v>63.566000000000003</v>
          </cell>
          <cell r="X184">
            <v>65.456999999999994</v>
          </cell>
          <cell r="Y184">
            <v>67.257999999999996</v>
          </cell>
          <cell r="Z184">
            <v>68.968999999999994</v>
          </cell>
          <cell r="AA184">
            <v>70.593000000000004</v>
          </cell>
          <cell r="AB184">
            <v>72.132999999999996</v>
          </cell>
          <cell r="AC184">
            <v>73.590999999999994</v>
          </cell>
          <cell r="AD184">
            <v>74.971999999999994</v>
          </cell>
          <cell r="AE184">
            <v>76.277000000000001</v>
          </cell>
          <cell r="AF184">
            <v>77.512</v>
          </cell>
          <cell r="AG184">
            <v>78.677999999999997</v>
          </cell>
          <cell r="AH184">
            <v>79.781000000000006</v>
          </cell>
          <cell r="AI184">
            <v>80.822999999999993</v>
          </cell>
        </row>
        <row r="185">
          <cell r="B185" t="str">
            <v>Sweden</v>
          </cell>
          <cell r="E185">
            <v>65.7</v>
          </cell>
          <cell r="F185">
            <v>69.3</v>
          </cell>
          <cell r="G185">
            <v>72.5</v>
          </cell>
          <cell r="H185">
            <v>77.099999999999994</v>
          </cell>
          <cell r="I185">
            <v>81</v>
          </cell>
          <cell r="J185">
            <v>82.7</v>
          </cell>
          <cell r="K185">
            <v>83.1</v>
          </cell>
          <cell r="L185">
            <v>83.1</v>
          </cell>
          <cell r="M185">
            <v>83.1</v>
          </cell>
          <cell r="N185">
            <v>83.8</v>
          </cell>
          <cell r="O185">
            <v>84</v>
          </cell>
          <cell r="P185">
            <v>84.3</v>
          </cell>
          <cell r="Q185">
            <v>85.1</v>
          </cell>
          <cell r="R185">
            <v>86.6</v>
          </cell>
          <cell r="S185">
            <v>88</v>
          </cell>
          <cell r="T185">
            <v>88.7</v>
          </cell>
          <cell r="U185">
            <v>89.39</v>
          </cell>
          <cell r="V185">
            <v>90.064999999999998</v>
          </cell>
          <cell r="W185">
            <v>90.722999999999999</v>
          </cell>
          <cell r="X185">
            <v>91.361999999999995</v>
          </cell>
          <cell r="Y185">
            <v>91.977999999999994</v>
          </cell>
          <cell r="Z185">
            <v>92.57</v>
          </cell>
          <cell r="AA185">
            <v>93.135000000000005</v>
          </cell>
          <cell r="AB185">
            <v>93.673000000000002</v>
          </cell>
          <cell r="AC185">
            <v>94.183000000000007</v>
          </cell>
          <cell r="AD185">
            <v>94.664000000000001</v>
          </cell>
          <cell r="AE185">
            <v>95.114999999999995</v>
          </cell>
          <cell r="AF185">
            <v>95.537999999999997</v>
          </cell>
          <cell r="AG185">
            <v>95.930999999999997</v>
          </cell>
          <cell r="AH185">
            <v>96.296999999999997</v>
          </cell>
          <cell r="AI185">
            <v>96.635000000000005</v>
          </cell>
        </row>
        <row r="186">
          <cell r="B186" t="str">
            <v>Eswatini</v>
          </cell>
          <cell r="E186">
            <v>2.2000000000000002</v>
          </cell>
          <cell r="F186">
            <v>2.5</v>
          </cell>
          <cell r="G186">
            <v>3.9</v>
          </cell>
          <cell r="H186">
            <v>6.5</v>
          </cell>
          <cell r="I186">
            <v>9.6999999999999993</v>
          </cell>
          <cell r="J186">
            <v>14</v>
          </cell>
          <cell r="K186">
            <v>16.5</v>
          </cell>
          <cell r="L186">
            <v>18.3</v>
          </cell>
          <cell r="M186">
            <v>20.2</v>
          </cell>
          <cell r="N186">
            <v>22.3</v>
          </cell>
          <cell r="O186">
            <v>22.7</v>
          </cell>
          <cell r="P186">
            <v>22</v>
          </cell>
          <cell r="Q186">
            <v>22.5</v>
          </cell>
          <cell r="R186">
            <v>23.3</v>
          </cell>
          <cell r="S186">
            <v>24.2</v>
          </cell>
          <cell r="T186">
            <v>26.492000000000001</v>
          </cell>
          <cell r="U186">
            <v>28.876000000000001</v>
          </cell>
          <cell r="V186">
            <v>31.334</v>
          </cell>
          <cell r="W186">
            <v>33.851999999999997</v>
          </cell>
          <cell r="X186">
            <v>36.411000000000001</v>
          </cell>
          <cell r="Y186">
            <v>38.993000000000002</v>
          </cell>
          <cell r="Z186">
            <v>41.58</v>
          </cell>
          <cell r="AA186">
            <v>44.155999999999999</v>
          </cell>
          <cell r="AB186">
            <v>46.704000000000001</v>
          </cell>
          <cell r="AC186">
            <v>49.212000000000003</v>
          </cell>
          <cell r="AD186">
            <v>51.664999999999999</v>
          </cell>
          <cell r="AE186">
            <v>54.054000000000002</v>
          </cell>
          <cell r="AF186">
            <v>56.371000000000002</v>
          </cell>
          <cell r="AG186">
            <v>58.607999999999997</v>
          </cell>
          <cell r="AH186">
            <v>60.761000000000003</v>
          </cell>
          <cell r="AI186">
            <v>62.826999999999998</v>
          </cell>
        </row>
        <row r="187">
          <cell r="B187" t="str">
            <v>Seychelles</v>
          </cell>
          <cell r="E187">
            <v>27.4</v>
          </cell>
          <cell r="F187">
            <v>27.5</v>
          </cell>
          <cell r="G187">
            <v>27.7</v>
          </cell>
          <cell r="H187">
            <v>33.1</v>
          </cell>
          <cell r="I187">
            <v>39.1</v>
          </cell>
          <cell r="J187">
            <v>46.3</v>
          </cell>
          <cell r="K187">
            <v>49.4</v>
          </cell>
          <cell r="L187">
            <v>49.3</v>
          </cell>
          <cell r="M187">
            <v>49.3</v>
          </cell>
          <cell r="N187">
            <v>49.6</v>
          </cell>
          <cell r="O187">
            <v>50.4</v>
          </cell>
          <cell r="P187">
            <v>51.7</v>
          </cell>
          <cell r="Q187">
            <v>53.3</v>
          </cell>
          <cell r="R187">
            <v>55.4</v>
          </cell>
          <cell r="S187">
            <v>57.5</v>
          </cell>
          <cell r="T187">
            <v>59.795999999999999</v>
          </cell>
          <cell r="U187">
            <v>61.954999999999998</v>
          </cell>
          <cell r="V187">
            <v>63.981999999999999</v>
          </cell>
          <cell r="W187">
            <v>65.88</v>
          </cell>
          <cell r="X187">
            <v>67.656999999999996</v>
          </cell>
          <cell r="Y187">
            <v>69.317999999999998</v>
          </cell>
          <cell r="Z187">
            <v>70.870999999999995</v>
          </cell>
          <cell r="AA187">
            <v>72.322999999999993</v>
          </cell>
          <cell r="AB187">
            <v>73.680000000000007</v>
          </cell>
          <cell r="AC187">
            <v>74.948999999999998</v>
          </cell>
          <cell r="AD187">
            <v>76.137</v>
          </cell>
          <cell r="AE187">
            <v>77.248999999999995</v>
          </cell>
          <cell r="AF187">
            <v>78.290999999999997</v>
          </cell>
          <cell r="AG187">
            <v>79.268000000000001</v>
          </cell>
          <cell r="AH187">
            <v>80.186000000000007</v>
          </cell>
          <cell r="AI187">
            <v>81.048000000000002</v>
          </cell>
        </row>
        <row r="188">
          <cell r="B188" t="str">
            <v>Syria</v>
          </cell>
          <cell r="E188">
            <v>32.700000000000003</v>
          </cell>
          <cell r="F188">
            <v>34.700000000000003</v>
          </cell>
          <cell r="G188">
            <v>36.799999999999997</v>
          </cell>
          <cell r="H188">
            <v>40</v>
          </cell>
          <cell r="I188">
            <v>43.3</v>
          </cell>
          <cell r="J188">
            <v>45.1</v>
          </cell>
          <cell r="K188">
            <v>46.7</v>
          </cell>
          <cell r="L188">
            <v>47.9</v>
          </cell>
          <cell r="M188">
            <v>48.9</v>
          </cell>
          <cell r="N188">
            <v>50.1</v>
          </cell>
          <cell r="O188">
            <v>51.9</v>
          </cell>
          <cell r="P188">
            <v>53.8</v>
          </cell>
          <cell r="Q188">
            <v>55.6</v>
          </cell>
          <cell r="R188">
            <v>52.2</v>
          </cell>
          <cell r="S188">
            <v>55.5</v>
          </cell>
          <cell r="T188">
            <v>57.83</v>
          </cell>
          <cell r="U188">
            <v>60.029000000000003</v>
          </cell>
          <cell r="V188">
            <v>62.1</v>
          </cell>
          <cell r="W188">
            <v>64.045000000000002</v>
          </cell>
          <cell r="X188">
            <v>65.870999999999995</v>
          </cell>
          <cell r="Y188">
            <v>67.581999999999994</v>
          </cell>
          <cell r="Z188">
            <v>69.183999999999997</v>
          </cell>
          <cell r="AA188">
            <v>70.683999999999997</v>
          </cell>
          <cell r="AB188">
            <v>72.088999999999999</v>
          </cell>
          <cell r="AC188">
            <v>73.405000000000001</v>
          </cell>
          <cell r="AD188">
            <v>74.638000000000005</v>
          </cell>
          <cell r="AE188">
            <v>75.793000000000006</v>
          </cell>
          <cell r="AF188">
            <v>76.876999999999995</v>
          </cell>
          <cell r="AG188">
            <v>77.894000000000005</v>
          </cell>
          <cell r="AH188">
            <v>78.849999999999994</v>
          </cell>
          <cell r="AI188">
            <v>79.748999999999995</v>
          </cell>
        </row>
        <row r="189">
          <cell r="B189" t="str">
            <v>Turks and Caicos Islands</v>
          </cell>
          <cell r="E189">
            <v>47.2</v>
          </cell>
          <cell r="F189">
            <v>47.4</v>
          </cell>
          <cell r="G189">
            <v>47.7</v>
          </cell>
          <cell r="H189">
            <v>49.4</v>
          </cell>
          <cell r="I189">
            <v>51.1</v>
          </cell>
          <cell r="J189">
            <v>53.1</v>
          </cell>
          <cell r="K189">
            <v>55.3</v>
          </cell>
          <cell r="L189">
            <v>65.400000000000006</v>
          </cell>
          <cell r="M189">
            <v>74.3</v>
          </cell>
          <cell r="N189">
            <v>79.900000000000006</v>
          </cell>
          <cell r="O189">
            <v>84.6</v>
          </cell>
          <cell r="P189">
            <v>87.7</v>
          </cell>
          <cell r="Q189">
            <v>90.2</v>
          </cell>
          <cell r="R189">
            <v>92.2</v>
          </cell>
          <cell r="S189">
            <v>93.6</v>
          </cell>
          <cell r="T189">
            <v>94.006</v>
          </cell>
          <cell r="U189">
            <v>94.346999999999994</v>
          </cell>
          <cell r="V189">
            <v>94.635999999999996</v>
          </cell>
          <cell r="W189">
            <v>94.884</v>
          </cell>
          <cell r="X189">
            <v>95.099000000000004</v>
          </cell>
          <cell r="Y189">
            <v>95.287000000000006</v>
          </cell>
          <cell r="Z189">
            <v>95.453000000000003</v>
          </cell>
          <cell r="AA189">
            <v>95.6</v>
          </cell>
          <cell r="AB189">
            <v>95.73</v>
          </cell>
          <cell r="AC189">
            <v>95.846999999999994</v>
          </cell>
          <cell r="AD189">
            <v>95.953000000000003</v>
          </cell>
          <cell r="AE189">
            <v>96.048000000000002</v>
          </cell>
          <cell r="AF189">
            <v>96.134</v>
          </cell>
          <cell r="AG189">
            <v>96.212000000000003</v>
          </cell>
          <cell r="AH189">
            <v>96.283000000000001</v>
          </cell>
          <cell r="AI189">
            <v>96.349000000000004</v>
          </cell>
        </row>
        <row r="190">
          <cell r="B190" t="str">
            <v>Chad</v>
          </cell>
          <cell r="E190">
            <v>4.5</v>
          </cell>
          <cell r="F190">
            <v>5.5</v>
          </cell>
          <cell r="G190">
            <v>6.7</v>
          </cell>
          <cell r="H190">
            <v>8.4</v>
          </cell>
          <cell r="I190">
            <v>11.6</v>
          </cell>
          <cell r="J190">
            <v>15.6</v>
          </cell>
          <cell r="K190">
            <v>18.8</v>
          </cell>
          <cell r="L190">
            <v>19.8</v>
          </cell>
          <cell r="M190">
            <v>20.8</v>
          </cell>
          <cell r="N190">
            <v>21.5</v>
          </cell>
          <cell r="O190">
            <v>21.6</v>
          </cell>
          <cell r="P190">
            <v>21.8</v>
          </cell>
          <cell r="Q190">
            <v>22</v>
          </cell>
          <cell r="R190">
            <v>22.5</v>
          </cell>
          <cell r="S190">
            <v>23.5</v>
          </cell>
          <cell r="T190">
            <v>25.718</v>
          </cell>
          <cell r="U190">
            <v>28.013000000000002</v>
          </cell>
          <cell r="V190">
            <v>30.37</v>
          </cell>
          <cell r="W190">
            <v>32.771000000000001</v>
          </cell>
          <cell r="X190">
            <v>35.198999999999998</v>
          </cell>
          <cell r="Y190">
            <v>37.637</v>
          </cell>
          <cell r="Z190">
            <v>40.067</v>
          </cell>
          <cell r="AA190">
            <v>42.473999999999997</v>
          </cell>
          <cell r="AB190">
            <v>44.844999999999999</v>
          </cell>
          <cell r="AC190">
            <v>47.167000000000002</v>
          </cell>
          <cell r="AD190">
            <v>49.430999999999997</v>
          </cell>
          <cell r="AE190">
            <v>51.628</v>
          </cell>
          <cell r="AF190">
            <v>53.750999999999998</v>
          </cell>
          <cell r="AG190">
            <v>55.798000000000002</v>
          </cell>
          <cell r="AH190">
            <v>57.764000000000003</v>
          </cell>
          <cell r="AI190">
            <v>59.646999999999998</v>
          </cell>
        </row>
        <row r="191">
          <cell r="B191" t="str">
            <v>Togo</v>
          </cell>
          <cell r="E191">
            <v>4.4000000000000004</v>
          </cell>
          <cell r="F191">
            <v>6.7</v>
          </cell>
          <cell r="G191">
            <v>10.1</v>
          </cell>
          <cell r="H191">
            <v>15</v>
          </cell>
          <cell r="I191">
            <v>21.3</v>
          </cell>
          <cell r="J191">
            <v>22.9</v>
          </cell>
          <cell r="K191">
            <v>24.7</v>
          </cell>
          <cell r="L191">
            <v>26.6</v>
          </cell>
          <cell r="M191">
            <v>28.6</v>
          </cell>
          <cell r="N191">
            <v>30.7</v>
          </cell>
          <cell r="O191">
            <v>32.9</v>
          </cell>
          <cell r="P191">
            <v>35.200000000000003</v>
          </cell>
          <cell r="Q191">
            <v>37.5</v>
          </cell>
          <cell r="R191">
            <v>40.1</v>
          </cell>
          <cell r="S191">
            <v>42.8</v>
          </cell>
          <cell r="T191">
            <v>45.673000000000002</v>
          </cell>
          <cell r="U191">
            <v>48.476999999999997</v>
          </cell>
          <cell r="V191">
            <v>51.194000000000003</v>
          </cell>
          <cell r="W191">
            <v>53.81</v>
          </cell>
          <cell r="X191">
            <v>56.317</v>
          </cell>
          <cell r="Y191">
            <v>58.709000000000003</v>
          </cell>
          <cell r="Z191">
            <v>60.981000000000002</v>
          </cell>
          <cell r="AA191">
            <v>63.134</v>
          </cell>
          <cell r="AB191">
            <v>65.168999999999997</v>
          </cell>
          <cell r="AC191">
            <v>67.087999999999994</v>
          </cell>
          <cell r="AD191">
            <v>68.894999999999996</v>
          </cell>
          <cell r="AE191">
            <v>70.594999999999999</v>
          </cell>
          <cell r="AF191">
            <v>72.191999999999993</v>
          </cell>
          <cell r="AG191">
            <v>73.691999999999993</v>
          </cell>
          <cell r="AH191">
            <v>75.099999999999994</v>
          </cell>
          <cell r="AI191">
            <v>76.421999999999997</v>
          </cell>
        </row>
        <row r="192">
          <cell r="B192" t="str">
            <v>Thailand</v>
          </cell>
          <cell r="E192">
            <v>16.5</v>
          </cell>
          <cell r="F192">
            <v>18</v>
          </cell>
          <cell r="G192">
            <v>19.7</v>
          </cell>
          <cell r="H192">
            <v>20.2</v>
          </cell>
          <cell r="I192">
            <v>20.9</v>
          </cell>
          <cell r="J192">
            <v>23.8</v>
          </cell>
          <cell r="K192">
            <v>26.8</v>
          </cell>
          <cell r="L192">
            <v>28.1</v>
          </cell>
          <cell r="M192">
            <v>29.4</v>
          </cell>
          <cell r="N192">
            <v>30.3</v>
          </cell>
          <cell r="O192">
            <v>31.4</v>
          </cell>
          <cell r="P192">
            <v>37.4</v>
          </cell>
          <cell r="Q192">
            <v>43.9</v>
          </cell>
          <cell r="R192">
            <v>47.7</v>
          </cell>
          <cell r="S192">
            <v>51.4</v>
          </cell>
          <cell r="T192">
            <v>53.137</v>
          </cell>
          <cell r="U192">
            <v>54.853000000000002</v>
          </cell>
          <cell r="V192">
            <v>56.545000000000002</v>
          </cell>
          <cell r="W192">
            <v>58.207999999999998</v>
          </cell>
          <cell r="X192">
            <v>59.838999999999999</v>
          </cell>
          <cell r="Y192">
            <v>61.436999999999998</v>
          </cell>
          <cell r="Z192">
            <v>62.999000000000002</v>
          </cell>
          <cell r="AA192">
            <v>64.522999999999996</v>
          </cell>
          <cell r="AB192">
            <v>66.007000000000005</v>
          </cell>
          <cell r="AC192">
            <v>67.45</v>
          </cell>
          <cell r="AD192">
            <v>68.849999999999994</v>
          </cell>
          <cell r="AE192">
            <v>70.207999999999998</v>
          </cell>
          <cell r="AF192">
            <v>71.522000000000006</v>
          </cell>
          <cell r="AG192">
            <v>72.792000000000002</v>
          </cell>
          <cell r="AH192">
            <v>74.019000000000005</v>
          </cell>
          <cell r="AI192">
            <v>75.200999999999993</v>
          </cell>
        </row>
        <row r="193">
          <cell r="B193" t="str">
            <v>Tajikistan</v>
          </cell>
          <cell r="E193">
            <v>29.4</v>
          </cell>
          <cell r="F193">
            <v>31.2</v>
          </cell>
          <cell r="G193">
            <v>33.200000000000003</v>
          </cell>
          <cell r="H193">
            <v>35.200000000000003</v>
          </cell>
          <cell r="I193">
            <v>36.9</v>
          </cell>
          <cell r="J193">
            <v>35.5</v>
          </cell>
          <cell r="K193">
            <v>34.299999999999997</v>
          </cell>
          <cell r="L193">
            <v>33.200000000000003</v>
          </cell>
          <cell r="M193">
            <v>31.7</v>
          </cell>
          <cell r="N193">
            <v>28.9</v>
          </cell>
          <cell r="O193">
            <v>26.5</v>
          </cell>
          <cell r="P193">
            <v>26.5</v>
          </cell>
          <cell r="Q193">
            <v>26.5</v>
          </cell>
          <cell r="R193">
            <v>26.7</v>
          </cell>
          <cell r="S193">
            <v>27.5</v>
          </cell>
          <cell r="T193">
            <v>30.478000000000002</v>
          </cell>
          <cell r="U193">
            <v>33.505000000000003</v>
          </cell>
          <cell r="V193">
            <v>36.540999999999997</v>
          </cell>
          <cell r="W193">
            <v>39.551000000000002</v>
          </cell>
          <cell r="X193">
            <v>42.503999999999998</v>
          </cell>
          <cell r="Y193">
            <v>45.372999999999998</v>
          </cell>
          <cell r="Z193">
            <v>48.139000000000003</v>
          </cell>
          <cell r="AA193">
            <v>50.786000000000001</v>
          </cell>
          <cell r="AB193">
            <v>53.304000000000002</v>
          </cell>
          <cell r="AC193">
            <v>55.689</v>
          </cell>
          <cell r="AD193">
            <v>57.938000000000002</v>
          </cell>
          <cell r="AE193">
            <v>60.054000000000002</v>
          </cell>
          <cell r="AF193">
            <v>62.037999999999997</v>
          </cell>
          <cell r="AG193">
            <v>63.896999999999998</v>
          </cell>
          <cell r="AH193">
            <v>65.637</v>
          </cell>
          <cell r="AI193">
            <v>67.263000000000005</v>
          </cell>
        </row>
        <row r="194">
          <cell r="B194" t="str">
            <v>Turkmenistan</v>
          </cell>
          <cell r="E194">
            <v>45</v>
          </cell>
          <cell r="F194">
            <v>45.7</v>
          </cell>
          <cell r="G194">
            <v>46.4</v>
          </cell>
          <cell r="H194">
            <v>47.1</v>
          </cell>
          <cell r="I194">
            <v>47.8</v>
          </cell>
          <cell r="J194">
            <v>47.6</v>
          </cell>
          <cell r="K194">
            <v>47.1</v>
          </cell>
          <cell r="L194">
            <v>46</v>
          </cell>
          <cell r="M194">
            <v>45.1</v>
          </cell>
          <cell r="N194">
            <v>44.8</v>
          </cell>
          <cell r="O194">
            <v>45.9</v>
          </cell>
          <cell r="P194">
            <v>47.1</v>
          </cell>
          <cell r="Q194">
            <v>48.5</v>
          </cell>
          <cell r="R194">
            <v>50.3</v>
          </cell>
          <cell r="S194">
            <v>52.5</v>
          </cell>
          <cell r="T194">
            <v>54.831000000000003</v>
          </cell>
          <cell r="U194">
            <v>57.07</v>
          </cell>
          <cell r="V194">
            <v>59.213000000000001</v>
          </cell>
          <cell r="W194">
            <v>61.259</v>
          </cell>
          <cell r="X194">
            <v>63.207999999999998</v>
          </cell>
          <cell r="Y194">
            <v>65.058999999999997</v>
          </cell>
          <cell r="Z194">
            <v>66.814999999999998</v>
          </cell>
          <cell r="AA194">
            <v>68.478999999999999</v>
          </cell>
          <cell r="AB194">
            <v>70.052999999999997</v>
          </cell>
          <cell r="AC194">
            <v>71.542000000000002</v>
          </cell>
          <cell r="AD194">
            <v>72.948999999999998</v>
          </cell>
          <cell r="AE194">
            <v>74.278000000000006</v>
          </cell>
          <cell r="AF194">
            <v>75.534000000000006</v>
          </cell>
          <cell r="AG194">
            <v>76.718999999999994</v>
          </cell>
          <cell r="AH194">
            <v>77.838999999999999</v>
          </cell>
          <cell r="AI194">
            <v>78.896000000000001</v>
          </cell>
        </row>
        <row r="195">
          <cell r="B195" t="str">
            <v>Timor-Leste</v>
          </cell>
          <cell r="E195">
            <v>9.9</v>
          </cell>
          <cell r="F195">
            <v>10</v>
          </cell>
          <cell r="G195">
            <v>10.1</v>
          </cell>
          <cell r="H195">
            <v>11.4</v>
          </cell>
          <cell r="I195">
            <v>12.9</v>
          </cell>
          <cell r="J195">
            <v>14.6</v>
          </cell>
          <cell r="K195">
            <v>16.5</v>
          </cell>
          <cell r="L195">
            <v>18.600000000000001</v>
          </cell>
          <cell r="M195">
            <v>20.8</v>
          </cell>
          <cell r="N195">
            <v>22.5</v>
          </cell>
          <cell r="O195">
            <v>24.3</v>
          </cell>
          <cell r="P195">
            <v>26</v>
          </cell>
          <cell r="Q195">
            <v>27.7</v>
          </cell>
          <cell r="R195">
            <v>29.5</v>
          </cell>
          <cell r="S195">
            <v>31.3</v>
          </cell>
          <cell r="T195">
            <v>34.194000000000003</v>
          </cell>
          <cell r="U195">
            <v>37.097000000000001</v>
          </cell>
          <cell r="V195">
            <v>39.978999999999999</v>
          </cell>
          <cell r="W195">
            <v>42.813000000000002</v>
          </cell>
          <cell r="X195">
            <v>45.576000000000001</v>
          </cell>
          <cell r="Y195">
            <v>48.25</v>
          </cell>
          <cell r="Z195">
            <v>50.822000000000003</v>
          </cell>
          <cell r="AA195">
            <v>53.281999999999996</v>
          </cell>
          <cell r="AB195">
            <v>55.624000000000002</v>
          </cell>
          <cell r="AC195">
            <v>57.844000000000001</v>
          </cell>
          <cell r="AD195">
            <v>59.944000000000003</v>
          </cell>
          <cell r="AE195">
            <v>61.923999999999999</v>
          </cell>
          <cell r="AF195">
            <v>63.787999999999997</v>
          </cell>
          <cell r="AG195">
            <v>65.540999999999997</v>
          </cell>
          <cell r="AH195">
            <v>67.188000000000002</v>
          </cell>
          <cell r="AI195">
            <v>68.733000000000004</v>
          </cell>
        </row>
        <row r="196">
          <cell r="B196" t="str">
            <v>Tonga</v>
          </cell>
          <cell r="E196">
            <v>12.9</v>
          </cell>
          <cell r="F196">
            <v>15.5</v>
          </cell>
          <cell r="G196">
            <v>17.600000000000001</v>
          </cell>
          <cell r="H196">
            <v>19.5</v>
          </cell>
          <cell r="I196">
            <v>20.2</v>
          </cell>
          <cell r="J196">
            <v>20.3</v>
          </cell>
          <cell r="K196">
            <v>21.2</v>
          </cell>
          <cell r="L196">
            <v>22.3</v>
          </cell>
          <cell r="M196">
            <v>22.7</v>
          </cell>
          <cell r="N196">
            <v>22.9</v>
          </cell>
          <cell r="O196">
            <v>23</v>
          </cell>
          <cell r="P196">
            <v>23.2</v>
          </cell>
          <cell r="Q196">
            <v>23.4</v>
          </cell>
          <cell r="R196">
            <v>23.3</v>
          </cell>
          <cell r="S196">
            <v>23.1</v>
          </cell>
          <cell r="T196">
            <v>25.385999999999999</v>
          </cell>
          <cell r="U196">
            <v>27.773</v>
          </cell>
          <cell r="V196">
            <v>30.247</v>
          </cell>
          <cell r="W196">
            <v>32.79</v>
          </cell>
          <cell r="X196">
            <v>35.384999999999998</v>
          </cell>
          <cell r="Y196">
            <v>38.011000000000003</v>
          </cell>
          <cell r="Z196">
            <v>40.65</v>
          </cell>
          <cell r="AA196">
            <v>43.284999999999997</v>
          </cell>
          <cell r="AB196">
            <v>45.896000000000001</v>
          </cell>
          <cell r="AC196">
            <v>48.47</v>
          </cell>
          <cell r="AD196">
            <v>50.991999999999997</v>
          </cell>
          <cell r="AE196">
            <v>53.451000000000001</v>
          </cell>
          <cell r="AF196">
            <v>55.835999999999999</v>
          </cell>
          <cell r="AG196">
            <v>58.140999999999998</v>
          </cell>
          <cell r="AH196">
            <v>60.359000000000002</v>
          </cell>
          <cell r="AI196">
            <v>62.487000000000002</v>
          </cell>
        </row>
        <row r="197">
          <cell r="B197" t="str">
            <v>Trinidad and Tobago</v>
          </cell>
          <cell r="E197">
            <v>26.3</v>
          </cell>
          <cell r="F197">
            <v>30.1</v>
          </cell>
          <cell r="G197">
            <v>34.200000000000003</v>
          </cell>
          <cell r="H197">
            <v>38.5</v>
          </cell>
          <cell r="I197">
            <v>43</v>
          </cell>
          <cell r="J197">
            <v>47.7</v>
          </cell>
          <cell r="K197">
            <v>52.3</v>
          </cell>
          <cell r="L197">
            <v>53.2</v>
          </cell>
          <cell r="M197">
            <v>54.1</v>
          </cell>
          <cell r="N197">
            <v>55</v>
          </cell>
          <cell r="O197">
            <v>55.9</v>
          </cell>
          <cell r="P197">
            <v>55</v>
          </cell>
          <cell r="Q197">
            <v>54</v>
          </cell>
          <cell r="R197">
            <v>53.3</v>
          </cell>
          <cell r="S197">
            <v>53.2</v>
          </cell>
          <cell r="T197">
            <v>55.116999999999997</v>
          </cell>
          <cell r="U197">
            <v>56.984000000000002</v>
          </cell>
          <cell r="V197">
            <v>58.796999999999997</v>
          </cell>
          <cell r="W197">
            <v>60.555</v>
          </cell>
          <cell r="X197">
            <v>62.253999999999998</v>
          </cell>
          <cell r="Y197">
            <v>63.895000000000003</v>
          </cell>
          <cell r="Z197">
            <v>65.475999999999999</v>
          </cell>
          <cell r="AA197">
            <v>66.997</v>
          </cell>
          <cell r="AB197">
            <v>68.459000000000003</v>
          </cell>
          <cell r="AC197">
            <v>69.861999999999995</v>
          </cell>
          <cell r="AD197">
            <v>71.206999999999994</v>
          </cell>
          <cell r="AE197">
            <v>72.495999999999995</v>
          </cell>
          <cell r="AF197">
            <v>73.73</v>
          </cell>
          <cell r="AG197">
            <v>74.91</v>
          </cell>
          <cell r="AH197">
            <v>76.037999999999997</v>
          </cell>
          <cell r="AI197">
            <v>77.116</v>
          </cell>
        </row>
        <row r="198">
          <cell r="B198" t="str">
            <v>Tunisia</v>
          </cell>
          <cell r="E198">
            <v>32.299999999999997</v>
          </cell>
          <cell r="F198">
            <v>35.200000000000003</v>
          </cell>
          <cell r="G198">
            <v>37.5</v>
          </cell>
          <cell r="H198">
            <v>39.700000000000003</v>
          </cell>
          <cell r="I198">
            <v>43.5</v>
          </cell>
          <cell r="J198">
            <v>47.6</v>
          </cell>
          <cell r="K198">
            <v>50.6</v>
          </cell>
          <cell r="L198">
            <v>53.8</v>
          </cell>
          <cell r="M198">
            <v>57.9</v>
          </cell>
          <cell r="N198">
            <v>61.5</v>
          </cell>
          <cell r="O198">
            <v>63.4</v>
          </cell>
          <cell r="P198">
            <v>65.2</v>
          </cell>
          <cell r="Q198">
            <v>66.7</v>
          </cell>
          <cell r="R198">
            <v>68.099999999999994</v>
          </cell>
          <cell r="S198">
            <v>69.599999999999994</v>
          </cell>
          <cell r="T198">
            <v>70.884</v>
          </cell>
          <cell r="U198">
            <v>72.158000000000001</v>
          </cell>
          <cell r="V198">
            <v>73.421000000000006</v>
          </cell>
          <cell r="W198">
            <v>74.668000000000006</v>
          </cell>
          <cell r="X198">
            <v>75.896000000000001</v>
          </cell>
          <cell r="Y198">
            <v>77.102999999999994</v>
          </cell>
          <cell r="Z198">
            <v>78.284999999999997</v>
          </cell>
          <cell r="AA198">
            <v>79.44</v>
          </cell>
          <cell r="AB198">
            <v>80.564999999999998</v>
          </cell>
          <cell r="AC198">
            <v>81.659000000000006</v>
          </cell>
          <cell r="AD198">
            <v>82.718000000000004</v>
          </cell>
          <cell r="AE198">
            <v>83.741</v>
          </cell>
          <cell r="AF198">
            <v>84.727000000000004</v>
          </cell>
          <cell r="AG198">
            <v>85.674000000000007</v>
          </cell>
          <cell r="AH198">
            <v>86.581999999999994</v>
          </cell>
          <cell r="AI198">
            <v>87.448999999999998</v>
          </cell>
        </row>
        <row r="199">
          <cell r="B199" t="str">
            <v>Turkey</v>
          </cell>
          <cell r="E199">
            <v>24.8</v>
          </cell>
          <cell r="F199">
            <v>28.6</v>
          </cell>
          <cell r="G199">
            <v>31.5</v>
          </cell>
          <cell r="H199">
            <v>34.200000000000003</v>
          </cell>
          <cell r="I199">
            <v>38.200000000000003</v>
          </cell>
          <cell r="J199">
            <v>41.6</v>
          </cell>
          <cell r="K199">
            <v>43.8</v>
          </cell>
          <cell r="L199">
            <v>52.4</v>
          </cell>
          <cell r="M199">
            <v>59.2</v>
          </cell>
          <cell r="N199">
            <v>62.1</v>
          </cell>
          <cell r="O199">
            <v>64.7</v>
          </cell>
          <cell r="P199">
            <v>67.8</v>
          </cell>
          <cell r="Q199">
            <v>70.8</v>
          </cell>
          <cell r="R199">
            <v>73.599999999999994</v>
          </cell>
          <cell r="S199">
            <v>76.099999999999994</v>
          </cell>
          <cell r="T199">
            <v>77.468999999999994</v>
          </cell>
          <cell r="U199">
            <v>78.766999999999996</v>
          </cell>
          <cell r="V199">
            <v>79.997</v>
          </cell>
          <cell r="W199">
            <v>81.161000000000001</v>
          </cell>
          <cell r="X199">
            <v>82.260999999999996</v>
          </cell>
          <cell r="Y199">
            <v>83.302000000000007</v>
          </cell>
          <cell r="Z199">
            <v>84.284000000000006</v>
          </cell>
          <cell r="AA199">
            <v>85.210999999999999</v>
          </cell>
          <cell r="AB199">
            <v>86.084999999999994</v>
          </cell>
          <cell r="AC199">
            <v>86.91</v>
          </cell>
          <cell r="AD199">
            <v>87.686999999999998</v>
          </cell>
          <cell r="AE199">
            <v>88.418999999999997</v>
          </cell>
          <cell r="AF199">
            <v>89.108999999999995</v>
          </cell>
          <cell r="AG199">
            <v>89.757999999999996</v>
          </cell>
          <cell r="AH199">
            <v>90.37</v>
          </cell>
          <cell r="AI199">
            <v>90.944999999999993</v>
          </cell>
        </row>
        <row r="200">
          <cell r="B200" t="str">
            <v>Tuvalu</v>
          </cell>
          <cell r="E200">
            <v>11.2</v>
          </cell>
          <cell r="F200">
            <v>13.4</v>
          </cell>
          <cell r="G200">
            <v>15.9</v>
          </cell>
          <cell r="H200">
            <v>18.8</v>
          </cell>
          <cell r="I200">
            <v>22.1</v>
          </cell>
          <cell r="J200">
            <v>25.8</v>
          </cell>
          <cell r="K200">
            <v>29.8</v>
          </cell>
          <cell r="L200">
            <v>34.299999999999997</v>
          </cell>
          <cell r="M200">
            <v>40.700000000000003</v>
          </cell>
          <cell r="N200">
            <v>44</v>
          </cell>
          <cell r="O200">
            <v>46</v>
          </cell>
          <cell r="P200">
            <v>49.7</v>
          </cell>
          <cell r="Q200">
            <v>54.8</v>
          </cell>
          <cell r="R200">
            <v>59.7</v>
          </cell>
          <cell r="S200">
            <v>64</v>
          </cell>
          <cell r="T200">
            <v>66.146000000000001</v>
          </cell>
          <cell r="U200">
            <v>68.167000000000002</v>
          </cell>
          <cell r="V200">
            <v>70.067999999999998</v>
          </cell>
          <cell r="W200">
            <v>71.852999999999994</v>
          </cell>
          <cell r="X200">
            <v>73.527000000000001</v>
          </cell>
          <cell r="Y200">
            <v>75.096000000000004</v>
          </cell>
          <cell r="Z200">
            <v>76.564999999999998</v>
          </cell>
          <cell r="AA200">
            <v>77.94</v>
          </cell>
          <cell r="AB200">
            <v>79.227999999999994</v>
          </cell>
          <cell r="AC200">
            <v>80.433000000000007</v>
          </cell>
          <cell r="AD200">
            <v>81.561000000000007</v>
          </cell>
          <cell r="AE200">
            <v>82.617999999999995</v>
          </cell>
          <cell r="AF200">
            <v>83.606999999999999</v>
          </cell>
          <cell r="AG200">
            <v>84.534000000000006</v>
          </cell>
          <cell r="AH200">
            <v>85.403000000000006</v>
          </cell>
          <cell r="AI200">
            <v>86.218000000000004</v>
          </cell>
        </row>
        <row r="201">
          <cell r="B201" t="str">
            <v>Taiwan</v>
          </cell>
          <cell r="E201">
            <v>26.8</v>
          </cell>
          <cell r="F201">
            <v>29.1</v>
          </cell>
          <cell r="G201">
            <v>31.4</v>
          </cell>
          <cell r="H201">
            <v>33.9</v>
          </cell>
          <cell r="I201">
            <v>36.5</v>
          </cell>
          <cell r="J201">
            <v>39.799999999999997</v>
          </cell>
          <cell r="K201">
            <v>48.7</v>
          </cell>
          <cell r="L201">
            <v>57.7</v>
          </cell>
          <cell r="M201">
            <v>66.3</v>
          </cell>
          <cell r="N201">
            <v>68.400000000000006</v>
          </cell>
          <cell r="O201">
            <v>69.900000000000006</v>
          </cell>
          <cell r="P201">
            <v>72.3</v>
          </cell>
          <cell r="Q201">
            <v>74.7</v>
          </cell>
          <cell r="R201">
            <v>76.900000000000006</v>
          </cell>
          <cell r="S201">
            <v>78.900000000000006</v>
          </cell>
          <cell r="T201">
            <v>79.971000000000004</v>
          </cell>
          <cell r="U201">
            <v>81.028999999999996</v>
          </cell>
          <cell r="V201">
            <v>82.072000000000003</v>
          </cell>
          <cell r="W201">
            <v>83.096000000000004</v>
          </cell>
          <cell r="X201">
            <v>84.096000000000004</v>
          </cell>
          <cell r="Y201">
            <v>85.070999999999998</v>
          </cell>
          <cell r="Z201">
            <v>86.016999999999996</v>
          </cell>
          <cell r="AA201">
            <v>86.930999999999997</v>
          </cell>
          <cell r="AB201">
            <v>87.811000000000007</v>
          </cell>
          <cell r="AC201">
            <v>88.655000000000001</v>
          </cell>
          <cell r="AD201">
            <v>89.462000000000003</v>
          </cell>
          <cell r="AE201">
            <v>90.23</v>
          </cell>
          <cell r="AF201">
            <v>90.959000000000003</v>
          </cell>
          <cell r="AG201">
            <v>91.649000000000001</v>
          </cell>
          <cell r="AH201">
            <v>92.299000000000007</v>
          </cell>
          <cell r="AI201">
            <v>92.91</v>
          </cell>
        </row>
        <row r="202">
          <cell r="B202" t="str">
            <v>Tanzania</v>
          </cell>
          <cell r="E202">
            <v>3.5</v>
          </cell>
          <cell r="F202">
            <v>4.4000000000000004</v>
          </cell>
          <cell r="G202">
            <v>5.2</v>
          </cell>
          <cell r="H202">
            <v>6</v>
          </cell>
          <cell r="I202">
            <v>7.9</v>
          </cell>
          <cell r="J202">
            <v>11.1</v>
          </cell>
          <cell r="K202">
            <v>14.6</v>
          </cell>
          <cell r="L202">
            <v>16.8</v>
          </cell>
          <cell r="M202">
            <v>18.899999999999999</v>
          </cell>
          <cell r="N202">
            <v>20.5</v>
          </cell>
          <cell r="O202">
            <v>22.3</v>
          </cell>
          <cell r="P202">
            <v>24.8</v>
          </cell>
          <cell r="Q202">
            <v>28.1</v>
          </cell>
          <cell r="R202">
            <v>31.6</v>
          </cell>
          <cell r="S202">
            <v>35.200000000000003</v>
          </cell>
          <cell r="T202">
            <v>38.191000000000003</v>
          </cell>
          <cell r="U202">
            <v>41.139000000000003</v>
          </cell>
          <cell r="V202">
            <v>44.018000000000001</v>
          </cell>
          <cell r="W202">
            <v>46.804000000000002</v>
          </cell>
          <cell r="X202">
            <v>49.481000000000002</v>
          </cell>
          <cell r="Y202">
            <v>52.036999999999999</v>
          </cell>
          <cell r="Z202">
            <v>54.463999999999999</v>
          </cell>
          <cell r="AA202">
            <v>56.76</v>
          </cell>
          <cell r="AB202">
            <v>58.923999999999999</v>
          </cell>
          <cell r="AC202">
            <v>60.959000000000003</v>
          </cell>
          <cell r="AD202">
            <v>62.866999999999997</v>
          </cell>
          <cell r="AE202">
            <v>64.656000000000006</v>
          </cell>
          <cell r="AF202">
            <v>66.33</v>
          </cell>
          <cell r="AG202">
            <v>67.896000000000001</v>
          </cell>
          <cell r="AH202">
            <v>69.361999999999995</v>
          </cell>
          <cell r="AI202">
            <v>70.733000000000004</v>
          </cell>
        </row>
        <row r="203">
          <cell r="B203" t="str">
            <v>Uganda</v>
          </cell>
          <cell r="E203">
            <v>2.8</v>
          </cell>
          <cell r="F203">
            <v>3.5</v>
          </cell>
          <cell r="G203">
            <v>4.4000000000000004</v>
          </cell>
          <cell r="H203">
            <v>5.5</v>
          </cell>
          <cell r="I203">
            <v>6.7</v>
          </cell>
          <cell r="J203">
            <v>7</v>
          </cell>
          <cell r="K203">
            <v>7.5</v>
          </cell>
          <cell r="L203">
            <v>9.1999999999999993</v>
          </cell>
          <cell r="M203">
            <v>11.1</v>
          </cell>
          <cell r="N203">
            <v>12.8</v>
          </cell>
          <cell r="O203">
            <v>14.8</v>
          </cell>
          <cell r="P203">
            <v>17</v>
          </cell>
          <cell r="Q203">
            <v>19.399999999999999</v>
          </cell>
          <cell r="R203">
            <v>22.1</v>
          </cell>
          <cell r="S203">
            <v>25</v>
          </cell>
          <cell r="T203">
            <v>27.311</v>
          </cell>
          <cell r="U203">
            <v>29.713000000000001</v>
          </cell>
          <cell r="V203">
            <v>32.19</v>
          </cell>
          <cell r="W203">
            <v>34.726999999999997</v>
          </cell>
          <cell r="X203">
            <v>37.305999999999997</v>
          </cell>
          <cell r="Y203">
            <v>39.909999999999997</v>
          </cell>
          <cell r="Z203">
            <v>42.521999999999998</v>
          </cell>
          <cell r="AA203">
            <v>45.125</v>
          </cell>
          <cell r="AB203">
            <v>47.703000000000003</v>
          </cell>
          <cell r="AC203">
            <v>50.241999999999997</v>
          </cell>
          <cell r="AD203">
            <v>52.728999999999999</v>
          </cell>
          <cell r="AE203">
            <v>55.154000000000003</v>
          </cell>
          <cell r="AF203">
            <v>57.506999999999998</v>
          </cell>
          <cell r="AG203">
            <v>59.781999999999996</v>
          </cell>
          <cell r="AH203">
            <v>61.972999999999999</v>
          </cell>
          <cell r="AI203">
            <v>64.075999999999993</v>
          </cell>
        </row>
        <row r="204">
          <cell r="B204" t="str">
            <v>Ukraine</v>
          </cell>
          <cell r="E204">
            <v>35.5</v>
          </cell>
          <cell r="F204">
            <v>41.4</v>
          </cell>
          <cell r="G204">
            <v>46.8</v>
          </cell>
          <cell r="H204">
            <v>50.6</v>
          </cell>
          <cell r="I204">
            <v>54.8</v>
          </cell>
          <cell r="J204">
            <v>58.4</v>
          </cell>
          <cell r="K204">
            <v>61.7</v>
          </cell>
          <cell r="L204">
            <v>64.7</v>
          </cell>
          <cell r="M204">
            <v>66.8</v>
          </cell>
          <cell r="N204">
            <v>67</v>
          </cell>
          <cell r="O204">
            <v>67.099999999999994</v>
          </cell>
          <cell r="P204">
            <v>67.8</v>
          </cell>
          <cell r="Q204">
            <v>68.599999999999994</v>
          </cell>
          <cell r="R204">
            <v>69.099999999999994</v>
          </cell>
          <cell r="S204">
            <v>69.599999999999994</v>
          </cell>
          <cell r="T204">
            <v>70.998999999999995</v>
          </cell>
          <cell r="U204">
            <v>72.38</v>
          </cell>
          <cell r="V204">
            <v>73.741</v>
          </cell>
          <cell r="W204">
            <v>75.076999999999998</v>
          </cell>
          <cell r="X204">
            <v>76.385999999999996</v>
          </cell>
          <cell r="Y204">
            <v>77.662999999999997</v>
          </cell>
          <cell r="Z204">
            <v>78.908000000000001</v>
          </cell>
          <cell r="AA204">
            <v>80.116</v>
          </cell>
          <cell r="AB204">
            <v>81.284999999999997</v>
          </cell>
          <cell r="AC204">
            <v>82.414000000000001</v>
          </cell>
          <cell r="AD204">
            <v>83.501000000000005</v>
          </cell>
          <cell r="AE204">
            <v>84.543999999999997</v>
          </cell>
          <cell r="AF204">
            <v>85.542000000000002</v>
          </cell>
          <cell r="AG204">
            <v>86.495000000000005</v>
          </cell>
          <cell r="AH204">
            <v>87.403000000000006</v>
          </cell>
          <cell r="AI204">
            <v>88.265000000000001</v>
          </cell>
        </row>
        <row r="205">
          <cell r="B205" t="str">
            <v>Uruguay</v>
          </cell>
          <cell r="E205">
            <v>77.900000000000006</v>
          </cell>
          <cell r="F205">
            <v>79.099999999999994</v>
          </cell>
          <cell r="G205">
            <v>80.2</v>
          </cell>
          <cell r="H205">
            <v>81.3</v>
          </cell>
          <cell r="I205">
            <v>82.4</v>
          </cell>
          <cell r="J205">
            <v>83.4</v>
          </cell>
          <cell r="K205">
            <v>85.4</v>
          </cell>
          <cell r="L205">
            <v>87.2</v>
          </cell>
          <cell r="M205">
            <v>89</v>
          </cell>
          <cell r="N205">
            <v>90.5</v>
          </cell>
          <cell r="O205">
            <v>92</v>
          </cell>
          <cell r="P205">
            <v>93.3</v>
          </cell>
          <cell r="Q205">
            <v>94.4</v>
          </cell>
          <cell r="R205">
            <v>95</v>
          </cell>
          <cell r="S205">
            <v>95.5</v>
          </cell>
          <cell r="T205">
            <v>95.614000000000004</v>
          </cell>
          <cell r="U205">
            <v>95.724000000000004</v>
          </cell>
          <cell r="V205">
            <v>95.828999999999994</v>
          </cell>
          <cell r="W205">
            <v>95.929000000000002</v>
          </cell>
          <cell r="X205">
            <v>96.025999999999996</v>
          </cell>
          <cell r="Y205">
            <v>96.119</v>
          </cell>
          <cell r="Z205">
            <v>96.207999999999998</v>
          </cell>
          <cell r="AA205">
            <v>96.293000000000006</v>
          </cell>
          <cell r="AB205">
            <v>96.376000000000005</v>
          </cell>
          <cell r="AC205">
            <v>96.454999999999998</v>
          </cell>
          <cell r="AD205">
            <v>96.531000000000006</v>
          </cell>
          <cell r="AE205">
            <v>96.605000000000004</v>
          </cell>
          <cell r="AF205">
            <v>96.676000000000002</v>
          </cell>
          <cell r="AG205">
            <v>96.745000000000005</v>
          </cell>
          <cell r="AH205">
            <v>96.811000000000007</v>
          </cell>
          <cell r="AI205">
            <v>96.875</v>
          </cell>
        </row>
        <row r="206">
          <cell r="B206" t="str">
            <v>United States</v>
          </cell>
          <cell r="E206">
            <v>64.2</v>
          </cell>
          <cell r="F206">
            <v>67.2</v>
          </cell>
          <cell r="G206">
            <v>70</v>
          </cell>
          <cell r="H206">
            <v>71.900000000000006</v>
          </cell>
          <cell r="I206">
            <v>73.599999999999994</v>
          </cell>
          <cell r="J206">
            <v>73.7</v>
          </cell>
          <cell r="K206">
            <v>73.7</v>
          </cell>
          <cell r="L206">
            <v>74.5</v>
          </cell>
          <cell r="M206">
            <v>75.3</v>
          </cell>
          <cell r="N206">
            <v>77.3</v>
          </cell>
          <cell r="O206">
            <v>79.099999999999994</v>
          </cell>
          <cell r="P206">
            <v>79.900000000000006</v>
          </cell>
          <cell r="Q206">
            <v>80.8</v>
          </cell>
          <cell r="R206">
            <v>81.7</v>
          </cell>
          <cell r="S206">
            <v>82.7</v>
          </cell>
          <cell r="T206">
            <v>83.756</v>
          </cell>
          <cell r="U206">
            <v>84.802999999999997</v>
          </cell>
          <cell r="V206">
            <v>85.834000000000003</v>
          </cell>
          <cell r="W206">
            <v>86.844999999999999</v>
          </cell>
          <cell r="X206">
            <v>87.828000000000003</v>
          </cell>
          <cell r="Y206">
            <v>88.778000000000006</v>
          </cell>
          <cell r="Z206">
            <v>89.691000000000003</v>
          </cell>
          <cell r="AA206">
            <v>90.563000000000002</v>
          </cell>
          <cell r="AB206">
            <v>91.39</v>
          </cell>
          <cell r="AC206">
            <v>92.171000000000006</v>
          </cell>
          <cell r="AD206">
            <v>92.902000000000001</v>
          </cell>
          <cell r="AE206">
            <v>93.584000000000003</v>
          </cell>
          <cell r="AF206">
            <v>94.215999999999994</v>
          </cell>
          <cell r="AG206">
            <v>94.8</v>
          </cell>
          <cell r="AH206">
            <v>95.335999999999999</v>
          </cell>
          <cell r="AI206">
            <v>95.825999999999993</v>
          </cell>
        </row>
        <row r="207">
          <cell r="B207" t="str">
            <v>Uzbekistan</v>
          </cell>
          <cell r="E207">
            <v>28.9</v>
          </cell>
          <cell r="F207">
            <v>31.6</v>
          </cell>
          <cell r="G207">
            <v>34</v>
          </cell>
          <cell r="H207">
            <v>35.299999999999997</v>
          </cell>
          <cell r="I207">
            <v>36.700000000000003</v>
          </cell>
          <cell r="J207">
            <v>39.1</v>
          </cell>
          <cell r="K207">
            <v>40.799999999999997</v>
          </cell>
          <cell r="L207">
            <v>40.700000000000003</v>
          </cell>
          <cell r="M207">
            <v>41.4</v>
          </cell>
          <cell r="N207">
            <v>43.7</v>
          </cell>
          <cell r="O207">
            <v>46.1</v>
          </cell>
          <cell r="P207">
            <v>48.5</v>
          </cell>
          <cell r="Q207">
            <v>51</v>
          </cell>
          <cell r="R207">
            <v>50.8</v>
          </cell>
          <cell r="S207">
            <v>50.4</v>
          </cell>
          <cell r="T207">
            <v>52.594000000000001</v>
          </cell>
          <cell r="U207">
            <v>54.7</v>
          </cell>
          <cell r="V207">
            <v>56.716999999999999</v>
          </cell>
          <cell r="W207">
            <v>58.642000000000003</v>
          </cell>
          <cell r="X207">
            <v>60.475000000000001</v>
          </cell>
          <cell r="Y207">
            <v>62.218000000000004</v>
          </cell>
          <cell r="Z207">
            <v>63.872999999999998</v>
          </cell>
          <cell r="AA207">
            <v>65.441999999999993</v>
          </cell>
          <cell r="AB207">
            <v>66.929000000000002</v>
          </cell>
          <cell r="AC207">
            <v>68.337000000000003</v>
          </cell>
          <cell r="AD207">
            <v>69.67</v>
          </cell>
          <cell r="AE207">
            <v>70.932000000000002</v>
          </cell>
          <cell r="AF207">
            <v>72.126000000000005</v>
          </cell>
          <cell r="AG207">
            <v>73.256</v>
          </cell>
          <cell r="AH207">
            <v>74.325999999999993</v>
          </cell>
          <cell r="AI207">
            <v>75.338999999999999</v>
          </cell>
        </row>
        <row r="208">
          <cell r="B208" t="str">
            <v>Saint Vincent and the Grenadines</v>
          </cell>
          <cell r="E208">
            <v>21.7</v>
          </cell>
          <cell r="F208">
            <v>23.8</v>
          </cell>
          <cell r="G208">
            <v>25.9</v>
          </cell>
          <cell r="H208">
            <v>28.3</v>
          </cell>
          <cell r="I208">
            <v>30.7</v>
          </cell>
          <cell r="J208">
            <v>33.200000000000003</v>
          </cell>
          <cell r="K208">
            <v>35.9</v>
          </cell>
          <cell r="L208">
            <v>38.6</v>
          </cell>
          <cell r="M208">
            <v>41.4</v>
          </cell>
          <cell r="N208">
            <v>43.4</v>
          </cell>
          <cell r="O208">
            <v>45.2</v>
          </cell>
          <cell r="P208">
            <v>47</v>
          </cell>
          <cell r="Q208">
            <v>49</v>
          </cell>
          <cell r="R208">
            <v>51</v>
          </cell>
          <cell r="S208">
            <v>53</v>
          </cell>
          <cell r="T208">
            <v>55.395000000000003</v>
          </cell>
          <cell r="U208">
            <v>57.667000000000002</v>
          </cell>
          <cell r="V208">
            <v>59.813000000000002</v>
          </cell>
          <cell r="W208">
            <v>61.837000000000003</v>
          </cell>
          <cell r="X208">
            <v>63.741</v>
          </cell>
          <cell r="Y208">
            <v>65.53</v>
          </cell>
          <cell r="Z208">
            <v>67.209000000000003</v>
          </cell>
          <cell r="AA208">
            <v>68.784000000000006</v>
          </cell>
          <cell r="AB208">
            <v>70.260999999999996</v>
          </cell>
          <cell r="AC208">
            <v>71.646000000000001</v>
          </cell>
          <cell r="AD208">
            <v>72.944999999999993</v>
          </cell>
          <cell r="AE208">
            <v>74.162999999999997</v>
          </cell>
          <cell r="AF208">
            <v>75.307000000000002</v>
          </cell>
          <cell r="AG208">
            <v>76.381</v>
          </cell>
          <cell r="AH208">
            <v>77.391000000000005</v>
          </cell>
          <cell r="AI208">
            <v>78.34</v>
          </cell>
        </row>
        <row r="209">
          <cell r="B209" t="str">
            <v>Venezuela</v>
          </cell>
          <cell r="E209">
            <v>47.3</v>
          </cell>
          <cell r="F209">
            <v>54.6</v>
          </cell>
          <cell r="G209">
            <v>61.6</v>
          </cell>
          <cell r="H209">
            <v>67</v>
          </cell>
          <cell r="I209">
            <v>71.900000000000006</v>
          </cell>
          <cell r="J209">
            <v>75.8</v>
          </cell>
          <cell r="K209">
            <v>79.2</v>
          </cell>
          <cell r="L209">
            <v>81.900000000000006</v>
          </cell>
          <cell r="M209">
            <v>84.3</v>
          </cell>
          <cell r="N209">
            <v>86</v>
          </cell>
          <cell r="O209">
            <v>87.6</v>
          </cell>
          <cell r="P209">
            <v>88</v>
          </cell>
          <cell r="Q209">
            <v>88.1</v>
          </cell>
          <cell r="R209">
            <v>88.2</v>
          </cell>
          <cell r="S209">
            <v>88.3</v>
          </cell>
          <cell r="T209">
            <v>89.162000000000006</v>
          </cell>
          <cell r="U209">
            <v>90.001999999999995</v>
          </cell>
          <cell r="V209">
            <v>90.814999999999998</v>
          </cell>
          <cell r="W209">
            <v>91.596000000000004</v>
          </cell>
          <cell r="X209">
            <v>92.340999999999994</v>
          </cell>
          <cell r="Y209">
            <v>93.046999999999997</v>
          </cell>
          <cell r="Z209">
            <v>93.710999999999999</v>
          </cell>
          <cell r="AA209">
            <v>94.331000000000003</v>
          </cell>
          <cell r="AB209">
            <v>94.906999999999996</v>
          </cell>
          <cell r="AC209">
            <v>95.438000000000002</v>
          </cell>
          <cell r="AD209">
            <v>95.926000000000002</v>
          </cell>
          <cell r="AE209">
            <v>96.370999999999995</v>
          </cell>
          <cell r="AF209">
            <v>96.775000000000006</v>
          </cell>
          <cell r="AG209">
            <v>97.141000000000005</v>
          </cell>
          <cell r="AH209">
            <v>97.47</v>
          </cell>
          <cell r="AI209">
            <v>97.766000000000005</v>
          </cell>
        </row>
        <row r="210">
          <cell r="B210" t="str">
            <v>British Virgin Islands</v>
          </cell>
          <cell r="E210">
            <v>11.2</v>
          </cell>
          <cell r="F210">
            <v>11.7</v>
          </cell>
          <cell r="G210">
            <v>12.2</v>
          </cell>
          <cell r="H210">
            <v>14.3</v>
          </cell>
          <cell r="I210">
            <v>16.600000000000001</v>
          </cell>
          <cell r="J210">
            <v>19.5</v>
          </cell>
          <cell r="K210">
            <v>22.7</v>
          </cell>
          <cell r="L210">
            <v>29.7</v>
          </cell>
          <cell r="M210">
            <v>37.799999999999997</v>
          </cell>
          <cell r="N210">
            <v>40.4</v>
          </cell>
          <cell r="O210">
            <v>41.8</v>
          </cell>
          <cell r="P210">
            <v>43.2</v>
          </cell>
          <cell r="Q210">
            <v>44.8</v>
          </cell>
          <cell r="R210">
            <v>46.6</v>
          </cell>
          <cell r="S210">
            <v>48.5</v>
          </cell>
          <cell r="T210">
            <v>50.976999999999997</v>
          </cell>
          <cell r="U210">
            <v>53.381</v>
          </cell>
          <cell r="V210">
            <v>55.704000000000001</v>
          </cell>
          <cell r="W210">
            <v>57.939</v>
          </cell>
          <cell r="X210">
            <v>60.082999999999998</v>
          </cell>
          <cell r="Y210">
            <v>62.133000000000003</v>
          </cell>
          <cell r="Z210">
            <v>64.088999999999999</v>
          </cell>
          <cell r="AA210">
            <v>65.95</v>
          </cell>
          <cell r="AB210">
            <v>67.718000000000004</v>
          </cell>
          <cell r="AC210">
            <v>69.394999999999996</v>
          </cell>
          <cell r="AD210">
            <v>70.984999999999999</v>
          </cell>
          <cell r="AE210">
            <v>72.489000000000004</v>
          </cell>
          <cell r="AF210">
            <v>73.912000000000006</v>
          </cell>
          <cell r="AG210">
            <v>75.257000000000005</v>
          </cell>
          <cell r="AH210">
            <v>76.528000000000006</v>
          </cell>
          <cell r="AI210">
            <v>77.727999999999994</v>
          </cell>
        </row>
        <row r="211">
          <cell r="B211" t="str">
            <v>United States Virgin Islands</v>
          </cell>
          <cell r="E211">
            <v>58.3</v>
          </cell>
          <cell r="F211">
            <v>57.2</v>
          </cell>
          <cell r="G211">
            <v>56.5</v>
          </cell>
          <cell r="H211">
            <v>63.3</v>
          </cell>
          <cell r="I211">
            <v>69.599999999999994</v>
          </cell>
          <cell r="J211">
            <v>75.2</v>
          </cell>
          <cell r="K211">
            <v>80.099999999999994</v>
          </cell>
          <cell r="L211">
            <v>84.3</v>
          </cell>
          <cell r="M211">
            <v>87.7</v>
          </cell>
          <cell r="N211">
            <v>90.4</v>
          </cell>
          <cell r="O211">
            <v>92.6</v>
          </cell>
          <cell r="P211">
            <v>93.7</v>
          </cell>
          <cell r="Q211">
            <v>94.6</v>
          </cell>
          <cell r="R211">
            <v>95.4</v>
          </cell>
          <cell r="S211">
            <v>95.9</v>
          </cell>
          <cell r="T211">
            <v>95.971000000000004</v>
          </cell>
          <cell r="U211">
            <v>96.045000000000002</v>
          </cell>
          <cell r="V211">
            <v>96.123999999999995</v>
          </cell>
          <cell r="W211">
            <v>96.204999999999998</v>
          </cell>
          <cell r="X211">
            <v>96.290999999999997</v>
          </cell>
          <cell r="Y211">
            <v>96.38</v>
          </cell>
          <cell r="Z211">
            <v>96.471999999999994</v>
          </cell>
          <cell r="AA211">
            <v>96.567999999999998</v>
          </cell>
          <cell r="AB211">
            <v>96.667000000000002</v>
          </cell>
          <cell r="AC211">
            <v>96.769000000000005</v>
          </cell>
          <cell r="AD211">
            <v>96.873000000000005</v>
          </cell>
          <cell r="AE211">
            <v>96.978999999999999</v>
          </cell>
          <cell r="AF211">
            <v>97.087999999999994</v>
          </cell>
          <cell r="AG211">
            <v>97.197999999999993</v>
          </cell>
          <cell r="AH211">
            <v>97.308999999999997</v>
          </cell>
          <cell r="AI211">
            <v>97.421000000000006</v>
          </cell>
        </row>
        <row r="212">
          <cell r="B212" t="str">
            <v>Viet Nam</v>
          </cell>
          <cell r="E212">
            <v>11.6</v>
          </cell>
          <cell r="F212">
            <v>13.1</v>
          </cell>
          <cell r="G212">
            <v>14.7</v>
          </cell>
          <cell r="H212">
            <v>16.399999999999999</v>
          </cell>
          <cell r="I212">
            <v>18.3</v>
          </cell>
          <cell r="J212">
            <v>18.8</v>
          </cell>
          <cell r="K212">
            <v>19.2</v>
          </cell>
          <cell r="L212">
            <v>19.600000000000001</v>
          </cell>
          <cell r="M212">
            <v>20.3</v>
          </cell>
          <cell r="N212">
            <v>22.2</v>
          </cell>
          <cell r="O212">
            <v>24.4</v>
          </cell>
          <cell r="P212">
            <v>27.3</v>
          </cell>
          <cell r="Q212">
            <v>30.4</v>
          </cell>
          <cell r="R212">
            <v>33.799999999999997</v>
          </cell>
          <cell r="S212">
            <v>37.299999999999997</v>
          </cell>
          <cell r="T212">
            <v>40.197000000000003</v>
          </cell>
          <cell r="U212">
            <v>43.048999999999999</v>
          </cell>
          <cell r="V212">
            <v>45.831000000000003</v>
          </cell>
          <cell r="W212">
            <v>48.524999999999999</v>
          </cell>
          <cell r="X212">
            <v>51.118000000000002</v>
          </cell>
          <cell r="Y212">
            <v>53.6</v>
          </cell>
          <cell r="Z212">
            <v>55.963000000000001</v>
          </cell>
          <cell r="AA212">
            <v>58.206000000000003</v>
          </cell>
          <cell r="AB212">
            <v>60.326999999999998</v>
          </cell>
          <cell r="AC212">
            <v>62.329000000000001</v>
          </cell>
          <cell r="AD212">
            <v>64.213999999999999</v>
          </cell>
          <cell r="AE212">
            <v>65.986999999999995</v>
          </cell>
          <cell r="AF212">
            <v>67.653000000000006</v>
          </cell>
          <cell r="AG212">
            <v>69.216999999999999</v>
          </cell>
          <cell r="AH212">
            <v>70.685000000000002</v>
          </cell>
          <cell r="AI212">
            <v>72.063000000000002</v>
          </cell>
        </row>
        <row r="213">
          <cell r="B213" t="str">
            <v>Vanuatu</v>
          </cell>
          <cell r="E213">
            <v>8.8000000000000007</v>
          </cell>
          <cell r="F213">
            <v>9.5</v>
          </cell>
          <cell r="G213">
            <v>10.4</v>
          </cell>
          <cell r="H213">
            <v>11.3</v>
          </cell>
          <cell r="I213">
            <v>12.3</v>
          </cell>
          <cell r="J213">
            <v>13.4</v>
          </cell>
          <cell r="K213">
            <v>14.7</v>
          </cell>
          <cell r="L213">
            <v>16.7</v>
          </cell>
          <cell r="M213">
            <v>18.7</v>
          </cell>
          <cell r="N213">
            <v>20.2</v>
          </cell>
          <cell r="O213">
            <v>21.7</v>
          </cell>
          <cell r="P213">
            <v>23.1</v>
          </cell>
          <cell r="Q213">
            <v>24.5</v>
          </cell>
          <cell r="R213">
            <v>25</v>
          </cell>
          <cell r="S213">
            <v>25.5</v>
          </cell>
          <cell r="T213">
            <v>28.056000000000001</v>
          </cell>
          <cell r="U213">
            <v>30.689</v>
          </cell>
          <cell r="V213">
            <v>33.375</v>
          </cell>
          <cell r="W213">
            <v>36.090000000000003</v>
          </cell>
          <cell r="X213">
            <v>38.808999999999997</v>
          </cell>
          <cell r="Y213">
            <v>41.511000000000003</v>
          </cell>
          <cell r="Z213">
            <v>44.174999999999997</v>
          </cell>
          <cell r="AA213">
            <v>46.781999999999996</v>
          </cell>
          <cell r="AB213">
            <v>49.32</v>
          </cell>
          <cell r="AC213">
            <v>51.774999999999999</v>
          </cell>
          <cell r="AD213">
            <v>54.139000000000003</v>
          </cell>
          <cell r="AE213">
            <v>56.406999999999996</v>
          </cell>
          <cell r="AF213">
            <v>58.573</v>
          </cell>
          <cell r="AG213">
            <v>60.637</v>
          </cell>
          <cell r="AH213">
            <v>62.597999999999999</v>
          </cell>
          <cell r="AI213">
            <v>64.457999999999998</v>
          </cell>
        </row>
        <row r="214">
          <cell r="B214" t="str">
            <v>Samoa</v>
          </cell>
          <cell r="E214">
            <v>12.9</v>
          </cell>
          <cell r="F214">
            <v>17.399999999999999</v>
          </cell>
          <cell r="G214">
            <v>18.899999999999999</v>
          </cell>
          <cell r="H214">
            <v>19.3</v>
          </cell>
          <cell r="I214">
            <v>20.399999999999999</v>
          </cell>
          <cell r="J214">
            <v>21</v>
          </cell>
          <cell r="K214">
            <v>21.2</v>
          </cell>
          <cell r="L214">
            <v>21.2</v>
          </cell>
          <cell r="M214">
            <v>21.2</v>
          </cell>
          <cell r="N214">
            <v>21.5</v>
          </cell>
          <cell r="O214">
            <v>22</v>
          </cell>
          <cell r="P214">
            <v>21.2</v>
          </cell>
          <cell r="Q214">
            <v>20.100000000000001</v>
          </cell>
          <cell r="R214">
            <v>18.899999999999999</v>
          </cell>
          <cell r="S214">
            <v>17.899999999999999</v>
          </cell>
          <cell r="T214">
            <v>19.991</v>
          </cell>
          <cell r="U214">
            <v>22.213999999999999</v>
          </cell>
          <cell r="V214">
            <v>24.556000000000001</v>
          </cell>
          <cell r="W214">
            <v>27</v>
          </cell>
          <cell r="X214">
            <v>29.527999999999999</v>
          </cell>
          <cell r="Y214">
            <v>32.116999999999997</v>
          </cell>
          <cell r="Z214">
            <v>34.746000000000002</v>
          </cell>
          <cell r="AA214">
            <v>37.393000000000001</v>
          </cell>
          <cell r="AB214">
            <v>40.036000000000001</v>
          </cell>
          <cell r="AC214">
            <v>42.656999999999996</v>
          </cell>
          <cell r="AD214">
            <v>45.237000000000002</v>
          </cell>
          <cell r="AE214">
            <v>47.761000000000003</v>
          </cell>
          <cell r="AF214">
            <v>50.215000000000003</v>
          </cell>
          <cell r="AG214">
            <v>52.591000000000001</v>
          </cell>
          <cell r="AH214">
            <v>54.88</v>
          </cell>
          <cell r="AI214">
            <v>57.076999999999998</v>
          </cell>
        </row>
        <row r="215">
          <cell r="B215" t="str">
            <v>Yemen</v>
          </cell>
          <cell r="E215">
            <v>5.8</v>
          </cell>
          <cell r="F215">
            <v>7.3</v>
          </cell>
          <cell r="G215">
            <v>9.1</v>
          </cell>
          <cell r="H215">
            <v>11</v>
          </cell>
          <cell r="I215">
            <v>13.3</v>
          </cell>
          <cell r="J215">
            <v>14.8</v>
          </cell>
          <cell r="K215">
            <v>16.5</v>
          </cell>
          <cell r="L215">
            <v>18.399999999999999</v>
          </cell>
          <cell r="M215">
            <v>20.9</v>
          </cell>
          <cell r="N215">
            <v>23.8</v>
          </cell>
          <cell r="O215">
            <v>26.3</v>
          </cell>
          <cell r="P215">
            <v>28.9</v>
          </cell>
          <cell r="Q215">
            <v>31.8</v>
          </cell>
          <cell r="R215">
            <v>34.799999999999997</v>
          </cell>
          <cell r="S215">
            <v>37.9</v>
          </cell>
          <cell r="T215">
            <v>40.877000000000002</v>
          </cell>
          <cell r="U215">
            <v>43.765999999999998</v>
          </cell>
          <cell r="V215">
            <v>46.543999999999997</v>
          </cell>
          <cell r="W215">
            <v>49.195</v>
          </cell>
          <cell r="X215">
            <v>51.709000000000003</v>
          </cell>
          <cell r="Y215">
            <v>54.08</v>
          </cell>
          <cell r="Z215">
            <v>56.308</v>
          </cell>
          <cell r="AA215">
            <v>58.395000000000003</v>
          </cell>
          <cell r="AB215">
            <v>60.345999999999997</v>
          </cell>
          <cell r="AC215">
            <v>62.164999999999999</v>
          </cell>
          <cell r="AD215">
            <v>63.862000000000002</v>
          </cell>
          <cell r="AE215">
            <v>65.441999999999993</v>
          </cell>
          <cell r="AF215">
            <v>66.914000000000001</v>
          </cell>
          <cell r="AG215">
            <v>68.286000000000001</v>
          </cell>
          <cell r="AH215">
            <v>69.563999999999993</v>
          </cell>
          <cell r="AI215">
            <v>70.756</v>
          </cell>
        </row>
        <row r="216">
          <cell r="B216" t="str">
            <v>South Africa</v>
          </cell>
          <cell r="E216">
            <v>42.2</v>
          </cell>
          <cell r="F216">
            <v>44.4</v>
          </cell>
          <cell r="G216">
            <v>46.6</v>
          </cell>
          <cell r="H216">
            <v>47.2</v>
          </cell>
          <cell r="I216">
            <v>47.8</v>
          </cell>
          <cell r="J216">
            <v>48.1</v>
          </cell>
          <cell r="K216">
            <v>48.4</v>
          </cell>
          <cell r="L216">
            <v>49.4</v>
          </cell>
          <cell r="M216">
            <v>52</v>
          </cell>
          <cell r="N216">
            <v>54.5</v>
          </cell>
          <cell r="O216">
            <v>56.9</v>
          </cell>
          <cell r="P216">
            <v>59.5</v>
          </cell>
          <cell r="Q216">
            <v>62.2</v>
          </cell>
          <cell r="R216">
            <v>64.8</v>
          </cell>
          <cell r="S216">
            <v>67.400000000000006</v>
          </cell>
          <cell r="T216">
            <v>68.774000000000001</v>
          </cell>
          <cell r="U216">
            <v>70.126999999999995</v>
          </cell>
          <cell r="V216">
            <v>71.456999999999994</v>
          </cell>
          <cell r="W216">
            <v>72.762</v>
          </cell>
          <cell r="X216">
            <v>74.039000000000001</v>
          </cell>
          <cell r="Y216">
            <v>75.286000000000001</v>
          </cell>
          <cell r="Z216">
            <v>76.501999999999995</v>
          </cell>
          <cell r="AA216">
            <v>77.683000000000007</v>
          </cell>
          <cell r="AB216">
            <v>78.83</v>
          </cell>
          <cell r="AC216">
            <v>79.941000000000003</v>
          </cell>
          <cell r="AD216">
            <v>81.013999999999996</v>
          </cell>
          <cell r="AE216">
            <v>82.049000000000007</v>
          </cell>
          <cell r="AF216">
            <v>83.046000000000006</v>
          </cell>
          <cell r="AG216">
            <v>84.003</v>
          </cell>
          <cell r="AH216">
            <v>84.921999999999997</v>
          </cell>
          <cell r="AI216">
            <v>85.8</v>
          </cell>
        </row>
        <row r="217">
          <cell r="B217" t="str">
            <v>Zambia</v>
          </cell>
          <cell r="E217">
            <v>11.5</v>
          </cell>
          <cell r="F217">
            <v>14.5</v>
          </cell>
          <cell r="G217">
            <v>18.100000000000001</v>
          </cell>
          <cell r="H217">
            <v>23.4</v>
          </cell>
          <cell r="I217">
            <v>30.4</v>
          </cell>
          <cell r="J217">
            <v>34.9</v>
          </cell>
          <cell r="K217">
            <v>39.799999999999997</v>
          </cell>
          <cell r="L217">
            <v>39.700000000000003</v>
          </cell>
          <cell r="M217">
            <v>39.4</v>
          </cell>
          <cell r="N217">
            <v>37.1</v>
          </cell>
          <cell r="O217">
            <v>34.799999999999997</v>
          </cell>
          <cell r="P217">
            <v>36.9</v>
          </cell>
          <cell r="Q217">
            <v>39.4</v>
          </cell>
          <cell r="R217">
            <v>41.9</v>
          </cell>
          <cell r="S217">
            <v>44.6</v>
          </cell>
          <cell r="T217">
            <v>46.752000000000002</v>
          </cell>
          <cell r="U217">
            <v>48.902999999999999</v>
          </cell>
          <cell r="V217">
            <v>51.045000000000002</v>
          </cell>
          <cell r="W217">
            <v>53.170999999999999</v>
          </cell>
          <cell r="X217">
            <v>55.273000000000003</v>
          </cell>
          <cell r="Y217">
            <v>57.344000000000001</v>
          </cell>
          <cell r="Z217">
            <v>59.377000000000002</v>
          </cell>
          <cell r="AA217">
            <v>61.368000000000002</v>
          </cell>
          <cell r="AB217">
            <v>63.31</v>
          </cell>
          <cell r="AC217">
            <v>65.198999999999998</v>
          </cell>
          <cell r="AD217">
            <v>67.031999999999996</v>
          </cell>
          <cell r="AE217">
            <v>68.805999999999997</v>
          </cell>
          <cell r="AF217">
            <v>70.516999999999996</v>
          </cell>
          <cell r="AG217">
            <v>72.164000000000001</v>
          </cell>
          <cell r="AH217">
            <v>73.745000000000005</v>
          </cell>
          <cell r="AI217">
            <v>75.260999999999996</v>
          </cell>
        </row>
        <row r="218">
          <cell r="B218" t="str">
            <v>Zimbabwe</v>
          </cell>
          <cell r="E218">
            <v>10.6</v>
          </cell>
          <cell r="F218">
            <v>11.6</v>
          </cell>
          <cell r="G218">
            <v>12.6</v>
          </cell>
          <cell r="H218">
            <v>14.6</v>
          </cell>
          <cell r="I218">
            <v>17.399999999999999</v>
          </cell>
          <cell r="J218">
            <v>19.899999999999999</v>
          </cell>
          <cell r="K218">
            <v>22.4</v>
          </cell>
          <cell r="L218">
            <v>25.4</v>
          </cell>
          <cell r="M218">
            <v>29</v>
          </cell>
          <cell r="N218">
            <v>31.7</v>
          </cell>
          <cell r="O218">
            <v>33.799999999999997</v>
          </cell>
          <cell r="P218">
            <v>34.1</v>
          </cell>
          <cell r="Q218">
            <v>33.200000000000003</v>
          </cell>
          <cell r="R218">
            <v>32.4</v>
          </cell>
          <cell r="S218">
            <v>32.200000000000003</v>
          </cell>
          <cell r="T218">
            <v>35.22</v>
          </cell>
          <cell r="U218">
            <v>38.237000000000002</v>
          </cell>
          <cell r="V218">
            <v>41.218000000000004</v>
          </cell>
          <cell r="W218">
            <v>44.133000000000003</v>
          </cell>
          <cell r="X218">
            <v>46.960999999999999</v>
          </cell>
          <cell r="Y218">
            <v>49.683</v>
          </cell>
          <cell r="Z218">
            <v>52.286000000000001</v>
          </cell>
          <cell r="AA218">
            <v>54.762999999999998</v>
          </cell>
          <cell r="AB218">
            <v>57.107999999999997</v>
          </cell>
          <cell r="AC218">
            <v>59.322000000000003</v>
          </cell>
          <cell r="AD218">
            <v>61.405000000000001</v>
          </cell>
          <cell r="AE218">
            <v>63.362000000000002</v>
          </cell>
          <cell r="AF218">
            <v>65.195999999999998</v>
          </cell>
          <cell r="AG218">
            <v>66.915000000000006</v>
          </cell>
          <cell r="AH218">
            <v>68.524000000000001</v>
          </cell>
          <cell r="AI218">
            <v>70.028999999999996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Afghanistan</v>
          </cell>
          <cell r="D2" t="str">
            <v>Rest of South Asia</v>
          </cell>
        </row>
        <row r="3">
          <cell r="B3" t="str">
            <v>Albania</v>
          </cell>
          <cell r="D3" t="str">
            <v>Central Europe</v>
          </cell>
        </row>
        <row r="4">
          <cell r="B4" t="str">
            <v>Algeria</v>
          </cell>
          <cell r="D4" t="str">
            <v>Northern Africa</v>
          </cell>
        </row>
        <row r="5">
          <cell r="B5" t="str">
            <v>Angola</v>
          </cell>
          <cell r="D5" t="str">
            <v>Rest of Southern Africa</v>
          </cell>
        </row>
        <row r="6">
          <cell r="B6" t="str">
            <v>Argentina</v>
          </cell>
          <cell r="D6" t="str">
            <v>Rest of South America</v>
          </cell>
        </row>
        <row r="7">
          <cell r="B7" t="str">
            <v>Armenia</v>
          </cell>
          <cell r="D7" t="str">
            <v>Russia region</v>
          </cell>
        </row>
        <row r="8">
          <cell r="B8" t="str">
            <v>Australia</v>
          </cell>
          <cell r="D8" t="str">
            <v>Oceania</v>
          </cell>
        </row>
        <row r="9">
          <cell r="B9" t="str">
            <v>Austria</v>
          </cell>
          <cell r="D9" t="str">
            <v>Western Europe</v>
          </cell>
        </row>
        <row r="10">
          <cell r="B10" t="str">
            <v>Azerbaijan</v>
          </cell>
          <cell r="D10" t="str">
            <v>Russia region</v>
          </cell>
        </row>
        <row r="11">
          <cell r="B11" t="str">
            <v>Bahamas</v>
          </cell>
          <cell r="D11" t="str">
            <v>Central America</v>
          </cell>
        </row>
        <row r="12">
          <cell r="B12" t="str">
            <v>Bahrain</v>
          </cell>
          <cell r="D12" t="str">
            <v>Middle East</v>
          </cell>
        </row>
        <row r="13">
          <cell r="B13" t="str">
            <v>Bangladesh</v>
          </cell>
          <cell r="D13" t="str">
            <v>Rest of South Asia</v>
          </cell>
        </row>
        <row r="14">
          <cell r="B14" t="str">
            <v>Belarus</v>
          </cell>
          <cell r="D14" t="str">
            <v>Ukraine region</v>
          </cell>
        </row>
        <row r="15">
          <cell r="B15" t="str">
            <v>Belgium</v>
          </cell>
          <cell r="D15" t="str">
            <v>Western Europe</v>
          </cell>
        </row>
        <row r="16">
          <cell r="B16" t="str">
            <v>Belize</v>
          </cell>
          <cell r="D16" t="str">
            <v>Central America</v>
          </cell>
        </row>
        <row r="17">
          <cell r="B17" t="str">
            <v>Benin</v>
          </cell>
          <cell r="D17" t="str">
            <v>Western Africa</v>
          </cell>
        </row>
        <row r="18">
          <cell r="B18" t="str">
            <v>Bolivia</v>
          </cell>
          <cell r="D18" t="str">
            <v>Rest of South America</v>
          </cell>
        </row>
        <row r="19">
          <cell r="B19" t="str">
            <v>Botswana</v>
          </cell>
          <cell r="D19" t="str">
            <v>Rest of Southern Africa</v>
          </cell>
        </row>
        <row r="20">
          <cell r="B20" t="str">
            <v>Brazil</v>
          </cell>
          <cell r="D20" t="str">
            <v>Brazil</v>
          </cell>
        </row>
        <row r="21">
          <cell r="B21" t="str">
            <v>Brunei</v>
          </cell>
          <cell r="D21" t="str">
            <v>Southeastern Asia</v>
          </cell>
        </row>
        <row r="22">
          <cell r="B22" t="str">
            <v>Bulgaria</v>
          </cell>
          <cell r="D22" t="str">
            <v>Central Europe</v>
          </cell>
        </row>
        <row r="23">
          <cell r="B23" t="str">
            <v>Burkina Faso</v>
          </cell>
          <cell r="D23" t="str">
            <v>Western Africa</v>
          </cell>
        </row>
        <row r="24">
          <cell r="B24" t="str">
            <v>Burundi</v>
          </cell>
          <cell r="D24" t="str">
            <v>Eastern Africa</v>
          </cell>
        </row>
        <row r="25">
          <cell r="B25" t="str">
            <v>Cambodia</v>
          </cell>
          <cell r="D25" t="str">
            <v>Southeastern Asia</v>
          </cell>
        </row>
        <row r="26">
          <cell r="B26" t="str">
            <v>Cameroon</v>
          </cell>
          <cell r="D26" t="str">
            <v>Western Africa</v>
          </cell>
        </row>
        <row r="27">
          <cell r="B27" t="str">
            <v>Canada</v>
          </cell>
          <cell r="D27" t="str">
            <v>Canada</v>
          </cell>
        </row>
        <row r="28">
          <cell r="B28" t="str">
            <v>Cape Verde</v>
          </cell>
          <cell r="D28" t="str">
            <v>Western Africa</v>
          </cell>
        </row>
        <row r="29">
          <cell r="B29" t="str">
            <v>Central African Republic</v>
          </cell>
          <cell r="D29" t="str">
            <v>Western Africa</v>
          </cell>
        </row>
        <row r="30">
          <cell r="B30" t="str">
            <v>Chad</v>
          </cell>
          <cell r="D30" t="str">
            <v>Western Africa</v>
          </cell>
        </row>
        <row r="31">
          <cell r="B31" t="str">
            <v>Chile</v>
          </cell>
          <cell r="D31" t="str">
            <v>Rest of South America</v>
          </cell>
        </row>
        <row r="32">
          <cell r="B32" t="str">
            <v>China</v>
          </cell>
          <cell r="D32" t="str">
            <v>China region</v>
          </cell>
        </row>
        <row r="33">
          <cell r="B33" t="str">
            <v>Colombia</v>
          </cell>
          <cell r="D33" t="str">
            <v>Rest of South America</v>
          </cell>
        </row>
        <row r="34">
          <cell r="B34" t="str">
            <v>Congo Brazzaville</v>
          </cell>
          <cell r="D34" t="str">
            <v>Western Africa</v>
          </cell>
        </row>
        <row r="35">
          <cell r="B35" t="str">
            <v>Costa Rica</v>
          </cell>
          <cell r="D35" t="str">
            <v>Central America</v>
          </cell>
        </row>
        <row r="36">
          <cell r="B36" t="str">
            <v>Croatia</v>
          </cell>
          <cell r="D36" t="str">
            <v>Central Europe</v>
          </cell>
        </row>
        <row r="37">
          <cell r="B37" t="str">
            <v>Cuba</v>
          </cell>
          <cell r="D37" t="str">
            <v>Central America</v>
          </cell>
        </row>
        <row r="38">
          <cell r="B38" t="str">
            <v>Cyprus</v>
          </cell>
          <cell r="D38" t="str">
            <v>Central Europe</v>
          </cell>
        </row>
        <row r="39">
          <cell r="B39" t="str">
            <v>Denmark</v>
          </cell>
          <cell r="D39" t="str">
            <v>Western Europe</v>
          </cell>
        </row>
        <row r="40">
          <cell r="B40" t="str">
            <v>Djibouti</v>
          </cell>
          <cell r="D40" t="str">
            <v>Eastern Africa</v>
          </cell>
        </row>
        <row r="41">
          <cell r="B41" t="str">
            <v>DominicanRepublic</v>
          </cell>
          <cell r="D41" t="str">
            <v>Central America</v>
          </cell>
        </row>
        <row r="42">
          <cell r="B42" t="str">
            <v>Ecuador</v>
          </cell>
          <cell r="D42" t="str">
            <v>Rest of South America</v>
          </cell>
        </row>
        <row r="43">
          <cell r="B43" t="str">
            <v>Egypt</v>
          </cell>
          <cell r="D43" t="str">
            <v>Northern Africa</v>
          </cell>
        </row>
        <row r="44">
          <cell r="B44" t="str">
            <v>El Salvador</v>
          </cell>
          <cell r="D44" t="str">
            <v>Central America</v>
          </cell>
        </row>
        <row r="45">
          <cell r="B45" t="str">
            <v>Equatorial Guinea</v>
          </cell>
          <cell r="D45" t="str">
            <v>Western Africa</v>
          </cell>
        </row>
        <row r="46">
          <cell r="B46" t="str">
            <v>Eritrea</v>
          </cell>
          <cell r="D46" t="str">
            <v>Eastern Africa</v>
          </cell>
        </row>
        <row r="47">
          <cell r="B47" t="str">
            <v>Estonia</v>
          </cell>
          <cell r="D47" t="str">
            <v>Central Europe</v>
          </cell>
        </row>
        <row r="48">
          <cell r="B48" t="str">
            <v>Ethiopia</v>
          </cell>
          <cell r="D48" t="str">
            <v>Eastern Africa</v>
          </cell>
        </row>
        <row r="49">
          <cell r="B49" t="str">
            <v>Fiji</v>
          </cell>
          <cell r="D49" t="str">
            <v>Oceania</v>
          </cell>
        </row>
        <row r="50">
          <cell r="B50" t="str">
            <v>Finland</v>
          </cell>
          <cell r="D50" t="str">
            <v>Western Europe</v>
          </cell>
        </row>
        <row r="51">
          <cell r="B51" t="str">
            <v>France</v>
          </cell>
          <cell r="D51" t="str">
            <v>Western Europe</v>
          </cell>
        </row>
        <row r="52">
          <cell r="B52" t="str">
            <v>Gabon</v>
          </cell>
          <cell r="D52" t="str">
            <v>Western Africa</v>
          </cell>
        </row>
        <row r="53">
          <cell r="B53" t="str">
            <v>Gambia</v>
          </cell>
          <cell r="D53" t="str">
            <v>Western Africa</v>
          </cell>
        </row>
        <row r="54">
          <cell r="B54" t="str">
            <v>Georgia</v>
          </cell>
          <cell r="D54" t="str">
            <v>Russia region</v>
          </cell>
        </row>
        <row r="55">
          <cell r="B55" t="str">
            <v>Germany</v>
          </cell>
          <cell r="D55" t="str">
            <v>Western Europe</v>
          </cell>
        </row>
        <row r="56">
          <cell r="B56" t="str">
            <v>Ghana</v>
          </cell>
          <cell r="D56" t="str">
            <v>Western Africa</v>
          </cell>
        </row>
        <row r="57">
          <cell r="B57" t="str">
            <v>Greece</v>
          </cell>
          <cell r="D57" t="str">
            <v>Western Europe</v>
          </cell>
        </row>
        <row r="58">
          <cell r="B58" t="str">
            <v>Guatemala</v>
          </cell>
          <cell r="D58" t="str">
            <v>Central America</v>
          </cell>
        </row>
        <row r="59">
          <cell r="B59" t="str">
            <v>Guinea</v>
          </cell>
          <cell r="D59" t="str">
            <v>Western Africa</v>
          </cell>
        </row>
        <row r="60">
          <cell r="B60" t="str">
            <v>Guinea-Bissau</v>
          </cell>
          <cell r="D60" t="str">
            <v>Western Africa</v>
          </cell>
        </row>
        <row r="61">
          <cell r="B61" t="str">
            <v>Guyana</v>
          </cell>
          <cell r="D61" t="str">
            <v>Brazil</v>
          </cell>
        </row>
        <row r="62">
          <cell r="B62" t="str">
            <v>Haiti</v>
          </cell>
          <cell r="D62" t="str">
            <v>Central America</v>
          </cell>
        </row>
        <row r="63">
          <cell r="B63" t="str">
            <v>Honduras</v>
          </cell>
          <cell r="D63" t="str">
            <v>Central America</v>
          </cell>
        </row>
        <row r="64">
          <cell r="B64" t="str">
            <v>Hungary</v>
          </cell>
          <cell r="D64" t="str">
            <v>Central Europe</v>
          </cell>
        </row>
        <row r="65">
          <cell r="B65" t="str">
            <v>Iceland</v>
          </cell>
          <cell r="D65" t="str">
            <v>Western Europe</v>
          </cell>
        </row>
        <row r="66">
          <cell r="B66" t="str">
            <v>India</v>
          </cell>
          <cell r="D66" t="str">
            <v>India</v>
          </cell>
        </row>
        <row r="67">
          <cell r="B67" t="str">
            <v>Indonesia</v>
          </cell>
          <cell r="D67" t="str">
            <v>Indonesia region</v>
          </cell>
        </row>
        <row r="68">
          <cell r="B68" t="str">
            <v>Iran</v>
          </cell>
          <cell r="D68" t="str">
            <v>Middle East</v>
          </cell>
        </row>
        <row r="69">
          <cell r="B69" t="str">
            <v>Iraq</v>
          </cell>
          <cell r="D69" t="str">
            <v>Middle East</v>
          </cell>
        </row>
        <row r="70">
          <cell r="B70" t="str">
            <v>Ireland</v>
          </cell>
          <cell r="D70" t="str">
            <v>Western Europe</v>
          </cell>
        </row>
        <row r="71">
          <cell r="B71" t="str">
            <v>Israel</v>
          </cell>
          <cell r="D71" t="str">
            <v>Middle East</v>
          </cell>
        </row>
        <row r="72">
          <cell r="B72" t="str">
            <v>Italy</v>
          </cell>
          <cell r="D72" t="str">
            <v>Western Europe</v>
          </cell>
        </row>
        <row r="73">
          <cell r="B73" t="str">
            <v>Jamaica</v>
          </cell>
          <cell r="D73" t="str">
            <v>Central America</v>
          </cell>
        </row>
        <row r="74">
          <cell r="B74" t="str">
            <v>Japan</v>
          </cell>
          <cell r="D74" t="str">
            <v>Japan</v>
          </cell>
        </row>
        <row r="75">
          <cell r="B75" t="str">
            <v>Jordan</v>
          </cell>
          <cell r="D75" t="str">
            <v>Middle East</v>
          </cell>
        </row>
        <row r="76">
          <cell r="B76" t="str">
            <v>Kazakhstan</v>
          </cell>
          <cell r="D76" t="str">
            <v>Central Asia</v>
          </cell>
        </row>
        <row r="77">
          <cell r="B77" t="str">
            <v>Kenya</v>
          </cell>
          <cell r="D77" t="str">
            <v>Eastern Africa</v>
          </cell>
        </row>
        <row r="78">
          <cell r="B78" t="str">
            <v>Kosovo</v>
          </cell>
          <cell r="D78" t="str">
            <v>Central Europe</v>
          </cell>
        </row>
        <row r="79">
          <cell r="B79" t="str">
            <v>Kuwait</v>
          </cell>
          <cell r="D79" t="str">
            <v>Middle East</v>
          </cell>
        </row>
        <row r="80">
          <cell r="B80" t="str">
            <v>Kyrgyzstan</v>
          </cell>
          <cell r="D80" t="str">
            <v>Central Asia</v>
          </cell>
        </row>
        <row r="81">
          <cell r="B81" t="str">
            <v>Laos</v>
          </cell>
          <cell r="D81" t="str">
            <v>Southeastern Asia</v>
          </cell>
        </row>
        <row r="82">
          <cell r="B82" t="str">
            <v>Latvia</v>
          </cell>
          <cell r="D82" t="str">
            <v>Central Europe</v>
          </cell>
        </row>
        <row r="83">
          <cell r="B83" t="str">
            <v>Lebanon</v>
          </cell>
          <cell r="D83" t="str">
            <v>Middle East</v>
          </cell>
        </row>
        <row r="84">
          <cell r="B84" t="str">
            <v>Lesotho</v>
          </cell>
          <cell r="D84" t="str">
            <v>Rest of Southern Africa</v>
          </cell>
        </row>
        <row r="85">
          <cell r="B85" t="str">
            <v>Liberia</v>
          </cell>
          <cell r="D85" t="str">
            <v>Western Africa</v>
          </cell>
        </row>
        <row r="86">
          <cell r="B86" t="str">
            <v>Libya</v>
          </cell>
          <cell r="D86" t="str">
            <v>Northern Africa</v>
          </cell>
        </row>
        <row r="87">
          <cell r="B87" t="str">
            <v>Lithuania</v>
          </cell>
          <cell r="D87" t="str">
            <v>Central Europe</v>
          </cell>
        </row>
        <row r="88">
          <cell r="B88" t="str">
            <v>Luxembourg</v>
          </cell>
          <cell r="D88" t="str">
            <v>Western Europe</v>
          </cell>
        </row>
        <row r="89">
          <cell r="B89" t="str">
            <v>Macedonia</v>
          </cell>
          <cell r="D89" t="str">
            <v>Central Europe</v>
          </cell>
        </row>
        <row r="90">
          <cell r="B90" t="str">
            <v>Madagascar</v>
          </cell>
          <cell r="D90" t="str">
            <v>Eastern Africa</v>
          </cell>
        </row>
        <row r="91">
          <cell r="B91" t="str">
            <v>Malawi</v>
          </cell>
          <cell r="D91" t="str">
            <v>Rest of Southern Africa</v>
          </cell>
        </row>
        <row r="92">
          <cell r="B92" t="str">
            <v>Malaysia</v>
          </cell>
          <cell r="D92" t="str">
            <v>Southeastern Asia</v>
          </cell>
        </row>
        <row r="93">
          <cell r="B93" t="str">
            <v>Mali</v>
          </cell>
          <cell r="D93" t="str">
            <v>Western Africa</v>
          </cell>
        </row>
        <row r="94">
          <cell r="B94" t="str">
            <v>Malta</v>
          </cell>
          <cell r="D94" t="str">
            <v>Western Europe</v>
          </cell>
        </row>
        <row r="95">
          <cell r="B95" t="str">
            <v>Mauritania</v>
          </cell>
          <cell r="D95" t="str">
            <v>Western Africa</v>
          </cell>
        </row>
        <row r="96">
          <cell r="B96" t="str">
            <v>Mauritius</v>
          </cell>
          <cell r="D96" t="str">
            <v>Eastern Africa</v>
          </cell>
        </row>
        <row r="97">
          <cell r="B97" t="str">
            <v>Mexico</v>
          </cell>
          <cell r="D97" t="str">
            <v>Mexico</v>
          </cell>
        </row>
        <row r="98">
          <cell r="B98" t="str">
            <v>Moldova</v>
          </cell>
          <cell r="D98" t="str">
            <v>Ukraine region</v>
          </cell>
        </row>
        <row r="99">
          <cell r="B99" t="str">
            <v>Mongolia</v>
          </cell>
          <cell r="D99" t="str">
            <v>China region</v>
          </cell>
        </row>
        <row r="100">
          <cell r="B100" t="str">
            <v>Montenegro</v>
          </cell>
          <cell r="D100" t="str">
            <v>Central Europe</v>
          </cell>
        </row>
        <row r="101">
          <cell r="B101" t="str">
            <v>Morocco</v>
          </cell>
          <cell r="D101" t="str">
            <v>Northern Africa</v>
          </cell>
        </row>
        <row r="102">
          <cell r="B102" t="str">
            <v>Mozambique</v>
          </cell>
          <cell r="D102" t="str">
            <v>Rest of Southern Africa</v>
          </cell>
        </row>
        <row r="103">
          <cell r="B103" t="str">
            <v>Myanmar</v>
          </cell>
          <cell r="D103" t="str">
            <v>Southeastern Asia</v>
          </cell>
        </row>
        <row r="104">
          <cell r="B104" t="str">
            <v>Namibia</v>
          </cell>
          <cell r="D104" t="str">
            <v>Rest of Southern Africa</v>
          </cell>
        </row>
        <row r="105">
          <cell r="B105" t="str">
            <v>Nepal</v>
          </cell>
          <cell r="D105" t="str">
            <v>Rest of South Asia</v>
          </cell>
        </row>
        <row r="106">
          <cell r="B106" t="str">
            <v>Netherlands</v>
          </cell>
          <cell r="D106" t="str">
            <v>Western Europe</v>
          </cell>
        </row>
        <row r="107">
          <cell r="B107" t="str">
            <v>New Caledonia</v>
          </cell>
          <cell r="D107" t="str">
            <v>Oceania</v>
          </cell>
        </row>
        <row r="108">
          <cell r="B108" t="str">
            <v>New Zealand</v>
          </cell>
          <cell r="D108" t="str">
            <v>Oceania</v>
          </cell>
        </row>
        <row r="109">
          <cell r="B109" t="str">
            <v>Nicaragua</v>
          </cell>
          <cell r="D109" t="str">
            <v>Central America</v>
          </cell>
        </row>
        <row r="110">
          <cell r="B110" t="str">
            <v>Niger</v>
          </cell>
          <cell r="D110" t="str">
            <v>Western Africa</v>
          </cell>
        </row>
        <row r="111">
          <cell r="B111" t="str">
            <v>Nigeria</v>
          </cell>
          <cell r="D111" t="str">
            <v>Western Africa</v>
          </cell>
        </row>
        <row r="112">
          <cell r="B112" t="str">
            <v>North Korea</v>
          </cell>
          <cell r="D112" t="str">
            <v>Korea region</v>
          </cell>
        </row>
        <row r="113">
          <cell r="B113" t="str">
            <v>Norway</v>
          </cell>
          <cell r="D113" t="str">
            <v>Western Europe</v>
          </cell>
        </row>
        <row r="114">
          <cell r="B114" t="str">
            <v>Oman</v>
          </cell>
          <cell r="D114" t="str">
            <v>Middle East</v>
          </cell>
        </row>
        <row r="115">
          <cell r="B115" t="str">
            <v>Pakistan</v>
          </cell>
          <cell r="D115" t="str">
            <v>Rest of South Asia</v>
          </cell>
        </row>
        <row r="116">
          <cell r="B116" t="str">
            <v>Palestine</v>
          </cell>
          <cell r="D116" t="str">
            <v>Middle East</v>
          </cell>
        </row>
        <row r="117">
          <cell r="B117" t="str">
            <v>Panama</v>
          </cell>
          <cell r="D117" t="str">
            <v>Central America</v>
          </cell>
        </row>
        <row r="118">
          <cell r="B118" t="str">
            <v>Papua New Guinea</v>
          </cell>
          <cell r="D118" t="str">
            <v>Oceania</v>
          </cell>
        </row>
        <row r="119">
          <cell r="B119" t="str">
            <v>Paraguay</v>
          </cell>
          <cell r="D119" t="str">
            <v>Rest of South America</v>
          </cell>
        </row>
        <row r="120">
          <cell r="B120" t="str">
            <v>Peru</v>
          </cell>
          <cell r="D120" t="str">
            <v>Rest of South America</v>
          </cell>
        </row>
        <row r="121">
          <cell r="B121" t="str">
            <v>Philippines</v>
          </cell>
          <cell r="D121" t="str">
            <v>Southeastern Asia</v>
          </cell>
        </row>
        <row r="122">
          <cell r="B122" t="str">
            <v>Poland</v>
          </cell>
          <cell r="D122" t="str">
            <v>Central Europe</v>
          </cell>
        </row>
        <row r="123">
          <cell r="B123" t="str">
            <v>Portugal</v>
          </cell>
          <cell r="D123" t="str">
            <v>Western Europe</v>
          </cell>
        </row>
        <row r="124">
          <cell r="B124" t="str">
            <v>Qatar</v>
          </cell>
          <cell r="D124" t="str">
            <v>Middle East</v>
          </cell>
        </row>
        <row r="125">
          <cell r="B125" t="str">
            <v>Romania</v>
          </cell>
          <cell r="D125" t="str">
            <v>Central Europe</v>
          </cell>
        </row>
        <row r="126">
          <cell r="B126" t="str">
            <v>Russia</v>
          </cell>
          <cell r="D126" t="str">
            <v>Russia region</v>
          </cell>
        </row>
        <row r="127">
          <cell r="B127" t="str">
            <v>Rwanda</v>
          </cell>
          <cell r="D127" t="str">
            <v>Eastern Africa</v>
          </cell>
        </row>
        <row r="128">
          <cell r="B128" t="str">
            <v>Sao Tome and Principe</v>
          </cell>
          <cell r="D128" t="str">
            <v>Western Africa</v>
          </cell>
        </row>
        <row r="129">
          <cell r="B129" t="str">
            <v>Saudi Arabia</v>
          </cell>
          <cell r="D129" t="str">
            <v>Middle East</v>
          </cell>
        </row>
        <row r="130">
          <cell r="B130" t="str">
            <v>Senegal</v>
          </cell>
          <cell r="D130" t="str">
            <v>Western Africa</v>
          </cell>
        </row>
        <row r="131">
          <cell r="B131" t="str">
            <v>Serbia</v>
          </cell>
          <cell r="D131" t="str">
            <v>Central Europe</v>
          </cell>
        </row>
        <row r="132">
          <cell r="B132" t="str">
            <v>Sierra Leone</v>
          </cell>
          <cell r="D132" t="str">
            <v>Western Africa</v>
          </cell>
        </row>
        <row r="133">
          <cell r="B133" t="str">
            <v>Singapore</v>
          </cell>
          <cell r="D133" t="str">
            <v>Southeastern Asia</v>
          </cell>
        </row>
        <row r="134">
          <cell r="B134" t="str">
            <v>Slovakia</v>
          </cell>
          <cell r="D134" t="str">
            <v>Central Europe</v>
          </cell>
        </row>
        <row r="135">
          <cell r="B135" t="str">
            <v>Slovenia</v>
          </cell>
          <cell r="D135" t="str">
            <v>Central Europe</v>
          </cell>
        </row>
        <row r="136">
          <cell r="B136" t="str">
            <v>Somalia</v>
          </cell>
          <cell r="D136" t="str">
            <v>Eastern Africa</v>
          </cell>
        </row>
        <row r="137">
          <cell r="B137" t="str">
            <v>South Africa</v>
          </cell>
          <cell r="D137" t="str">
            <v>South Africa</v>
          </cell>
        </row>
        <row r="138">
          <cell r="B138" t="str">
            <v>South Korea</v>
          </cell>
          <cell r="D138" t="str">
            <v>Korea region</v>
          </cell>
        </row>
        <row r="139">
          <cell r="B139" t="str">
            <v>South Sudan</v>
          </cell>
          <cell r="D139" t="str">
            <v>Eastern Africa</v>
          </cell>
        </row>
        <row r="140">
          <cell r="B140" t="str">
            <v>Spain</v>
          </cell>
          <cell r="D140" t="str">
            <v>Western Europe</v>
          </cell>
        </row>
        <row r="141">
          <cell r="B141" t="str">
            <v>Sri Lanka</v>
          </cell>
          <cell r="D141" t="str">
            <v>Rest of South Asia</v>
          </cell>
        </row>
        <row r="142">
          <cell r="B142" t="str">
            <v>Sudan</v>
          </cell>
          <cell r="D142" t="str">
            <v>Eastern Africa</v>
          </cell>
        </row>
        <row r="143">
          <cell r="B143" t="str">
            <v>Suriname</v>
          </cell>
          <cell r="D143" t="str">
            <v>Rest of South America</v>
          </cell>
        </row>
        <row r="144">
          <cell r="B144" t="str">
            <v>Swaziland</v>
          </cell>
          <cell r="D144" t="str">
            <v>Rest of Southern Africa</v>
          </cell>
        </row>
        <row r="145">
          <cell r="B145" t="str">
            <v>Sweden</v>
          </cell>
          <cell r="D145" t="str">
            <v>Western Europe</v>
          </cell>
        </row>
        <row r="146">
          <cell r="B146" t="str">
            <v>Switzerland</v>
          </cell>
          <cell r="D146" t="str">
            <v>Western Europe</v>
          </cell>
        </row>
        <row r="147">
          <cell r="B147" t="str">
            <v>Syria</v>
          </cell>
          <cell r="D147" t="str">
            <v>Middle East</v>
          </cell>
        </row>
        <row r="148">
          <cell r="B148" t="str">
            <v>Taiwan</v>
          </cell>
          <cell r="D148" t="str">
            <v>China region</v>
          </cell>
        </row>
        <row r="149">
          <cell r="B149" t="str">
            <v>Tajikistan</v>
          </cell>
          <cell r="D149" t="str">
            <v>Central Asia</v>
          </cell>
        </row>
        <row r="150">
          <cell r="B150" t="str">
            <v>Tanzania</v>
          </cell>
          <cell r="D150" t="str">
            <v>Rest of Southern Africa</v>
          </cell>
        </row>
        <row r="151">
          <cell r="B151" t="str">
            <v>Thailand</v>
          </cell>
          <cell r="D151" t="str">
            <v>Southeastern Asia</v>
          </cell>
        </row>
        <row r="152">
          <cell r="B152" t="str">
            <v>Timor-Leste</v>
          </cell>
          <cell r="D152" t="str">
            <v>Indonesia region</v>
          </cell>
        </row>
        <row r="153">
          <cell r="B153" t="str">
            <v>Togo</v>
          </cell>
          <cell r="D153" t="str">
            <v>Western Africa</v>
          </cell>
        </row>
        <row r="154">
          <cell r="B154" t="str">
            <v>Tunisia</v>
          </cell>
          <cell r="D154" t="str">
            <v>Northern Africa</v>
          </cell>
        </row>
        <row r="155">
          <cell r="B155" t="str">
            <v>Turkey</v>
          </cell>
          <cell r="D155" t="str">
            <v>Turkey</v>
          </cell>
        </row>
        <row r="156">
          <cell r="B156" t="str">
            <v>Turkmenistan</v>
          </cell>
          <cell r="D156" t="str">
            <v>Central Asia</v>
          </cell>
        </row>
        <row r="157">
          <cell r="B157" t="str">
            <v>Uganda</v>
          </cell>
          <cell r="D157" t="str">
            <v>Eastern Africa</v>
          </cell>
        </row>
        <row r="158">
          <cell r="B158" t="str">
            <v>Ukraine</v>
          </cell>
          <cell r="D158" t="str">
            <v>Ukraine region</v>
          </cell>
        </row>
        <row r="159">
          <cell r="B159" t="str">
            <v>United Arab Emirates</v>
          </cell>
          <cell r="D159" t="str">
            <v>Middle East</v>
          </cell>
        </row>
        <row r="160">
          <cell r="B160" t="str">
            <v>United States</v>
          </cell>
          <cell r="D160" t="str">
            <v>USA</v>
          </cell>
        </row>
        <row r="161">
          <cell r="B161" t="str">
            <v>Uruguay</v>
          </cell>
          <cell r="D161" t="str">
            <v>Rest of South America</v>
          </cell>
        </row>
        <row r="162">
          <cell r="B162" t="str">
            <v>Uzbekistan</v>
          </cell>
          <cell r="D162" t="str">
            <v>Central Asia</v>
          </cell>
        </row>
        <row r="163">
          <cell r="B163" t="str">
            <v>Venezuela</v>
          </cell>
          <cell r="D163" t="str">
            <v>Rest of South America</v>
          </cell>
        </row>
        <row r="164">
          <cell r="B164" t="str">
            <v>Vietnam</v>
          </cell>
          <cell r="D164" t="str">
            <v>Southeastern Asia</v>
          </cell>
        </row>
        <row r="165">
          <cell r="B165" t="str">
            <v>Yemen</v>
          </cell>
          <cell r="D165" t="str">
            <v>Middle East</v>
          </cell>
        </row>
        <row r="166">
          <cell r="B166" t="str">
            <v>Zambia</v>
          </cell>
          <cell r="D166" t="str">
            <v>Rest of Southern Africa</v>
          </cell>
        </row>
        <row r="167">
          <cell r="B167" t="str">
            <v>Zimbabwe</v>
          </cell>
          <cell r="D167" t="str">
            <v>Rest of Southern Africa</v>
          </cell>
        </row>
        <row r="168">
          <cell r="B168" t="str">
            <v>bosnia-herzegovina</v>
          </cell>
          <cell r="D168" t="str">
            <v>Central Europe</v>
          </cell>
        </row>
        <row r="169">
          <cell r="B169" t="str">
            <v>congo democratic republic</v>
          </cell>
          <cell r="D169" t="str">
            <v>Western Africa</v>
          </cell>
        </row>
        <row r="170">
          <cell r="B170" t="str">
            <v>czech-republic</v>
          </cell>
          <cell r="D170" t="str">
            <v>Central Europe</v>
          </cell>
        </row>
        <row r="171">
          <cell r="B171" t="str">
            <v>ivory coast</v>
          </cell>
          <cell r="D171" t="str">
            <v>Western Africa</v>
          </cell>
        </row>
        <row r="172">
          <cell r="B172" t="str">
            <v>united-kingdom</v>
          </cell>
          <cell r="D172" t="str">
            <v>Western Europe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E2" t="str">
            <v/>
          </cell>
          <cell r="F2" t="str">
            <v/>
          </cell>
          <cell r="G2">
            <v>2.1167699999999998</v>
          </cell>
          <cell r="H2">
            <v>2.88042</v>
          </cell>
          <cell r="I2">
            <v>3.4746299999999999</v>
          </cell>
          <cell r="J2">
            <v>3.8749700000000002</v>
          </cell>
          <cell r="K2">
            <v>3.5345200000000001</v>
          </cell>
          <cell r="L2">
            <v>3.98373</v>
          </cell>
          <cell r="M2">
            <v>3.1160600000000001</v>
          </cell>
          <cell r="N2">
            <v>4.6023700000000005</v>
          </cell>
          <cell r="O2">
            <v>4.8872099999999996</v>
          </cell>
          <cell r="P2">
            <v>5.2640399999999996</v>
          </cell>
          <cell r="Q2">
            <v>5.6699799999999998</v>
          </cell>
          <cell r="R2">
            <v>6.1116200000000003</v>
          </cell>
          <cell r="S2">
            <v>6.6142099999999999</v>
          </cell>
          <cell r="T2">
            <v>7.1990100000000004</v>
          </cell>
          <cell r="U2">
            <v>7.8856099999999998</v>
          </cell>
          <cell r="V2">
            <v>8.651250000000001</v>
          </cell>
          <cell r="W2">
            <v>9.4570100000000004</v>
          </cell>
          <cell r="X2">
            <v>10.299899999999999</v>
          </cell>
          <cell r="Y2">
            <v>11.1774</v>
          </cell>
          <cell r="Z2">
            <v>12.0869</v>
          </cell>
          <cell r="AA2">
            <v>13.0243</v>
          </cell>
          <cell r="AB2">
            <v>13.977499999999999</v>
          </cell>
          <cell r="AC2">
            <v>14.927099999999999</v>
          </cell>
        </row>
        <row r="3">
          <cell r="E3" t="str">
            <v/>
          </cell>
          <cell r="F3" t="str">
            <v/>
          </cell>
          <cell r="G3">
            <v>68.524299999999997</v>
          </cell>
          <cell r="H3">
            <v>58.637700000000002</v>
          </cell>
          <cell r="I3">
            <v>77.118200000000002</v>
          </cell>
          <cell r="J3">
            <v>120.066</v>
          </cell>
          <cell r="K3">
            <v>179.52</v>
          </cell>
          <cell r="L3">
            <v>223.90799999999999</v>
          </cell>
          <cell r="M3">
            <v>201.39500000000001</v>
          </cell>
          <cell r="N3">
            <v>227.03700000000001</v>
          </cell>
          <cell r="O3">
            <v>272.642</v>
          </cell>
          <cell r="P3">
            <v>333.20400000000001</v>
          </cell>
          <cell r="Q3">
            <v>409.34699999999998</v>
          </cell>
          <cell r="R3">
            <v>509.50200000000001</v>
          </cell>
          <cell r="S3">
            <v>640.197</v>
          </cell>
          <cell r="T3">
            <v>807.41600000000005</v>
          </cell>
          <cell r="U3">
            <v>1016.67</v>
          </cell>
          <cell r="V3">
            <v>1273.2</v>
          </cell>
          <cell r="W3">
            <v>1579.21</v>
          </cell>
          <cell r="X3">
            <v>1938.89</v>
          </cell>
          <cell r="Y3">
            <v>2352.48</v>
          </cell>
          <cell r="Z3">
            <v>2820.55</v>
          </cell>
          <cell r="AA3">
            <v>3344.4</v>
          </cell>
          <cell r="AB3">
            <v>3921.2</v>
          </cell>
          <cell r="AC3">
            <v>4546.47</v>
          </cell>
        </row>
        <row r="4">
          <cell r="E4">
            <v>14.8499</v>
          </cell>
          <cell r="F4">
            <v>16.405999999999999</v>
          </cell>
          <cell r="G4">
            <v>16.7455</v>
          </cell>
          <cell r="H4">
            <v>14.609500000000001</v>
          </cell>
          <cell r="I4">
            <v>18.654699999999998</v>
          </cell>
          <cell r="J4">
            <v>24.814399999999999</v>
          </cell>
          <cell r="K4">
            <v>32.091700000000003</v>
          </cell>
          <cell r="L4">
            <v>35.068899999999999</v>
          </cell>
          <cell r="M4">
            <v>38.618600000000001</v>
          </cell>
          <cell r="N4">
            <v>48.827100000000002</v>
          </cell>
          <cell r="O4">
            <v>57.907899999999998</v>
          </cell>
          <cell r="P4">
            <v>66.504800000000003</v>
          </cell>
          <cell r="Q4">
            <v>74.317300000000003</v>
          </cell>
          <cell r="R4">
            <v>81.192400000000006</v>
          </cell>
          <cell r="S4">
            <v>86.926299999999998</v>
          </cell>
          <cell r="T4">
            <v>91.855000000000004</v>
          </cell>
          <cell r="U4">
            <v>96.359499999999997</v>
          </cell>
          <cell r="V4">
            <v>101.01</v>
          </cell>
          <cell r="W4">
            <v>105.82299999999999</v>
          </cell>
          <cell r="X4">
            <v>110.07899999999999</v>
          </cell>
          <cell r="Y4">
            <v>113.685</v>
          </cell>
          <cell r="Z4">
            <v>116.718</v>
          </cell>
          <cell r="AA4">
            <v>119.398</v>
          </cell>
          <cell r="AB4">
            <v>122.001</v>
          </cell>
          <cell r="AC4">
            <v>124.874</v>
          </cell>
        </row>
        <row r="5">
          <cell r="E5">
            <v>169.91200000000001</v>
          </cell>
          <cell r="F5">
            <v>164.34200000000001</v>
          </cell>
          <cell r="G5">
            <v>194.55</v>
          </cell>
          <cell r="H5">
            <v>235.524</v>
          </cell>
          <cell r="I5">
            <v>317.06900000000002</v>
          </cell>
          <cell r="J5">
            <v>411.65</v>
          </cell>
          <cell r="K5">
            <v>480.29399999999998</v>
          </cell>
          <cell r="L5">
            <v>607.03399999999999</v>
          </cell>
          <cell r="M5">
            <v>628.45500000000004</v>
          </cell>
          <cell r="N5">
            <v>792.17399999999998</v>
          </cell>
          <cell r="O5">
            <v>981.529</v>
          </cell>
          <cell r="P5">
            <v>1159.06</v>
          </cell>
          <cell r="Q5">
            <v>1293.92</v>
          </cell>
          <cell r="R5">
            <v>1394.2</v>
          </cell>
          <cell r="S5">
            <v>1464.83</v>
          </cell>
          <cell r="T5">
            <v>1515.66</v>
          </cell>
          <cell r="U5">
            <v>1555.92</v>
          </cell>
          <cell r="V5">
            <v>1582.25</v>
          </cell>
          <cell r="W5">
            <v>1588.48</v>
          </cell>
          <cell r="X5">
            <v>1574.13</v>
          </cell>
          <cell r="Y5">
            <v>1548.95</v>
          </cell>
          <cell r="Z5">
            <v>1519.08</v>
          </cell>
          <cell r="AA5">
            <v>1491.2</v>
          </cell>
          <cell r="AB5">
            <v>1470.26</v>
          </cell>
          <cell r="AC5">
            <v>1456.19</v>
          </cell>
        </row>
        <row r="6">
          <cell r="E6">
            <v>513.07000000000005</v>
          </cell>
          <cell r="F6">
            <v>461.13</v>
          </cell>
          <cell r="G6">
            <v>461.3</v>
          </cell>
          <cell r="H6">
            <v>604.596</v>
          </cell>
          <cell r="I6">
            <v>576.77</v>
          </cell>
          <cell r="J6">
            <v>634.572</v>
          </cell>
          <cell r="K6">
            <v>805.77800000000002</v>
          </cell>
          <cell r="L6">
            <v>867.02099999999996</v>
          </cell>
          <cell r="M6">
            <v>750.58</v>
          </cell>
          <cell r="N6">
            <v>861.74099999999999</v>
          </cell>
          <cell r="O6">
            <v>975.36199999999997</v>
          </cell>
          <cell r="P6">
            <v>1085.51</v>
          </cell>
          <cell r="Q6">
            <v>1209.8699999999999</v>
          </cell>
          <cell r="R6">
            <v>1353.56</v>
          </cell>
          <cell r="S6">
            <v>1519.17</v>
          </cell>
          <cell r="T6">
            <v>1706.25</v>
          </cell>
          <cell r="U6">
            <v>1910.46</v>
          </cell>
          <cell r="V6">
            <v>2131.7600000000002</v>
          </cell>
          <cell r="W6">
            <v>2366.65</v>
          </cell>
          <cell r="X6">
            <v>2610.15</v>
          </cell>
          <cell r="Y6">
            <v>2860.38</v>
          </cell>
          <cell r="Z6">
            <v>3117.32</v>
          </cell>
          <cell r="AA6">
            <v>3380.94</v>
          </cell>
          <cell r="AB6">
            <v>3649.56</v>
          </cell>
          <cell r="AC6">
            <v>3921</v>
          </cell>
        </row>
        <row r="7">
          <cell r="E7" t="str">
            <v/>
          </cell>
          <cell r="F7" t="str">
            <v/>
          </cell>
          <cell r="G7">
            <v>18.3279</v>
          </cell>
          <cell r="H7">
            <v>9.6871299999999998</v>
          </cell>
          <cell r="I7">
            <v>12.224299999999999</v>
          </cell>
          <cell r="J7">
            <v>22.088799999999999</v>
          </cell>
          <cell r="K7">
            <v>26.688400000000001</v>
          </cell>
          <cell r="L7">
            <v>33.117800000000003</v>
          </cell>
          <cell r="M7">
            <v>37.516599999999997</v>
          </cell>
          <cell r="N7">
            <v>52.433799999999998</v>
          </cell>
          <cell r="O7">
            <v>65.488200000000006</v>
          </cell>
          <cell r="P7">
            <v>78.806899999999999</v>
          </cell>
          <cell r="Q7">
            <v>90.628699999999995</v>
          </cell>
          <cell r="R7">
            <v>100.616</v>
          </cell>
          <cell r="S7">
            <v>109.199</v>
          </cell>
          <cell r="T7">
            <v>117.236</v>
          </cell>
          <cell r="U7">
            <v>125.578</v>
          </cell>
          <cell r="V7">
            <v>134.631</v>
          </cell>
          <cell r="W7">
            <v>143.34399999999999</v>
          </cell>
          <cell r="X7">
            <v>150.636</v>
          </cell>
          <cell r="Y7">
            <v>157.375</v>
          </cell>
          <cell r="Z7">
            <v>164.102</v>
          </cell>
          <cell r="AA7">
            <v>171.40899999999999</v>
          </cell>
          <cell r="AB7">
            <v>179.59100000000001</v>
          </cell>
          <cell r="AC7">
            <v>188.59800000000001</v>
          </cell>
        </row>
        <row r="8">
          <cell r="E8">
            <v>0.54986000000000002</v>
          </cell>
          <cell r="F8">
            <v>0.71291099999999996</v>
          </cell>
          <cell r="G8">
            <v>0.96673699999999996</v>
          </cell>
          <cell r="H8">
            <v>1.0731200000000001</v>
          </cell>
          <cell r="I8">
            <v>1.39171</v>
          </cell>
          <cell r="J8">
            <v>1.6033300000000001</v>
          </cell>
          <cell r="K8">
            <v>1.6027499999999999</v>
          </cell>
          <cell r="L8">
            <v>1.7397800000000001</v>
          </cell>
          <cell r="M8">
            <v>1.7409400000000002</v>
          </cell>
          <cell r="N8">
            <v>2.3330000000000002</v>
          </cell>
          <cell r="O8">
            <v>2.6902600000000003</v>
          </cell>
          <cell r="P8">
            <v>3.0939700000000001</v>
          </cell>
          <cell r="Q8">
            <v>3.52088</v>
          </cell>
          <cell r="R8">
            <v>3.98645</v>
          </cell>
          <cell r="S8">
            <v>4.4974400000000001</v>
          </cell>
          <cell r="T8">
            <v>5.0632999999999999</v>
          </cell>
          <cell r="U8">
            <v>5.6971299999999996</v>
          </cell>
          <cell r="V8">
            <v>6.40428</v>
          </cell>
          <cell r="W8">
            <v>7.15754</v>
          </cell>
          <cell r="X8">
            <v>7.9516299999999998</v>
          </cell>
          <cell r="Y8">
            <v>8.7724899999999995</v>
          </cell>
          <cell r="Z8">
            <v>9.6136099999999995</v>
          </cell>
          <cell r="AA8">
            <v>10.4688</v>
          </cell>
          <cell r="AB8">
            <v>11.3283</v>
          </cell>
          <cell r="AC8">
            <v>12.178000000000001</v>
          </cell>
        </row>
        <row r="9">
          <cell r="E9">
            <v>390.08699999999999</v>
          </cell>
          <cell r="F9">
            <v>452.53100000000001</v>
          </cell>
          <cell r="G9">
            <v>536.00099999999998</v>
          </cell>
          <cell r="H9">
            <v>612.702</v>
          </cell>
          <cell r="I9">
            <v>718.50099999999998</v>
          </cell>
          <cell r="J9">
            <v>848.06600000000003</v>
          </cell>
          <cell r="K9">
            <v>972.93600000000004</v>
          </cell>
          <cell r="L9">
            <v>1111.68</v>
          </cell>
          <cell r="M9">
            <v>1202.79</v>
          </cell>
          <cell r="N9">
            <v>1383.38</v>
          </cell>
          <cell r="O9">
            <v>1575.89</v>
          </cell>
          <cell r="P9">
            <v>1783.21</v>
          </cell>
          <cell r="Q9">
            <v>2006.5</v>
          </cell>
          <cell r="R9">
            <v>2247.85</v>
          </cell>
          <cell r="S9">
            <v>2498.61</v>
          </cell>
          <cell r="T9">
            <v>2753.34</v>
          </cell>
          <cell r="U9">
            <v>3017.91</v>
          </cell>
          <cell r="V9">
            <v>3291.69</v>
          </cell>
          <cell r="W9">
            <v>3566.85</v>
          </cell>
          <cell r="X9">
            <v>3837.88</v>
          </cell>
          <cell r="Y9">
            <v>4100.3900000000003</v>
          </cell>
          <cell r="Z9">
            <v>4350.8999999999996</v>
          </cell>
          <cell r="AA9">
            <v>4588.22</v>
          </cell>
          <cell r="AB9">
            <v>4812.71</v>
          </cell>
          <cell r="AC9">
            <v>5023.3999999999996</v>
          </cell>
        </row>
        <row r="10">
          <cell r="E10">
            <v>229.744</v>
          </cell>
          <cell r="F10">
            <v>247.13200000000001</v>
          </cell>
          <cell r="G10">
            <v>286.93599999999998</v>
          </cell>
          <cell r="H10">
            <v>320.26100000000002</v>
          </cell>
          <cell r="I10">
            <v>350.226</v>
          </cell>
          <cell r="J10">
            <v>382.17599999999999</v>
          </cell>
          <cell r="K10">
            <v>407.96100000000001</v>
          </cell>
          <cell r="L10">
            <v>431.00200000000001</v>
          </cell>
          <cell r="M10">
            <v>435.834</v>
          </cell>
          <cell r="N10">
            <v>485.03800000000001</v>
          </cell>
          <cell r="O10">
            <v>533.55100000000004</v>
          </cell>
          <cell r="P10">
            <v>569.96</v>
          </cell>
          <cell r="Q10">
            <v>606.28499999999997</v>
          </cell>
          <cell r="R10">
            <v>642.798</v>
          </cell>
          <cell r="S10">
            <v>677.71500000000003</v>
          </cell>
          <cell r="T10">
            <v>711.71299999999997</v>
          </cell>
          <cell r="U10">
            <v>746.36900000000003</v>
          </cell>
          <cell r="V10">
            <v>782.08</v>
          </cell>
          <cell r="W10">
            <v>817.55700000000002</v>
          </cell>
          <cell r="X10">
            <v>851.72</v>
          </cell>
          <cell r="Y10">
            <v>882.66899999999998</v>
          </cell>
          <cell r="Z10">
            <v>909.49800000000005</v>
          </cell>
          <cell r="AA10">
            <v>932.36199999999997</v>
          </cell>
          <cell r="AB10">
            <v>951.92100000000005</v>
          </cell>
          <cell r="AC10">
            <v>968.42100000000005</v>
          </cell>
        </row>
        <row r="11">
          <cell r="E11" t="str">
            <v/>
          </cell>
          <cell r="F11" t="str">
            <v/>
          </cell>
          <cell r="G11">
            <v>54.652900000000002</v>
          </cell>
          <cell r="H11">
            <v>24.019500000000001</v>
          </cell>
          <cell r="I11">
            <v>33.637799999999999</v>
          </cell>
          <cell r="J11">
            <v>59.658099999999997</v>
          </cell>
          <cell r="K11">
            <v>127.42400000000001</v>
          </cell>
          <cell r="L11">
            <v>143.33099999999999</v>
          </cell>
          <cell r="M11">
            <v>138.624</v>
          </cell>
          <cell r="N11">
            <v>164.983</v>
          </cell>
          <cell r="O11">
            <v>186.416</v>
          </cell>
          <cell r="P11">
            <v>206.376</v>
          </cell>
          <cell r="Q11">
            <v>226.48699999999999</v>
          </cell>
          <cell r="R11">
            <v>249.31700000000001</v>
          </cell>
          <cell r="S11">
            <v>276.13099999999997</v>
          </cell>
          <cell r="T11">
            <v>306.15300000000002</v>
          </cell>
          <cell r="U11">
            <v>339.55</v>
          </cell>
          <cell r="V11">
            <v>375.87400000000002</v>
          </cell>
          <cell r="W11">
            <v>414.27499999999998</v>
          </cell>
          <cell r="X11">
            <v>454.30399999999997</v>
          </cell>
          <cell r="Y11">
            <v>495.98599999999999</v>
          </cell>
          <cell r="Z11">
            <v>540.02599999999995</v>
          </cell>
          <cell r="AA11">
            <v>586.60900000000004</v>
          </cell>
          <cell r="AB11">
            <v>635.01499999999999</v>
          </cell>
          <cell r="AC11">
            <v>684.39300000000003</v>
          </cell>
        </row>
        <row r="12">
          <cell r="E12">
            <v>3.7272099999999999</v>
          </cell>
          <cell r="F12">
            <v>4.80321</v>
          </cell>
          <cell r="G12">
            <v>5.7622200000000001</v>
          </cell>
          <cell r="H12">
            <v>5.1120700000000001</v>
          </cell>
          <cell r="I12">
            <v>5.0936199999999996</v>
          </cell>
          <cell r="J12">
            <v>5.8819800000000004</v>
          </cell>
          <cell r="K12">
            <v>7.3406000000000002</v>
          </cell>
          <cell r="L12">
            <v>8.3836200000000005</v>
          </cell>
          <cell r="M12">
            <v>8.6956699999999998</v>
          </cell>
          <cell r="N12">
            <v>10.591100000000001</v>
          </cell>
          <cell r="O12">
            <v>13.9948</v>
          </cell>
          <cell r="P12">
            <v>18.577500000000001</v>
          </cell>
          <cell r="Q12">
            <v>24.524899999999999</v>
          </cell>
          <cell r="R12">
            <v>32.352400000000003</v>
          </cell>
          <cell r="S12">
            <v>42.678600000000003</v>
          </cell>
          <cell r="T12">
            <v>56.270099999999999</v>
          </cell>
          <cell r="U12">
            <v>73.984399999999994</v>
          </cell>
          <cell r="V12">
            <v>96.618899999999996</v>
          </cell>
          <cell r="W12">
            <v>124.67</v>
          </cell>
          <cell r="X12">
            <v>159.041</v>
          </cell>
          <cell r="Y12">
            <v>200.41399999999999</v>
          </cell>
          <cell r="Z12">
            <v>249.35300000000001</v>
          </cell>
          <cell r="AA12">
            <v>306.541</v>
          </cell>
          <cell r="AB12">
            <v>372.61500000000001</v>
          </cell>
          <cell r="AC12">
            <v>448.19299999999998</v>
          </cell>
        </row>
        <row r="13">
          <cell r="E13">
            <v>290.04500000000002</v>
          </cell>
          <cell r="F13">
            <v>304.00099999999998</v>
          </cell>
          <cell r="G13">
            <v>353.911</v>
          </cell>
          <cell r="H13">
            <v>383.01100000000002</v>
          </cell>
          <cell r="I13">
            <v>412.03399999999999</v>
          </cell>
          <cell r="J13">
            <v>453.63799999999998</v>
          </cell>
          <cell r="K13">
            <v>488.27100000000002</v>
          </cell>
          <cell r="L13">
            <v>520.86599999999999</v>
          </cell>
          <cell r="M13">
            <v>528.495</v>
          </cell>
          <cell r="N13">
            <v>605.90200000000004</v>
          </cell>
          <cell r="O13">
            <v>656.91899999999998</v>
          </cell>
          <cell r="P13">
            <v>701.55899999999997</v>
          </cell>
          <cell r="Q13">
            <v>742.577</v>
          </cell>
          <cell r="R13">
            <v>781.22299999999996</v>
          </cell>
          <cell r="S13">
            <v>819.23299999999995</v>
          </cell>
          <cell r="T13">
            <v>858.05100000000004</v>
          </cell>
          <cell r="U13">
            <v>900.14800000000002</v>
          </cell>
          <cell r="V13">
            <v>944.95899999999995</v>
          </cell>
          <cell r="W13">
            <v>989.05200000000002</v>
          </cell>
          <cell r="X13">
            <v>1031.3900000000001</v>
          </cell>
          <cell r="Y13">
            <v>1071.26</v>
          </cell>
          <cell r="Z13">
            <v>1108.49</v>
          </cell>
          <cell r="AA13">
            <v>1143.19</v>
          </cell>
          <cell r="AB13">
            <v>1175.31</v>
          </cell>
          <cell r="AC13">
            <v>1203.99</v>
          </cell>
        </row>
        <row r="14">
          <cell r="E14">
            <v>9.3258399999999995</v>
          </cell>
          <cell r="F14">
            <v>9.9217300000000002</v>
          </cell>
          <cell r="G14">
            <v>10.9313</v>
          </cell>
          <cell r="H14">
            <v>13.4313</v>
          </cell>
          <cell r="I14">
            <v>17.0153</v>
          </cell>
          <cell r="J14">
            <v>20.607199999999999</v>
          </cell>
          <cell r="K14">
            <v>24.8812</v>
          </cell>
          <cell r="L14">
            <v>31.156400000000001</v>
          </cell>
          <cell r="M14">
            <v>40.286999999999999</v>
          </cell>
          <cell r="N14">
            <v>54.511200000000002</v>
          </cell>
          <cell r="O14">
            <v>73.843100000000007</v>
          </cell>
          <cell r="P14">
            <v>100.965</v>
          </cell>
          <cell r="Q14">
            <v>133.685</v>
          </cell>
          <cell r="R14">
            <v>173.64699999999999</v>
          </cell>
          <cell r="S14">
            <v>222.73500000000001</v>
          </cell>
          <cell r="T14">
            <v>283.05</v>
          </cell>
          <cell r="U14">
            <v>356.77</v>
          </cell>
          <cell r="V14">
            <v>446.01499999999999</v>
          </cell>
          <cell r="W14">
            <v>552.02300000000002</v>
          </cell>
          <cell r="X14">
            <v>676.08399999999995</v>
          </cell>
          <cell r="Y14">
            <v>819.005</v>
          </cell>
          <cell r="Z14">
            <v>981.18299999999999</v>
          </cell>
          <cell r="AA14">
            <v>1164</v>
          </cell>
          <cell r="AB14">
            <v>1367.02</v>
          </cell>
          <cell r="AC14">
            <v>1590.11</v>
          </cell>
        </row>
        <row r="15">
          <cell r="E15">
            <v>6.7019900000000003</v>
          </cell>
          <cell r="F15">
            <v>7.7945500000000001</v>
          </cell>
          <cell r="G15">
            <v>9.0175400000000003</v>
          </cell>
          <cell r="H15">
            <v>10.9244</v>
          </cell>
          <cell r="I15">
            <v>15.1311</v>
          </cell>
          <cell r="J15">
            <v>20.602499999999999</v>
          </cell>
          <cell r="K15">
            <v>26.9238</v>
          </cell>
          <cell r="L15">
            <v>35.050800000000002</v>
          </cell>
          <cell r="M15">
            <v>45.297899999999998</v>
          </cell>
          <cell r="N15">
            <v>57.857799999999997</v>
          </cell>
          <cell r="O15">
            <v>77.140799999999999</v>
          </cell>
          <cell r="P15">
            <v>106.90900000000001</v>
          </cell>
          <cell r="Q15">
            <v>143.845</v>
          </cell>
          <cell r="R15">
            <v>190.995</v>
          </cell>
          <cell r="S15">
            <v>251.101</v>
          </cell>
          <cell r="T15">
            <v>327.29599999999999</v>
          </cell>
          <cell r="U15">
            <v>422.529</v>
          </cell>
          <cell r="V15">
            <v>539.80100000000004</v>
          </cell>
          <cell r="W15">
            <v>679.50199999999995</v>
          </cell>
          <cell r="X15">
            <v>844.51599999999996</v>
          </cell>
          <cell r="Y15">
            <v>1035.71</v>
          </cell>
          <cell r="Z15">
            <v>1254.6500000000001</v>
          </cell>
          <cell r="AA15">
            <v>1503.59</v>
          </cell>
          <cell r="AB15">
            <v>1784.26</v>
          </cell>
          <cell r="AC15">
            <v>2096.8200000000002</v>
          </cell>
        </row>
        <row r="16">
          <cell r="E16">
            <v>138.12700000000001</v>
          </cell>
          <cell r="F16">
            <v>165.767</v>
          </cell>
          <cell r="G16">
            <v>199.07900000000001</v>
          </cell>
          <cell r="H16">
            <v>246.79300000000001</v>
          </cell>
          <cell r="I16">
            <v>312.73399999999998</v>
          </cell>
          <cell r="J16">
            <v>400.68799999999999</v>
          </cell>
          <cell r="K16">
            <v>537.97699999999998</v>
          </cell>
          <cell r="L16">
            <v>730.94799999999998</v>
          </cell>
          <cell r="M16">
            <v>999.53499999999997</v>
          </cell>
          <cell r="N16">
            <v>1371.5</v>
          </cell>
          <cell r="O16">
            <v>1926.22</v>
          </cell>
          <cell r="P16">
            <v>2563.84</v>
          </cell>
          <cell r="Q16">
            <v>3221.98</v>
          </cell>
          <cell r="R16">
            <v>3914.5</v>
          </cell>
          <cell r="S16">
            <v>4644.59</v>
          </cell>
          <cell r="T16">
            <v>5410.44</v>
          </cell>
          <cell r="U16">
            <v>6213.61</v>
          </cell>
          <cell r="V16">
            <v>7059.08</v>
          </cell>
          <cell r="W16">
            <v>7906.18</v>
          </cell>
          <cell r="X16">
            <v>8752.1200000000008</v>
          </cell>
          <cell r="Y16">
            <v>9561.75</v>
          </cell>
          <cell r="Z16">
            <v>10320</v>
          </cell>
          <cell r="AA16">
            <v>11037.7</v>
          </cell>
          <cell r="AB16">
            <v>11728.3</v>
          </cell>
          <cell r="AC16">
            <v>12400.8</v>
          </cell>
        </row>
        <row r="17">
          <cell r="E17">
            <v>113.902</v>
          </cell>
          <cell r="F17">
            <v>137.072</v>
          </cell>
          <cell r="G17">
            <v>139.96199999999999</v>
          </cell>
          <cell r="H17">
            <v>95.8215</v>
          </cell>
          <cell r="I17">
            <v>86.091800000000006</v>
          </cell>
          <cell r="J17">
            <v>113.557</v>
          </cell>
          <cell r="K17">
            <v>134.732</v>
          </cell>
          <cell r="L17">
            <v>143.928</v>
          </cell>
          <cell r="M17">
            <v>156.364</v>
          </cell>
          <cell r="N17">
            <v>187.916</v>
          </cell>
          <cell r="O17">
            <v>215.471</v>
          </cell>
          <cell r="P17">
            <v>239.57599999999999</v>
          </cell>
          <cell r="Q17">
            <v>259.65899999999999</v>
          </cell>
          <cell r="R17">
            <v>277.07400000000001</v>
          </cell>
          <cell r="S17">
            <v>293.214</v>
          </cell>
          <cell r="T17">
            <v>309.14699999999999</v>
          </cell>
          <cell r="U17">
            <v>324.62299999999999</v>
          </cell>
          <cell r="V17">
            <v>339.38799999999998</v>
          </cell>
          <cell r="W17">
            <v>353.05500000000001</v>
          </cell>
          <cell r="X17">
            <v>366.03500000000003</v>
          </cell>
          <cell r="Y17">
            <v>379.17200000000003</v>
          </cell>
          <cell r="Z17">
            <v>393.10199999999998</v>
          </cell>
          <cell r="AA17">
            <v>408.45800000000003</v>
          </cell>
          <cell r="AB17">
            <v>425.30700000000002</v>
          </cell>
          <cell r="AC17">
            <v>443.00400000000002</v>
          </cell>
        </row>
        <row r="18">
          <cell r="E18">
            <v>15.8672</v>
          </cell>
          <cell r="F18">
            <v>19.164200000000001</v>
          </cell>
          <cell r="G18">
            <v>21.0703</v>
          </cell>
          <cell r="H18">
            <v>26.130400000000002</v>
          </cell>
          <cell r="I18">
            <v>32.833300000000001</v>
          </cell>
          <cell r="J18">
            <v>42.226599999999998</v>
          </cell>
          <cell r="K18">
            <v>55.340400000000002</v>
          </cell>
          <cell r="L18">
            <v>65.998699999999999</v>
          </cell>
          <cell r="M18">
            <v>70.909899999999993</v>
          </cell>
          <cell r="N18">
            <v>83.789100000000005</v>
          </cell>
          <cell r="O18">
            <v>96.292900000000003</v>
          </cell>
          <cell r="P18">
            <v>110.227</v>
          </cell>
          <cell r="Q18">
            <v>122.846</v>
          </cell>
          <cell r="R18">
            <v>134.55600000000001</v>
          </cell>
          <cell r="S18">
            <v>145.81299999999999</v>
          </cell>
          <cell r="T18">
            <v>157.55699999999999</v>
          </cell>
          <cell r="U18">
            <v>169.917</v>
          </cell>
          <cell r="V18">
            <v>182.39</v>
          </cell>
          <cell r="W18">
            <v>193.15899999999999</v>
          </cell>
          <cell r="X18">
            <v>202.477</v>
          </cell>
          <cell r="Y18">
            <v>210.59</v>
          </cell>
          <cell r="Z18">
            <v>218.00399999999999</v>
          </cell>
          <cell r="AA18">
            <v>225.34899999999999</v>
          </cell>
          <cell r="AB18">
            <v>232.83199999999999</v>
          </cell>
          <cell r="AC18">
            <v>240.03</v>
          </cell>
        </row>
        <row r="19">
          <cell r="E19">
            <v>7.1193</v>
          </cell>
          <cell r="F19">
            <v>8.3664699999999996</v>
          </cell>
          <cell r="G19">
            <v>9.4091000000000005</v>
          </cell>
          <cell r="H19">
            <v>9.3637700000000006</v>
          </cell>
          <cell r="I19">
            <v>11.9687</v>
          </cell>
          <cell r="J19">
            <v>12.9925</v>
          </cell>
          <cell r="K19">
            <v>12.841100000000001</v>
          </cell>
          <cell r="L19">
            <v>13.3607</v>
          </cell>
          <cell r="M19">
            <v>10.622</v>
          </cell>
          <cell r="N19">
            <v>15.338699999999999</v>
          </cell>
          <cell r="O19">
            <v>16.604299999999999</v>
          </cell>
          <cell r="P19">
            <v>17.9648</v>
          </cell>
          <cell r="Q19">
            <v>19.311399999999999</v>
          </cell>
          <cell r="R19">
            <v>20.711500000000001</v>
          </cell>
          <cell r="S19">
            <v>22.206900000000001</v>
          </cell>
          <cell r="T19">
            <v>23.8005</v>
          </cell>
          <cell r="U19">
            <v>25.499099999999999</v>
          </cell>
          <cell r="V19">
            <v>27.2942</v>
          </cell>
          <cell r="W19">
            <v>29.170100000000001</v>
          </cell>
          <cell r="X19">
            <v>31.100999999999999</v>
          </cell>
          <cell r="Y19">
            <v>33.066800000000001</v>
          </cell>
          <cell r="Z19">
            <v>35.053199999999997</v>
          </cell>
          <cell r="AA19">
            <v>37.027299999999997</v>
          </cell>
          <cell r="AB19">
            <v>38.9863</v>
          </cell>
          <cell r="AC19">
            <v>40.937199999999997</v>
          </cell>
        </row>
        <row r="20">
          <cell r="E20" t="str">
            <v/>
          </cell>
          <cell r="F20" t="str">
            <v/>
          </cell>
          <cell r="G20" t="str">
            <v/>
          </cell>
          <cell r="H20">
            <v>10.6305</v>
          </cell>
          <cell r="I20">
            <v>27.883199999999999</v>
          </cell>
          <cell r="J20">
            <v>34.491</v>
          </cell>
          <cell r="K20">
            <v>40.772500000000001</v>
          </cell>
          <cell r="L20">
            <v>44.116799999999998</v>
          </cell>
          <cell r="M20">
            <v>48.719299999999997</v>
          </cell>
          <cell r="N20">
            <v>58.941400000000002</v>
          </cell>
          <cell r="O20">
            <v>68.472800000000007</v>
          </cell>
          <cell r="P20">
            <v>76.573300000000003</v>
          </cell>
          <cell r="Q20">
            <v>81.926599999999993</v>
          </cell>
          <cell r="R20">
            <v>85.311499999999995</v>
          </cell>
          <cell r="S20">
            <v>87.408799999999999</v>
          </cell>
          <cell r="T20">
            <v>88.776700000000005</v>
          </cell>
          <cell r="U20">
            <v>89.861500000000007</v>
          </cell>
          <cell r="V20">
            <v>90.912499999999994</v>
          </cell>
          <cell r="W20">
            <v>91.549099999999996</v>
          </cell>
          <cell r="X20">
            <v>92.037499999999994</v>
          </cell>
          <cell r="Y20">
            <v>92.391099999999994</v>
          </cell>
          <cell r="Z20">
            <v>92.765600000000006</v>
          </cell>
          <cell r="AA20">
            <v>93.325199999999995</v>
          </cell>
          <cell r="AB20">
            <v>94.139399999999995</v>
          </cell>
          <cell r="AC20">
            <v>95.182000000000002</v>
          </cell>
        </row>
        <row r="21">
          <cell r="E21" t="str">
            <v/>
          </cell>
          <cell r="F21" t="str">
            <v/>
          </cell>
          <cell r="G21">
            <v>90.635999999999996</v>
          </cell>
          <cell r="H21">
            <v>59.2958</v>
          </cell>
          <cell r="I21">
            <v>80.496300000000005</v>
          </cell>
          <cell r="J21">
            <v>115.601</v>
          </cell>
          <cell r="K21">
            <v>164.44499999999999</v>
          </cell>
          <cell r="L21">
            <v>173.73400000000001</v>
          </cell>
          <cell r="M21">
            <v>180.446</v>
          </cell>
          <cell r="N21">
            <v>184.17699999999999</v>
          </cell>
          <cell r="O21">
            <v>191.541</v>
          </cell>
          <cell r="P21">
            <v>201.7</v>
          </cell>
          <cell r="Q21">
            <v>212.97</v>
          </cell>
          <cell r="R21">
            <v>225.32900000000001</v>
          </cell>
          <cell r="S21">
            <v>239.03700000000001</v>
          </cell>
          <cell r="T21">
            <v>255.41200000000001</v>
          </cell>
          <cell r="U21">
            <v>275.04700000000003</v>
          </cell>
          <cell r="V21">
            <v>297.70699999999999</v>
          </cell>
          <cell r="W21">
            <v>321.94400000000002</v>
          </cell>
          <cell r="X21">
            <v>347.11799999999999</v>
          </cell>
          <cell r="Y21">
            <v>373.452</v>
          </cell>
          <cell r="Z21">
            <v>401.60700000000003</v>
          </cell>
          <cell r="AA21">
            <v>432.23599999999999</v>
          </cell>
          <cell r="AB21">
            <v>465.137</v>
          </cell>
          <cell r="AC21">
            <v>499.25700000000001</v>
          </cell>
        </row>
        <row r="22">
          <cell r="E22">
            <v>0.5809200000000001</v>
          </cell>
          <cell r="F22">
            <v>0.62678199999999995</v>
          </cell>
          <cell r="G22">
            <v>1.1671899999999999</v>
          </cell>
          <cell r="H22">
            <v>1.5615999999999999</v>
          </cell>
          <cell r="I22">
            <v>2.0920700000000001</v>
          </cell>
          <cell r="J22">
            <v>2.7050999999999998</v>
          </cell>
          <cell r="K22">
            <v>2.8954300000000002</v>
          </cell>
          <cell r="L22">
            <v>3.3785099999999999</v>
          </cell>
          <cell r="M22">
            <v>3.0421800000000001</v>
          </cell>
          <cell r="N22">
            <v>4.34084</v>
          </cell>
          <cell r="O22">
            <v>4.9708199999999998</v>
          </cell>
          <cell r="P22">
            <v>5.9187399999999997</v>
          </cell>
          <cell r="Q22">
            <v>7.1412100000000001</v>
          </cell>
          <cell r="R22">
            <v>8.6572700000000005</v>
          </cell>
          <cell r="S22">
            <v>10.491</v>
          </cell>
          <cell r="T22">
            <v>12.663600000000001</v>
          </cell>
          <cell r="U22">
            <v>15.2166</v>
          </cell>
          <cell r="V22">
            <v>18.1721</v>
          </cell>
          <cell r="W22">
            <v>21.4741</v>
          </cell>
          <cell r="X22">
            <v>25.090900000000001</v>
          </cell>
          <cell r="Y22">
            <v>28.952200000000001</v>
          </cell>
          <cell r="Z22">
            <v>33.017499999999998</v>
          </cell>
          <cell r="AA22">
            <v>37.256300000000003</v>
          </cell>
          <cell r="AB22">
            <v>41.655999999999999</v>
          </cell>
          <cell r="AC22">
            <v>46.197000000000003</v>
          </cell>
        </row>
        <row r="23">
          <cell r="E23">
            <v>31.1143</v>
          </cell>
          <cell r="F23">
            <v>28.226800000000001</v>
          </cell>
          <cell r="G23">
            <v>31.491499999999998</v>
          </cell>
          <cell r="H23">
            <v>38.494199999999999</v>
          </cell>
          <cell r="I23">
            <v>45.5886</v>
          </cell>
          <cell r="J23">
            <v>53.0807</v>
          </cell>
          <cell r="K23">
            <v>66.449799999999996</v>
          </cell>
          <cell r="L23">
            <v>86.788899999999998</v>
          </cell>
          <cell r="M23">
            <v>91.668700000000001</v>
          </cell>
          <cell r="N23">
            <v>106.494</v>
          </cell>
          <cell r="O23">
            <v>119.46299999999999</v>
          </cell>
          <cell r="P23">
            <v>138.011</v>
          </cell>
          <cell r="Q23">
            <v>164.44</v>
          </cell>
          <cell r="R23">
            <v>198.79499999999999</v>
          </cell>
          <cell r="S23">
            <v>241.42699999999999</v>
          </cell>
          <cell r="T23">
            <v>292.42200000000003</v>
          </cell>
          <cell r="U23">
            <v>351.85300000000001</v>
          </cell>
          <cell r="V23">
            <v>419.70699999999999</v>
          </cell>
          <cell r="W23">
            <v>494.83</v>
          </cell>
          <cell r="X23">
            <v>576.86500000000001</v>
          </cell>
          <cell r="Y23">
            <v>665.50699999999995</v>
          </cell>
          <cell r="Z23">
            <v>760.71699999999998</v>
          </cell>
          <cell r="AA23">
            <v>862.09799999999996</v>
          </cell>
          <cell r="AB23">
            <v>968.71100000000001</v>
          </cell>
          <cell r="AC23">
            <v>1079.98</v>
          </cell>
        </row>
        <row r="24">
          <cell r="E24">
            <v>1334.93</v>
          </cell>
          <cell r="F24">
            <v>1422.04</v>
          </cell>
          <cell r="G24">
            <v>1561.05</v>
          </cell>
          <cell r="H24">
            <v>1815.94</v>
          </cell>
          <cell r="I24">
            <v>1983.47</v>
          </cell>
          <cell r="J24">
            <v>2292.42</v>
          </cell>
          <cell r="K24">
            <v>2849.54</v>
          </cell>
          <cell r="L24">
            <v>3016.14</v>
          </cell>
          <cell r="M24">
            <v>2935.82</v>
          </cell>
          <cell r="N24">
            <v>3409.83</v>
          </cell>
          <cell r="O24">
            <v>3706.49</v>
          </cell>
          <cell r="P24">
            <v>4214.96</v>
          </cell>
          <cell r="Q24">
            <v>4880.88</v>
          </cell>
          <cell r="R24">
            <v>5692.08</v>
          </cell>
          <cell r="S24">
            <v>6623.24</v>
          </cell>
          <cell r="T24">
            <v>7653.93</v>
          </cell>
          <cell r="U24">
            <v>8756.61</v>
          </cell>
          <cell r="V24">
            <v>9929.7999999999993</v>
          </cell>
          <cell r="W24">
            <v>11133.5</v>
          </cell>
          <cell r="X24">
            <v>12361.4</v>
          </cell>
          <cell r="Y24">
            <v>13581.4</v>
          </cell>
          <cell r="Z24">
            <v>14793.8</v>
          </cell>
          <cell r="AA24">
            <v>15997</v>
          </cell>
          <cell r="AB24">
            <v>17190.900000000001</v>
          </cell>
          <cell r="AC24">
            <v>18375.099999999999</v>
          </cell>
        </row>
        <row r="25">
          <cell r="E25">
            <v>3.3335599999999999</v>
          </cell>
          <cell r="F25">
            <v>3.2737699999999998</v>
          </cell>
          <cell r="G25">
            <v>3.6602000000000001</v>
          </cell>
          <cell r="H25">
            <v>3.4793799999999999</v>
          </cell>
          <cell r="I25">
            <v>4.1190699999999998</v>
          </cell>
          <cell r="J25">
            <v>4.3659999999999997</v>
          </cell>
          <cell r="K25">
            <v>4.4039099999999998</v>
          </cell>
          <cell r="L25">
            <v>4.3927300000000002</v>
          </cell>
          <cell r="M25">
            <v>3.8779699999999999</v>
          </cell>
          <cell r="N25">
            <v>4.7436800000000003</v>
          </cell>
          <cell r="O25">
            <v>5.2485499999999998</v>
          </cell>
          <cell r="P25">
            <v>5.8210100000000002</v>
          </cell>
          <cell r="Q25">
            <v>6.5123300000000004</v>
          </cell>
          <cell r="R25">
            <v>7.3060200000000002</v>
          </cell>
          <cell r="S25">
            <v>8.1944300000000005</v>
          </cell>
          <cell r="T25">
            <v>9.1673899999999993</v>
          </cell>
          <cell r="U25">
            <v>10.2399</v>
          </cell>
          <cell r="V25">
            <v>11.412000000000001</v>
          </cell>
          <cell r="W25">
            <v>12.6526</v>
          </cell>
          <cell r="X25">
            <v>13.9566</v>
          </cell>
          <cell r="Y25">
            <v>15.313000000000001</v>
          </cell>
          <cell r="Z25">
            <v>16.716899999999999</v>
          </cell>
          <cell r="AA25">
            <v>18.165400000000002</v>
          </cell>
          <cell r="AB25">
            <v>19.655200000000001</v>
          </cell>
          <cell r="AC25">
            <v>21.174099999999999</v>
          </cell>
        </row>
        <row r="26">
          <cell r="E26" t="str">
            <v/>
          </cell>
          <cell r="F26">
            <v>18.366599999999998</v>
          </cell>
          <cell r="G26">
            <v>18.428599999999999</v>
          </cell>
          <cell r="H26">
            <v>21.523700000000002</v>
          </cell>
          <cell r="I26">
            <v>22.995899999999999</v>
          </cell>
          <cell r="J26">
            <v>25.479600000000001</v>
          </cell>
          <cell r="K26">
            <v>26.330500000000001</v>
          </cell>
          <cell r="L26">
            <v>26.1967</v>
          </cell>
          <cell r="M26">
            <v>27.210999999999999</v>
          </cell>
          <cell r="N26">
            <v>27.823900000000002</v>
          </cell>
          <cell r="O26">
            <v>32.417900000000003</v>
          </cell>
          <cell r="P26">
            <v>36.462800000000001</v>
          </cell>
          <cell r="Q26">
            <v>39.283200000000001</v>
          </cell>
          <cell r="R26">
            <v>41.270200000000003</v>
          </cell>
          <cell r="S26">
            <v>42.760599999999997</v>
          </cell>
          <cell r="T26">
            <v>44.005000000000003</v>
          </cell>
          <cell r="U26">
            <v>45.165700000000001</v>
          </cell>
          <cell r="V26">
            <v>46.321300000000001</v>
          </cell>
          <cell r="W26">
            <v>47.225499999999997</v>
          </cell>
          <cell r="X26">
            <v>48.061300000000003</v>
          </cell>
          <cell r="Y26">
            <v>48.849299999999999</v>
          </cell>
          <cell r="Z26">
            <v>49.674799999999998</v>
          </cell>
          <cell r="AA26">
            <v>50.618299999999998</v>
          </cell>
          <cell r="AB26">
            <v>51.700099999999999</v>
          </cell>
          <cell r="AC26">
            <v>52.897199999999998</v>
          </cell>
        </row>
        <row r="27">
          <cell r="E27">
            <v>0.54843500000000001</v>
          </cell>
          <cell r="F27">
            <v>0.81245099999999992</v>
          </cell>
          <cell r="G27">
            <v>1.40587</v>
          </cell>
          <cell r="H27">
            <v>1.6837800000000001</v>
          </cell>
          <cell r="I27">
            <v>2.2861700000000003</v>
          </cell>
          <cell r="J27">
            <v>3.3399000000000001</v>
          </cell>
          <cell r="K27">
            <v>5.1908399999999997</v>
          </cell>
          <cell r="L27">
            <v>6.9474999999999998</v>
          </cell>
          <cell r="M27">
            <v>8.4008199999999995</v>
          </cell>
          <cell r="N27">
            <v>9.6552699999999998</v>
          </cell>
          <cell r="O27">
            <v>11.6981</v>
          </cell>
          <cell r="P27">
            <v>13.7241</v>
          </cell>
          <cell r="Q27">
            <v>15.77</v>
          </cell>
          <cell r="R27">
            <v>17.945699999999999</v>
          </cell>
          <cell r="S27">
            <v>20.292999999999999</v>
          </cell>
          <cell r="T27">
            <v>22.883299999999998</v>
          </cell>
          <cell r="U27">
            <v>25.701000000000001</v>
          </cell>
          <cell r="V27">
            <v>28.712199999999999</v>
          </cell>
          <cell r="W27">
            <v>31.677599999999998</v>
          </cell>
          <cell r="X27">
            <v>34.503399999999999</v>
          </cell>
          <cell r="Y27">
            <v>37.122700000000002</v>
          </cell>
          <cell r="Z27">
            <v>39.469700000000003</v>
          </cell>
          <cell r="AA27">
            <v>41.655500000000004</v>
          </cell>
          <cell r="AB27">
            <v>43.723399999999998</v>
          </cell>
          <cell r="AC27">
            <v>45.7072</v>
          </cell>
        </row>
        <row r="28">
          <cell r="E28">
            <v>4.86069</v>
          </cell>
          <cell r="F28">
            <v>7.7420200000000001</v>
          </cell>
          <cell r="G28">
            <v>13.576499999999999</v>
          </cell>
          <cell r="H28">
            <v>16.110900000000001</v>
          </cell>
          <cell r="I28">
            <v>19.5947</v>
          </cell>
          <cell r="J28">
            <v>24.168600000000001</v>
          </cell>
          <cell r="K28">
            <v>26.4665</v>
          </cell>
          <cell r="L28">
            <v>31.540800000000001</v>
          </cell>
          <cell r="M28">
            <v>34.4925</v>
          </cell>
          <cell r="N28">
            <v>46.045200000000001</v>
          </cell>
          <cell r="O28">
            <v>56.131599999999999</v>
          </cell>
          <cell r="P28">
            <v>67.2517</v>
          </cell>
          <cell r="Q28">
            <v>78.254499999999993</v>
          </cell>
          <cell r="R28">
            <v>89.459699999999998</v>
          </cell>
          <cell r="S28">
            <v>101.229</v>
          </cell>
          <cell r="T28">
            <v>113.813</v>
          </cell>
          <cell r="U28">
            <v>127.18600000000001</v>
          </cell>
          <cell r="V28">
            <v>141.005</v>
          </cell>
          <cell r="W28">
            <v>154.99700000000001</v>
          </cell>
          <cell r="X28">
            <v>169.27099999999999</v>
          </cell>
          <cell r="Y28">
            <v>183.923</v>
          </cell>
          <cell r="Z28">
            <v>198.94300000000001</v>
          </cell>
          <cell r="AA28">
            <v>214.21299999999999</v>
          </cell>
          <cell r="AB28">
            <v>229.46</v>
          </cell>
          <cell r="AC28">
            <v>244.66900000000001</v>
          </cell>
        </row>
        <row r="29">
          <cell r="E29">
            <v>2.86721</v>
          </cell>
          <cell r="F29">
            <v>3.3460399999999999</v>
          </cell>
          <cell r="G29">
            <v>3.8382399999999999</v>
          </cell>
          <cell r="H29">
            <v>4.1539400000000004</v>
          </cell>
          <cell r="I29">
            <v>4.1603000000000003</v>
          </cell>
          <cell r="J29">
            <v>4.3807299999999998</v>
          </cell>
          <cell r="K29">
            <v>5.2697099999999999</v>
          </cell>
          <cell r="L29">
            <v>3.8313299999999999</v>
          </cell>
          <cell r="M29">
            <v>4.5276199999999998</v>
          </cell>
          <cell r="N29">
            <v>4.9314200000000001</v>
          </cell>
          <cell r="O29">
            <v>6.0948399999999996</v>
          </cell>
          <cell r="P29">
            <v>8.2575800000000008</v>
          </cell>
          <cell r="Q29">
            <v>11.2927</v>
          </cell>
          <cell r="R29">
            <v>15.5967</v>
          </cell>
          <cell r="S29">
            <v>21.588999999999999</v>
          </cell>
          <cell r="T29">
            <v>29.729299999999999</v>
          </cell>
          <cell r="U29">
            <v>40.571300000000001</v>
          </cell>
          <cell r="V29">
            <v>54.838299999999997</v>
          </cell>
          <cell r="W29">
            <v>73.159899999999993</v>
          </cell>
          <cell r="X29">
            <v>96.429000000000002</v>
          </cell>
          <cell r="Y29">
            <v>125.46599999999999</v>
          </cell>
          <cell r="Z29">
            <v>161.143</v>
          </cell>
          <cell r="AA29">
            <v>204.46700000000001</v>
          </cell>
          <cell r="AB29">
            <v>256.47800000000001</v>
          </cell>
          <cell r="AC29">
            <v>318.18900000000002</v>
          </cell>
        </row>
        <row r="30">
          <cell r="E30">
            <v>737.97400000000005</v>
          </cell>
          <cell r="F30">
            <v>841.37699999999995</v>
          </cell>
          <cell r="G30">
            <v>957.08500000000004</v>
          </cell>
          <cell r="H30">
            <v>1041.67</v>
          </cell>
          <cell r="I30">
            <v>1192.3800000000001</v>
          </cell>
          <cell r="J30">
            <v>1354.21</v>
          </cell>
          <cell r="K30">
            <v>1433.98</v>
          </cell>
          <cell r="L30">
            <v>1594.85</v>
          </cell>
          <cell r="M30">
            <v>1649.89</v>
          </cell>
          <cell r="N30">
            <v>1862.51</v>
          </cell>
          <cell r="O30">
            <v>2067.36</v>
          </cell>
          <cell r="P30">
            <v>2297.65</v>
          </cell>
          <cell r="Q30">
            <v>2553.44</v>
          </cell>
          <cell r="R30">
            <v>2820.77</v>
          </cell>
          <cell r="S30">
            <v>3088.48</v>
          </cell>
          <cell r="T30">
            <v>3356.24</v>
          </cell>
          <cell r="U30">
            <v>3626.62</v>
          </cell>
          <cell r="V30">
            <v>3905.57</v>
          </cell>
          <cell r="W30">
            <v>4186.18</v>
          </cell>
          <cell r="X30">
            <v>4457.47</v>
          </cell>
          <cell r="Y30">
            <v>4713.7700000000004</v>
          </cell>
          <cell r="Z30">
            <v>4953.5600000000004</v>
          </cell>
          <cell r="AA30">
            <v>5176.92</v>
          </cell>
          <cell r="AB30">
            <v>5384.35</v>
          </cell>
          <cell r="AC30">
            <v>5574.02</v>
          </cell>
        </row>
        <row r="31">
          <cell r="E31">
            <v>302.88400000000001</v>
          </cell>
          <cell r="F31">
            <v>326.60000000000002</v>
          </cell>
          <cell r="G31">
            <v>377.79399999999998</v>
          </cell>
          <cell r="H31">
            <v>380.18900000000002</v>
          </cell>
          <cell r="I31">
            <v>412.75700000000001</v>
          </cell>
          <cell r="J31">
            <v>441.68900000000002</v>
          </cell>
          <cell r="K31">
            <v>495.041</v>
          </cell>
          <cell r="L31">
            <v>540.38599999999997</v>
          </cell>
          <cell r="M31">
            <v>568.96</v>
          </cell>
          <cell r="N31">
            <v>634.99599999999998</v>
          </cell>
          <cell r="O31">
            <v>670.66499999999996</v>
          </cell>
          <cell r="P31">
            <v>707.42100000000005</v>
          </cell>
          <cell r="Q31">
            <v>741.09400000000005</v>
          </cell>
          <cell r="R31">
            <v>774.21900000000005</v>
          </cell>
          <cell r="S31">
            <v>807.64300000000003</v>
          </cell>
          <cell r="T31">
            <v>841.78499999999997</v>
          </cell>
          <cell r="U31">
            <v>878.31700000000001</v>
          </cell>
          <cell r="V31">
            <v>917.58900000000006</v>
          </cell>
          <cell r="W31">
            <v>957.726</v>
          </cell>
          <cell r="X31">
            <v>997.125</v>
          </cell>
          <cell r="Y31">
            <v>1033.76</v>
          </cell>
          <cell r="Z31">
            <v>1066.53</v>
          </cell>
          <cell r="AA31">
            <v>1095.5</v>
          </cell>
          <cell r="AB31">
            <v>1121.1099999999999</v>
          </cell>
          <cell r="AC31">
            <v>1143.21</v>
          </cell>
        </row>
        <row r="32">
          <cell r="E32">
            <v>97.069800000000001</v>
          </cell>
          <cell r="F32">
            <v>93.495699999999999</v>
          </cell>
          <cell r="G32">
            <v>123.943</v>
          </cell>
          <cell r="H32">
            <v>187.98400000000001</v>
          </cell>
          <cell r="I32">
            <v>220.125</v>
          </cell>
          <cell r="J32">
            <v>276.012</v>
          </cell>
          <cell r="K32">
            <v>334.745</v>
          </cell>
          <cell r="L32">
            <v>405.42099999999999</v>
          </cell>
          <cell r="M32">
            <v>410.37400000000002</v>
          </cell>
          <cell r="N32">
            <v>489.67700000000002</v>
          </cell>
          <cell r="O32">
            <v>527.17499999999995</v>
          </cell>
          <cell r="P32">
            <v>582.75900000000001</v>
          </cell>
          <cell r="Q32">
            <v>646.05399999999997</v>
          </cell>
          <cell r="R32">
            <v>716.14200000000005</v>
          </cell>
          <cell r="S32">
            <v>790.61599999999999</v>
          </cell>
          <cell r="T32">
            <v>866.13300000000004</v>
          </cell>
          <cell r="U32">
            <v>941.49599999999998</v>
          </cell>
          <cell r="V32">
            <v>1019.71</v>
          </cell>
          <cell r="W32">
            <v>1099.4000000000001</v>
          </cell>
          <cell r="X32">
            <v>1176.0899999999999</v>
          </cell>
          <cell r="Y32">
            <v>1246.68</v>
          </cell>
          <cell r="Z32">
            <v>1309.54</v>
          </cell>
          <cell r="AA32">
            <v>1363.99</v>
          </cell>
          <cell r="AB32">
            <v>1410.07</v>
          </cell>
          <cell r="AC32">
            <v>1448.38</v>
          </cell>
        </row>
        <row r="33">
          <cell r="E33">
            <v>666.04700000000003</v>
          </cell>
          <cell r="F33">
            <v>1107.46</v>
          </cell>
          <cell r="G33">
            <v>1617.4</v>
          </cell>
          <cell r="H33">
            <v>2881.39</v>
          </cell>
          <cell r="I33">
            <v>4456.79</v>
          </cell>
          <cell r="J33">
            <v>7112.15</v>
          </cell>
          <cell r="K33">
            <v>12153.7</v>
          </cell>
          <cell r="L33">
            <v>17796.8</v>
          </cell>
          <cell r="M33">
            <v>23516.1</v>
          </cell>
          <cell r="N33">
            <v>30146.2</v>
          </cell>
          <cell r="O33">
            <v>36229.4</v>
          </cell>
          <cell r="P33">
            <v>41754.9</v>
          </cell>
          <cell r="Q33">
            <v>46183.5</v>
          </cell>
          <cell r="R33">
            <v>50423.1</v>
          </cell>
          <cell r="S33">
            <v>54381.7</v>
          </cell>
          <cell r="T33">
            <v>57817.2</v>
          </cell>
          <cell r="U33">
            <v>61129</v>
          </cell>
          <cell r="V33">
            <v>64264.4</v>
          </cell>
          <cell r="W33">
            <v>66786.7</v>
          </cell>
          <cell r="X33">
            <v>68664.100000000006</v>
          </cell>
          <cell r="Y33">
            <v>70044.600000000006</v>
          </cell>
          <cell r="Z33">
            <v>71061.100000000006</v>
          </cell>
          <cell r="AA33">
            <v>71883.600000000006</v>
          </cell>
          <cell r="AB33">
            <v>72552.3</v>
          </cell>
          <cell r="AC33">
            <v>72931.3</v>
          </cell>
        </row>
        <row r="34">
          <cell r="E34">
            <v>49.438400000000001</v>
          </cell>
          <cell r="F34">
            <v>50.752000000000002</v>
          </cell>
          <cell r="G34">
            <v>54.503799999999998</v>
          </cell>
          <cell r="H34">
            <v>57.4146</v>
          </cell>
          <cell r="I34">
            <v>68.541499999999999</v>
          </cell>
          <cell r="J34">
            <v>68.542599999999993</v>
          </cell>
          <cell r="K34">
            <v>76.483800000000002</v>
          </cell>
          <cell r="L34">
            <v>104.38800000000001</v>
          </cell>
          <cell r="M34">
            <v>136.53</v>
          </cell>
          <cell r="N34">
            <v>187.75800000000001</v>
          </cell>
          <cell r="O34">
            <v>255.21100000000001</v>
          </cell>
          <cell r="P34">
            <v>343.78</v>
          </cell>
          <cell r="Q34">
            <v>443.40699999999998</v>
          </cell>
          <cell r="R34">
            <v>558.02300000000002</v>
          </cell>
          <cell r="S34">
            <v>690.85900000000004</v>
          </cell>
          <cell r="T34">
            <v>844.5</v>
          </cell>
          <cell r="U34">
            <v>1020.39</v>
          </cell>
          <cell r="V34">
            <v>1219.94</v>
          </cell>
          <cell r="W34">
            <v>1443.44</v>
          </cell>
          <cell r="X34">
            <v>1691.04</v>
          </cell>
          <cell r="Y34">
            <v>1959.46</v>
          </cell>
          <cell r="Z34">
            <v>2247.34</v>
          </cell>
          <cell r="AA34">
            <v>2554.21</v>
          </cell>
          <cell r="AB34">
            <v>2878.94</v>
          </cell>
          <cell r="AC34">
            <v>3222.92</v>
          </cell>
        </row>
        <row r="35">
          <cell r="E35">
            <v>29.023399999999999</v>
          </cell>
          <cell r="F35">
            <v>45.359699999999997</v>
          </cell>
          <cell r="G35">
            <v>40.253900000000002</v>
          </cell>
          <cell r="H35">
            <v>36.6355</v>
          </cell>
          <cell r="I35">
            <v>45.669600000000003</v>
          </cell>
          <cell r="J35">
            <v>56.045299999999997</v>
          </cell>
          <cell r="K35">
            <v>65.623500000000007</v>
          </cell>
          <cell r="L35">
            <v>83.230699999999999</v>
          </cell>
          <cell r="M35">
            <v>97.386499999999998</v>
          </cell>
          <cell r="N35">
            <v>118.502</v>
          </cell>
          <cell r="O35">
            <v>150.083</v>
          </cell>
          <cell r="P35">
            <v>195.565</v>
          </cell>
          <cell r="Q35">
            <v>252.33</v>
          </cell>
          <cell r="R35">
            <v>323.39699999999999</v>
          </cell>
          <cell r="S35">
            <v>411.55799999999999</v>
          </cell>
          <cell r="T35">
            <v>520.03899999999999</v>
          </cell>
          <cell r="U35">
            <v>652.19299999999998</v>
          </cell>
          <cell r="V35">
            <v>810.97699999999998</v>
          </cell>
          <cell r="W35">
            <v>997.39800000000002</v>
          </cell>
          <cell r="X35">
            <v>1212.77</v>
          </cell>
          <cell r="Y35">
            <v>1457.81</v>
          </cell>
          <cell r="Z35">
            <v>1733.77</v>
          </cell>
          <cell r="AA35">
            <v>2039.99</v>
          </cell>
          <cell r="AB35">
            <v>2375.84</v>
          </cell>
          <cell r="AC35">
            <v>2739.76</v>
          </cell>
        </row>
        <row r="36">
          <cell r="E36" t="str">
            <v/>
          </cell>
          <cell r="F36" t="str">
            <v/>
          </cell>
          <cell r="G36">
            <v>62.984299999999998</v>
          </cell>
          <cell r="H36">
            <v>45.430300000000003</v>
          </cell>
          <cell r="I36">
            <v>34.877800000000001</v>
          </cell>
          <cell r="J36">
            <v>44.311100000000003</v>
          </cell>
          <cell r="K36">
            <v>58.878100000000003</v>
          </cell>
          <cell r="L36">
            <v>86.126599999999996</v>
          </cell>
          <cell r="M36">
            <v>99.808599999999998</v>
          </cell>
          <cell r="N36">
            <v>135.911</v>
          </cell>
          <cell r="O36">
            <v>176.69</v>
          </cell>
          <cell r="P36">
            <v>235.25899999999999</v>
          </cell>
          <cell r="Q36">
            <v>322.35300000000001</v>
          </cell>
          <cell r="R36">
            <v>445.32499999999999</v>
          </cell>
          <cell r="S36">
            <v>612.52800000000002</v>
          </cell>
          <cell r="T36">
            <v>834.34100000000001</v>
          </cell>
          <cell r="U36">
            <v>1122.98</v>
          </cell>
          <cell r="V36">
            <v>1491.56</v>
          </cell>
          <cell r="W36">
            <v>1951.88</v>
          </cell>
          <cell r="X36">
            <v>2516.64</v>
          </cell>
          <cell r="Y36">
            <v>3196.66</v>
          </cell>
          <cell r="Z36">
            <v>4004.22</v>
          </cell>
          <cell r="AA36">
            <v>4951.08</v>
          </cell>
          <cell r="AB36">
            <v>6045.87</v>
          </cell>
          <cell r="AC36">
            <v>7294.83</v>
          </cell>
        </row>
        <row r="37">
          <cell r="E37">
            <v>6.82911</v>
          </cell>
          <cell r="F37">
            <v>7.7000999999999999</v>
          </cell>
          <cell r="G37">
            <v>12.041</v>
          </cell>
          <cell r="H37">
            <v>13.471399999999999</v>
          </cell>
          <cell r="I37">
            <v>16.186900000000001</v>
          </cell>
          <cell r="J37">
            <v>17.035499999999999</v>
          </cell>
          <cell r="K37">
            <v>22.412700000000001</v>
          </cell>
          <cell r="L37">
            <v>25.738299999999999</v>
          </cell>
          <cell r="M37">
            <v>21.377199999999998</v>
          </cell>
          <cell r="N37">
            <v>24.657</v>
          </cell>
          <cell r="O37">
            <v>29.9131</v>
          </cell>
          <cell r="P37">
            <v>36.409199999999998</v>
          </cell>
          <cell r="Q37">
            <v>44.298900000000003</v>
          </cell>
          <cell r="R37">
            <v>54.089700000000001</v>
          </cell>
          <cell r="S37">
            <v>66.279200000000003</v>
          </cell>
          <cell r="T37">
            <v>81.375100000000003</v>
          </cell>
          <cell r="U37">
            <v>99.804900000000004</v>
          </cell>
          <cell r="V37">
            <v>122.01900000000001</v>
          </cell>
          <cell r="W37">
            <v>148.05000000000001</v>
          </cell>
          <cell r="X37">
            <v>178.21100000000001</v>
          </cell>
          <cell r="Y37">
            <v>212.703</v>
          </cell>
          <cell r="Z37">
            <v>251.506</v>
          </cell>
          <cell r="AA37">
            <v>294.38299999999998</v>
          </cell>
          <cell r="AB37">
            <v>341.09899999999999</v>
          </cell>
          <cell r="AC37">
            <v>391.75400000000002</v>
          </cell>
        </row>
        <row r="38">
          <cell r="E38">
            <v>196.50899999999999</v>
          </cell>
          <cell r="F38">
            <v>219.81100000000001</v>
          </cell>
          <cell r="G38">
            <v>277.36700000000002</v>
          </cell>
          <cell r="H38">
            <v>349.78399999999999</v>
          </cell>
          <cell r="I38">
            <v>334.25599999999997</v>
          </cell>
          <cell r="J38">
            <v>399.28</v>
          </cell>
          <cell r="K38">
            <v>496.45100000000002</v>
          </cell>
          <cell r="L38">
            <v>624.05600000000004</v>
          </cell>
          <cell r="M38">
            <v>633.84500000000003</v>
          </cell>
          <cell r="N38">
            <v>797.69799999999998</v>
          </cell>
          <cell r="O38">
            <v>920.86599999999999</v>
          </cell>
          <cell r="P38">
            <v>1088.76</v>
          </cell>
          <cell r="Q38">
            <v>1299.21</v>
          </cell>
          <cell r="R38">
            <v>1540.01</v>
          </cell>
          <cell r="S38">
            <v>1800.18</v>
          </cell>
          <cell r="T38">
            <v>2075.2199999999998</v>
          </cell>
          <cell r="U38">
            <v>2360.2199999999998</v>
          </cell>
          <cell r="V38">
            <v>2654.62</v>
          </cell>
          <cell r="W38">
            <v>2952.98</v>
          </cell>
          <cell r="X38">
            <v>3248.18</v>
          </cell>
          <cell r="Y38">
            <v>3530.45</v>
          </cell>
          <cell r="Z38">
            <v>3798.32</v>
          </cell>
          <cell r="AA38">
            <v>4053.05</v>
          </cell>
          <cell r="AB38">
            <v>4296.4799999999996</v>
          </cell>
          <cell r="AC38">
            <v>4531.2299999999996</v>
          </cell>
        </row>
        <row r="39">
          <cell r="E39">
            <v>0.93681099999999995</v>
          </cell>
          <cell r="F39">
            <v>1.13592</v>
          </cell>
          <cell r="G39">
            <v>1.3266</v>
          </cell>
          <cell r="H39">
            <v>1.3895599999999999</v>
          </cell>
          <cell r="I39">
            <v>1.4682900000000001</v>
          </cell>
          <cell r="J39">
            <v>1.8006600000000001</v>
          </cell>
          <cell r="K39">
            <v>1.9848700000000001</v>
          </cell>
          <cell r="L39">
            <v>2.3008899999999999</v>
          </cell>
          <cell r="M39">
            <v>2.5978500000000002</v>
          </cell>
          <cell r="N39">
            <v>3.0184299999999999</v>
          </cell>
          <cell r="O39">
            <v>3.7325699999999999</v>
          </cell>
          <cell r="P39">
            <v>4.7369900000000005</v>
          </cell>
          <cell r="Q39">
            <v>6.5119600000000002</v>
          </cell>
          <cell r="R39">
            <v>9.1382899999999996</v>
          </cell>
          <cell r="S39">
            <v>12.548500000000001</v>
          </cell>
          <cell r="T39">
            <v>16.6724</v>
          </cell>
          <cell r="U39">
            <v>21.450399999999998</v>
          </cell>
          <cell r="V39">
            <v>26.843599999999999</v>
          </cell>
          <cell r="W39">
            <v>32.718899999999998</v>
          </cell>
          <cell r="X39">
            <v>39.0184</v>
          </cell>
          <cell r="Y39">
            <v>45.651299999999999</v>
          </cell>
          <cell r="Z39">
            <v>52.5488</v>
          </cell>
          <cell r="AA39">
            <v>59.695</v>
          </cell>
          <cell r="AB39">
            <v>67.031300000000002</v>
          </cell>
          <cell r="AC39">
            <v>74.572599999999994</v>
          </cell>
        </row>
        <row r="40">
          <cell r="E40">
            <v>0.59520499999999998</v>
          </cell>
          <cell r="F40">
            <v>0.81963699999999995</v>
          </cell>
          <cell r="G40">
            <v>0.99220000000000008</v>
          </cell>
          <cell r="H40">
            <v>1.2787600000000001</v>
          </cell>
          <cell r="I40">
            <v>1.91039</v>
          </cell>
          <cell r="J40">
            <v>2.5483099999999999</v>
          </cell>
          <cell r="K40">
            <v>3.4392800000000001</v>
          </cell>
          <cell r="L40">
            <v>3.69543</v>
          </cell>
          <cell r="M40">
            <v>3.5929099999999998</v>
          </cell>
          <cell r="N40">
            <v>5.1042800000000002</v>
          </cell>
          <cell r="O40">
            <v>6.4363599999999996</v>
          </cell>
          <cell r="P40">
            <v>7.8929400000000003</v>
          </cell>
          <cell r="Q40">
            <v>9.2915700000000001</v>
          </cell>
          <cell r="R40">
            <v>10.6586</v>
          </cell>
          <cell r="S40">
            <v>12.009</v>
          </cell>
          <cell r="T40">
            <v>13.398</v>
          </cell>
          <cell r="U40">
            <v>14.850300000000001</v>
          </cell>
          <cell r="V40">
            <v>16.4191</v>
          </cell>
          <cell r="W40">
            <v>18.038699999999999</v>
          </cell>
          <cell r="X40">
            <v>19.6555</v>
          </cell>
          <cell r="Y40">
            <v>21.2121</v>
          </cell>
          <cell r="Z40">
            <v>22.709499999999998</v>
          </cell>
          <cell r="AA40">
            <v>24.183299999999999</v>
          </cell>
          <cell r="AB40">
            <v>25.6859</v>
          </cell>
          <cell r="AC40">
            <v>27.2441</v>
          </cell>
        </row>
        <row r="41">
          <cell r="E41">
            <v>24.4038</v>
          </cell>
          <cell r="F41">
            <v>24.750599999999999</v>
          </cell>
          <cell r="G41">
            <v>30.9849</v>
          </cell>
          <cell r="H41">
            <v>40.341900000000003</v>
          </cell>
          <cell r="I41">
            <v>45.949599999999997</v>
          </cell>
          <cell r="J41">
            <v>55.701999999999998</v>
          </cell>
          <cell r="K41">
            <v>70.768299999999996</v>
          </cell>
          <cell r="L41">
            <v>85.241799999999998</v>
          </cell>
          <cell r="M41">
            <v>93.078900000000004</v>
          </cell>
          <cell r="N41">
            <v>118.316</v>
          </cell>
          <cell r="O41">
            <v>135.90600000000001</v>
          </cell>
          <cell r="P41">
            <v>160.15199999999999</v>
          </cell>
          <cell r="Q41">
            <v>187.113</v>
          </cell>
          <cell r="R41">
            <v>215.67400000000001</v>
          </cell>
          <cell r="S41">
            <v>244.30799999999999</v>
          </cell>
          <cell r="T41">
            <v>272.93400000000003</v>
          </cell>
          <cell r="U41">
            <v>301.60300000000001</v>
          </cell>
          <cell r="V41">
            <v>329.911</v>
          </cell>
          <cell r="W41">
            <v>356.36900000000003</v>
          </cell>
          <cell r="X41">
            <v>380.38299999999998</v>
          </cell>
          <cell r="Y41">
            <v>401.26900000000001</v>
          </cell>
          <cell r="Z41">
            <v>419.30700000000002</v>
          </cell>
          <cell r="AA41">
            <v>434.85399999999998</v>
          </cell>
          <cell r="AB41">
            <v>448.30799999999999</v>
          </cell>
          <cell r="AC41">
            <v>459.8</v>
          </cell>
        </row>
        <row r="42">
          <cell r="E42">
            <v>30.240100000000002</v>
          </cell>
          <cell r="F42">
            <v>45.566400000000002</v>
          </cell>
          <cell r="G42">
            <v>45.107199999999999</v>
          </cell>
          <cell r="H42">
            <v>31.287199999999999</v>
          </cell>
          <cell r="I42">
            <v>39.065199999999997</v>
          </cell>
          <cell r="J42">
            <v>49.910699999999999</v>
          </cell>
          <cell r="K42">
            <v>64.885999999999996</v>
          </cell>
          <cell r="L42">
            <v>74.509399999999999</v>
          </cell>
          <cell r="M42">
            <v>69.311499999999995</v>
          </cell>
          <cell r="N42">
            <v>82.798100000000005</v>
          </cell>
          <cell r="O42">
            <v>103.15</v>
          </cell>
          <cell r="P42">
            <v>130.22900000000001</v>
          </cell>
          <cell r="Q42">
            <v>168.50200000000001</v>
          </cell>
          <cell r="R42">
            <v>216.215</v>
          </cell>
          <cell r="S42">
            <v>271.23599999999999</v>
          </cell>
          <cell r="T42">
            <v>331.02800000000002</v>
          </cell>
          <cell r="U42">
            <v>394.298</v>
          </cell>
          <cell r="V42">
            <v>461.17700000000002</v>
          </cell>
          <cell r="W42">
            <v>530.63599999999997</v>
          </cell>
          <cell r="X42">
            <v>602.56799999999998</v>
          </cell>
          <cell r="Y42">
            <v>676.18899999999996</v>
          </cell>
          <cell r="Z42">
            <v>750.29600000000005</v>
          </cell>
          <cell r="AA42">
            <v>824.41</v>
          </cell>
          <cell r="AB42">
            <v>898.68799999999999</v>
          </cell>
          <cell r="AC42">
            <v>973.38900000000001</v>
          </cell>
        </row>
        <row r="43">
          <cell r="E43">
            <v>7.8670999999999998</v>
          </cell>
          <cell r="F43">
            <v>10.3443</v>
          </cell>
          <cell r="G43">
            <v>14.4358</v>
          </cell>
          <cell r="H43">
            <v>18.643599999999999</v>
          </cell>
          <cell r="I43">
            <v>22.874400000000001</v>
          </cell>
          <cell r="J43">
            <v>27.873000000000001</v>
          </cell>
          <cell r="K43">
            <v>31.863</v>
          </cell>
          <cell r="L43">
            <v>29.313800000000001</v>
          </cell>
          <cell r="M43">
            <v>35.220999999999997</v>
          </cell>
          <cell r="N43">
            <v>42.901499999999999</v>
          </cell>
          <cell r="O43">
            <v>49.463200000000001</v>
          </cell>
          <cell r="P43">
            <v>56.082700000000003</v>
          </cell>
          <cell r="Q43">
            <v>62.532600000000002</v>
          </cell>
          <cell r="R43">
            <v>68.938699999999997</v>
          </cell>
          <cell r="S43">
            <v>75.375100000000003</v>
          </cell>
          <cell r="T43">
            <v>82.023600000000002</v>
          </cell>
          <cell r="U43">
            <v>89.070700000000002</v>
          </cell>
          <cell r="V43">
            <v>96.378500000000003</v>
          </cell>
          <cell r="W43">
            <v>103.52800000000001</v>
          </cell>
          <cell r="X43">
            <v>110.282</v>
          </cell>
          <cell r="Y43">
            <v>116.524</v>
          </cell>
          <cell r="Z43">
            <v>122.375</v>
          </cell>
          <cell r="AA43">
            <v>128.11600000000001</v>
          </cell>
          <cell r="AB43">
            <v>134.00200000000001</v>
          </cell>
          <cell r="AC43">
            <v>140.01499999999999</v>
          </cell>
        </row>
        <row r="44">
          <cell r="E44" t="str">
            <v/>
          </cell>
          <cell r="F44" t="str">
            <v/>
          </cell>
          <cell r="G44">
            <v>271.55799999999999</v>
          </cell>
          <cell r="H44">
            <v>234.852</v>
          </cell>
          <cell r="I44">
            <v>240.22399999999999</v>
          </cell>
          <cell r="J44">
            <v>290.55500000000001</v>
          </cell>
          <cell r="K44">
            <v>328.39299999999997</v>
          </cell>
          <cell r="L44">
            <v>357.65100000000001</v>
          </cell>
          <cell r="M44">
            <v>387.56</v>
          </cell>
          <cell r="N44">
            <v>424.54700000000003</v>
          </cell>
          <cell r="O44">
            <v>460.39699999999999</v>
          </cell>
          <cell r="P44">
            <v>494.05</v>
          </cell>
          <cell r="Q44">
            <v>526.779</v>
          </cell>
          <cell r="R44">
            <v>557.96100000000001</v>
          </cell>
          <cell r="S44">
            <v>587.66999999999996</v>
          </cell>
          <cell r="T44">
            <v>618.63499999999999</v>
          </cell>
          <cell r="U44">
            <v>649.52499999999998</v>
          </cell>
          <cell r="V44">
            <v>680.54899999999998</v>
          </cell>
          <cell r="W44">
            <v>709.63199999999995</v>
          </cell>
          <cell r="X44">
            <v>736.01800000000003</v>
          </cell>
          <cell r="Y44">
            <v>759.95</v>
          </cell>
          <cell r="Z44">
            <v>782.21799999999996</v>
          </cell>
          <cell r="AA44">
            <v>803.20399999999995</v>
          </cell>
          <cell r="AB44">
            <v>822.92499999999995</v>
          </cell>
          <cell r="AC44">
            <v>840.15</v>
          </cell>
        </row>
        <row r="45">
          <cell r="E45">
            <v>2316.44</v>
          </cell>
          <cell r="F45">
            <v>2485.12</v>
          </cell>
          <cell r="G45">
            <v>2921.95</v>
          </cell>
          <cell r="H45">
            <v>3216.22</v>
          </cell>
          <cell r="I45">
            <v>3284.5</v>
          </cell>
          <cell r="J45">
            <v>3368.11</v>
          </cell>
          <cell r="K45">
            <v>3569.26</v>
          </cell>
          <cell r="L45">
            <v>3885.63</v>
          </cell>
          <cell r="M45">
            <v>3998.7</v>
          </cell>
          <cell r="N45">
            <v>4276.21</v>
          </cell>
          <cell r="O45">
            <v>4501.66</v>
          </cell>
          <cell r="P45">
            <v>4741.78</v>
          </cell>
          <cell r="Q45">
            <v>5023.1499999999996</v>
          </cell>
          <cell r="R45">
            <v>5321.68</v>
          </cell>
          <cell r="S45">
            <v>5608.85</v>
          </cell>
          <cell r="T45">
            <v>5882.48</v>
          </cell>
          <cell r="U45">
            <v>6151.34</v>
          </cell>
          <cell r="V45">
            <v>6423.16</v>
          </cell>
          <cell r="W45">
            <v>6693.49</v>
          </cell>
          <cell r="X45">
            <v>6954.63</v>
          </cell>
          <cell r="Y45">
            <v>7188.15</v>
          </cell>
          <cell r="Z45">
            <v>7382.04</v>
          </cell>
          <cell r="AA45">
            <v>7537.4</v>
          </cell>
          <cell r="AB45">
            <v>7660.93</v>
          </cell>
          <cell r="AC45">
            <v>7755.9</v>
          </cell>
        </row>
        <row r="46">
          <cell r="E46" t="str">
            <v/>
          </cell>
          <cell r="F46" t="str">
            <v/>
          </cell>
          <cell r="G46">
            <v>2.52847</v>
          </cell>
          <cell r="H46">
            <v>2.15848</v>
          </cell>
          <cell r="I46">
            <v>2.1300699999999999</v>
          </cell>
          <cell r="J46">
            <v>2.4477500000000001</v>
          </cell>
          <cell r="K46">
            <v>3.0172400000000001</v>
          </cell>
          <cell r="L46">
            <v>4.09931</v>
          </cell>
          <cell r="M46">
            <v>5.1885700000000003</v>
          </cell>
          <cell r="N46">
            <v>6.57003</v>
          </cell>
          <cell r="O46">
            <v>8.6472899999999999</v>
          </cell>
          <cell r="P46">
            <v>11.7591</v>
          </cell>
          <cell r="Q46">
            <v>14.9064</v>
          </cell>
          <cell r="R46">
            <v>18.203499999999998</v>
          </cell>
          <cell r="S46">
            <v>21.744599999999998</v>
          </cell>
          <cell r="T46">
            <v>25.576000000000001</v>
          </cell>
          <cell r="U46">
            <v>29.694900000000001</v>
          </cell>
          <cell r="V46">
            <v>34.076099999999997</v>
          </cell>
          <cell r="W46">
            <v>38.576900000000002</v>
          </cell>
          <cell r="X46">
            <v>43.179900000000004</v>
          </cell>
          <cell r="Y46">
            <v>47.829799999999999</v>
          </cell>
          <cell r="Z46">
            <v>52.493400000000001</v>
          </cell>
          <cell r="AA46">
            <v>57.231499999999997</v>
          </cell>
          <cell r="AB46">
            <v>62.054699999999997</v>
          </cell>
          <cell r="AC46">
            <v>66.931200000000004</v>
          </cell>
        </row>
        <row r="47">
          <cell r="E47">
            <v>163.197</v>
          </cell>
          <cell r="F47">
            <v>186.822</v>
          </cell>
          <cell r="G47">
            <v>200.64099999999999</v>
          </cell>
          <cell r="H47">
            <v>225.11699999999999</v>
          </cell>
          <cell r="I47">
            <v>242.15</v>
          </cell>
          <cell r="J47">
            <v>258.71600000000001</v>
          </cell>
          <cell r="K47">
            <v>261.45400000000001</v>
          </cell>
          <cell r="L47">
            <v>278.74900000000002</v>
          </cell>
          <cell r="M47">
            <v>298.88600000000002</v>
          </cell>
          <cell r="N47">
            <v>341.173</v>
          </cell>
          <cell r="O47">
            <v>364.74200000000002</v>
          </cell>
          <cell r="P47">
            <v>388.06400000000002</v>
          </cell>
          <cell r="Q47">
            <v>412.12900000000002</v>
          </cell>
          <cell r="R47">
            <v>438.32600000000002</v>
          </cell>
          <cell r="S47">
            <v>465.92099999999999</v>
          </cell>
          <cell r="T47">
            <v>493.76100000000002</v>
          </cell>
          <cell r="U47">
            <v>522.05100000000004</v>
          </cell>
          <cell r="V47">
            <v>551.28899999999999</v>
          </cell>
          <cell r="W47">
            <v>579.53099999999995</v>
          </cell>
          <cell r="X47">
            <v>606.31399999999996</v>
          </cell>
          <cell r="Y47">
            <v>631.60500000000002</v>
          </cell>
          <cell r="Z47">
            <v>654.36099999999999</v>
          </cell>
          <cell r="AA47">
            <v>673.95</v>
          </cell>
          <cell r="AB47">
            <v>690.57100000000003</v>
          </cell>
          <cell r="AC47">
            <v>704.71699999999998</v>
          </cell>
        </row>
        <row r="48">
          <cell r="E48">
            <v>35.007899999999999</v>
          </cell>
          <cell r="F48">
            <v>38.496299999999998</v>
          </cell>
          <cell r="G48">
            <v>44.250300000000003</v>
          </cell>
          <cell r="H48">
            <v>57.837800000000001</v>
          </cell>
          <cell r="I48">
            <v>78.971299999999999</v>
          </cell>
          <cell r="J48">
            <v>93.622699999999995</v>
          </cell>
          <cell r="K48">
            <v>123.92700000000001</v>
          </cell>
          <cell r="L48">
            <v>157.602</v>
          </cell>
          <cell r="M48">
            <v>184.447</v>
          </cell>
          <cell r="N48">
            <v>247.21700000000001</v>
          </cell>
          <cell r="O48">
            <v>315.41800000000001</v>
          </cell>
          <cell r="P48">
            <v>389.26799999999997</v>
          </cell>
          <cell r="Q48">
            <v>462.61</v>
          </cell>
          <cell r="R48">
            <v>536.93299999999999</v>
          </cell>
          <cell r="S48">
            <v>613.02499999999998</v>
          </cell>
          <cell r="T48">
            <v>691.10199999999998</v>
          </cell>
          <cell r="U48">
            <v>771.01300000000003</v>
          </cell>
          <cell r="V48">
            <v>854.03399999999999</v>
          </cell>
          <cell r="W48">
            <v>938.03499999999997</v>
          </cell>
          <cell r="X48">
            <v>1022.62</v>
          </cell>
          <cell r="Y48">
            <v>1106.3599999999999</v>
          </cell>
          <cell r="Z48">
            <v>1189.02</v>
          </cell>
          <cell r="AA48">
            <v>1271.43</v>
          </cell>
          <cell r="AB48">
            <v>1354.2</v>
          </cell>
          <cell r="AC48">
            <v>1438</v>
          </cell>
        </row>
        <row r="49">
          <cell r="E49">
            <v>168.22900000000001</v>
          </cell>
          <cell r="F49">
            <v>216.69399999999999</v>
          </cell>
          <cell r="G49">
            <v>222.54499999999999</v>
          </cell>
          <cell r="H49">
            <v>225.06700000000001</v>
          </cell>
          <cell r="I49">
            <v>265.91300000000001</v>
          </cell>
          <cell r="J49">
            <v>342.46499999999997</v>
          </cell>
          <cell r="K49">
            <v>388.03199999999998</v>
          </cell>
          <cell r="L49">
            <v>456.84899999999999</v>
          </cell>
          <cell r="M49">
            <v>463.72199999999998</v>
          </cell>
          <cell r="N49">
            <v>543.28800000000001</v>
          </cell>
          <cell r="O49">
            <v>596.25900000000001</v>
          </cell>
          <cell r="P49">
            <v>666.65300000000002</v>
          </cell>
          <cell r="Q49">
            <v>742.76300000000003</v>
          </cell>
          <cell r="R49">
            <v>834.654</v>
          </cell>
          <cell r="S49">
            <v>949.78</v>
          </cell>
          <cell r="T49">
            <v>1092.8699999999999</v>
          </cell>
          <cell r="U49">
            <v>1268.21</v>
          </cell>
          <cell r="V49">
            <v>1478.38</v>
          </cell>
          <cell r="W49">
            <v>1716.27</v>
          </cell>
          <cell r="X49">
            <v>1982.76</v>
          </cell>
          <cell r="Y49">
            <v>2279.87</v>
          </cell>
          <cell r="Z49">
            <v>2613.85</v>
          </cell>
          <cell r="AA49">
            <v>2991.33</v>
          </cell>
          <cell r="AB49">
            <v>3415.15</v>
          </cell>
          <cell r="AC49">
            <v>3879.99</v>
          </cell>
        </row>
        <row r="50">
          <cell r="E50">
            <v>67.433199999999999</v>
          </cell>
          <cell r="F50">
            <v>74.974599999999995</v>
          </cell>
          <cell r="G50">
            <v>82.947599999999994</v>
          </cell>
          <cell r="H50">
            <v>98.236599999999996</v>
          </cell>
          <cell r="I50">
            <v>103.684</v>
          </cell>
          <cell r="J50">
            <v>131.39500000000001</v>
          </cell>
          <cell r="K50">
            <v>155.22900000000001</v>
          </cell>
          <cell r="L50">
            <v>192.86500000000001</v>
          </cell>
          <cell r="M50">
            <v>182.16499999999999</v>
          </cell>
          <cell r="N50">
            <v>205.77600000000001</v>
          </cell>
          <cell r="O50">
            <v>235.005</v>
          </cell>
          <cell r="P50">
            <v>270.48399999999998</v>
          </cell>
          <cell r="Q50">
            <v>312.125</v>
          </cell>
          <cell r="R50">
            <v>360.57100000000003</v>
          </cell>
          <cell r="S50">
            <v>416.19099999999997</v>
          </cell>
          <cell r="T50">
            <v>479.20600000000002</v>
          </cell>
          <cell r="U50">
            <v>550.06600000000003</v>
          </cell>
          <cell r="V50">
            <v>628.96199999999999</v>
          </cell>
          <cell r="W50">
            <v>713.428</v>
          </cell>
          <cell r="X50">
            <v>801.91800000000001</v>
          </cell>
          <cell r="Y50">
            <v>892.46699999999998</v>
          </cell>
          <cell r="Z50">
            <v>984.39</v>
          </cell>
          <cell r="AA50">
            <v>1077.3599999999999</v>
          </cell>
          <cell r="AB50">
            <v>1171.25</v>
          </cell>
          <cell r="AC50">
            <v>1266.06</v>
          </cell>
        </row>
        <row r="51">
          <cell r="E51">
            <v>216.864</v>
          </cell>
          <cell r="F51">
            <v>300.44299999999998</v>
          </cell>
          <cell r="G51">
            <v>359.77</v>
          </cell>
          <cell r="H51">
            <v>412.69799999999998</v>
          </cell>
          <cell r="I51">
            <v>551.31899999999996</v>
          </cell>
          <cell r="J51">
            <v>660.89300000000003</v>
          </cell>
          <cell r="K51">
            <v>891.81399999999996</v>
          </cell>
          <cell r="L51">
            <v>1029.48</v>
          </cell>
          <cell r="M51">
            <v>1288.6600000000001</v>
          </cell>
          <cell r="N51">
            <v>1608.55</v>
          </cell>
          <cell r="O51">
            <v>2138.34</v>
          </cell>
          <cell r="P51">
            <v>2823</v>
          </cell>
          <cell r="Q51">
            <v>3654.92</v>
          </cell>
          <cell r="R51">
            <v>4643.7700000000004</v>
          </cell>
          <cell r="S51">
            <v>5804.68</v>
          </cell>
          <cell r="T51">
            <v>7154.67</v>
          </cell>
          <cell r="U51">
            <v>8692.43</v>
          </cell>
          <cell r="V51">
            <v>10395.9</v>
          </cell>
          <cell r="W51">
            <v>12201.9</v>
          </cell>
          <cell r="X51">
            <v>14116.3</v>
          </cell>
          <cell r="Y51">
            <v>16121.9</v>
          </cell>
          <cell r="Z51">
            <v>18209.900000000001</v>
          </cell>
          <cell r="AA51">
            <v>20387.599999999999</v>
          </cell>
          <cell r="AB51">
            <v>22651</v>
          </cell>
          <cell r="AC51">
            <v>24978.5</v>
          </cell>
        </row>
        <row r="52">
          <cell r="E52" t="str">
            <v/>
          </cell>
          <cell r="F52" t="str">
            <v/>
          </cell>
          <cell r="G52" t="str">
            <v/>
          </cell>
          <cell r="H52">
            <v>3.7832600000000003</v>
          </cell>
          <cell r="I52">
            <v>3.9888599999999999</v>
          </cell>
          <cell r="J52">
            <v>4.5264899999999999</v>
          </cell>
          <cell r="K52">
            <v>4.5549900000000001</v>
          </cell>
          <cell r="L52">
            <v>5.4295200000000001</v>
          </cell>
          <cell r="M52">
            <v>6.1254999999999997</v>
          </cell>
          <cell r="N52">
            <v>7.0400700000000001</v>
          </cell>
          <cell r="O52">
            <v>8.3942099999999993</v>
          </cell>
          <cell r="P52">
            <v>10.652900000000001</v>
          </cell>
          <cell r="Q52">
            <v>14.0091</v>
          </cell>
          <cell r="R52">
            <v>18.692599999999999</v>
          </cell>
          <cell r="S52">
            <v>24.841200000000001</v>
          </cell>
          <cell r="T52">
            <v>32.563200000000002</v>
          </cell>
          <cell r="U52">
            <v>41.935600000000001</v>
          </cell>
          <cell r="V52">
            <v>53.174999999999997</v>
          </cell>
          <cell r="W52">
            <v>66.367400000000004</v>
          </cell>
          <cell r="X52">
            <v>81.779899999999998</v>
          </cell>
          <cell r="Y52">
            <v>99.3583</v>
          </cell>
          <cell r="Z52">
            <v>118.999</v>
          </cell>
          <cell r="AA52">
            <v>140.71799999999999</v>
          </cell>
          <cell r="AB52">
            <v>164.751</v>
          </cell>
          <cell r="AC52">
            <v>191.48599999999999</v>
          </cell>
        </row>
        <row r="53"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>
            <v>0.98215299999999994</v>
          </cell>
          <cell r="N53">
            <v>1.1495599999999999</v>
          </cell>
          <cell r="O53">
            <v>1.2688900000000001</v>
          </cell>
          <cell r="P53">
            <v>1.4841299999999999</v>
          </cell>
          <cell r="Q53">
            <v>1.7751600000000001</v>
          </cell>
          <cell r="R53">
            <v>2.1526999999999998</v>
          </cell>
          <cell r="S53">
            <v>2.64181</v>
          </cell>
          <cell r="T53">
            <v>3.2801499999999999</v>
          </cell>
          <cell r="U53">
            <v>4.1124799999999997</v>
          </cell>
          <cell r="V53">
            <v>5.1776999999999997</v>
          </cell>
          <cell r="W53">
            <v>6.5034200000000002</v>
          </cell>
          <cell r="X53">
            <v>8.1392399999999991</v>
          </cell>
          <cell r="Y53">
            <v>10.140499999999999</v>
          </cell>
          <cell r="Z53">
            <v>12.5496</v>
          </cell>
          <cell r="AA53">
            <v>15.3971</v>
          </cell>
          <cell r="AB53">
            <v>18.6934</v>
          </cell>
          <cell r="AC53">
            <v>22.4255</v>
          </cell>
        </row>
        <row r="54">
          <cell r="E54">
            <v>801.702</v>
          </cell>
          <cell r="F54">
            <v>859.17</v>
          </cell>
          <cell r="G54">
            <v>1070.56</v>
          </cell>
          <cell r="H54">
            <v>1153.6600000000001</v>
          </cell>
          <cell r="I54">
            <v>1316.71</v>
          </cell>
          <cell r="J54">
            <v>1547.53</v>
          </cell>
          <cell r="K54">
            <v>1623.17</v>
          </cell>
          <cell r="L54">
            <v>1621.84</v>
          </cell>
          <cell r="M54">
            <v>1594.61</v>
          </cell>
          <cell r="N54">
            <v>1900.93</v>
          </cell>
          <cell r="O54">
            <v>2035.67</v>
          </cell>
          <cell r="P54">
            <v>2218.54</v>
          </cell>
          <cell r="Q54">
            <v>2430.13</v>
          </cell>
          <cell r="R54">
            <v>2654.03</v>
          </cell>
          <cell r="S54">
            <v>2884.21</v>
          </cell>
          <cell r="T54">
            <v>3121.68</v>
          </cell>
          <cell r="U54">
            <v>3363.09</v>
          </cell>
          <cell r="V54">
            <v>3595.26</v>
          </cell>
          <cell r="W54">
            <v>3800.88</v>
          </cell>
          <cell r="X54">
            <v>3982.46</v>
          </cell>
          <cell r="Y54">
            <v>4146.6499999999996</v>
          </cell>
          <cell r="Z54">
            <v>4299.8100000000004</v>
          </cell>
          <cell r="AA54">
            <v>4442.6099999999997</v>
          </cell>
          <cell r="AB54">
            <v>4569.6000000000004</v>
          </cell>
          <cell r="AC54">
            <v>4671.2700000000004</v>
          </cell>
        </row>
        <row r="55">
          <cell r="E55" t="str">
            <v/>
          </cell>
          <cell r="F55" t="str">
            <v/>
          </cell>
          <cell r="G55" t="str">
            <v/>
          </cell>
          <cell r="H55">
            <v>18.3139</v>
          </cell>
          <cell r="I55">
            <v>23.253699999999998</v>
          </cell>
          <cell r="J55">
            <v>33.082999999999998</v>
          </cell>
          <cell r="K55">
            <v>32.532800000000002</v>
          </cell>
          <cell r="L55">
            <v>38.356000000000002</v>
          </cell>
          <cell r="M55">
            <v>44.700800000000001</v>
          </cell>
          <cell r="N55">
            <v>47.963299999999997</v>
          </cell>
          <cell r="O55">
            <v>56.752000000000002</v>
          </cell>
          <cell r="P55">
            <v>62.433500000000002</v>
          </cell>
          <cell r="Q55">
            <v>66.567400000000006</v>
          </cell>
          <cell r="R55">
            <v>69.351299999999995</v>
          </cell>
          <cell r="S55">
            <v>71.454300000000003</v>
          </cell>
          <cell r="T55">
            <v>73.335599999999999</v>
          </cell>
          <cell r="U55">
            <v>75.390199999999993</v>
          </cell>
          <cell r="V55">
            <v>77.424000000000007</v>
          </cell>
          <cell r="W55">
            <v>79.090699999999998</v>
          </cell>
          <cell r="X55">
            <v>80.314499999999995</v>
          </cell>
          <cell r="Y55">
            <v>81.102500000000006</v>
          </cell>
          <cell r="Z55">
            <v>81.561800000000005</v>
          </cell>
          <cell r="AA55">
            <v>81.818399999999997</v>
          </cell>
          <cell r="AB55">
            <v>81.919399999999996</v>
          </cell>
          <cell r="AC55">
            <v>81.7684</v>
          </cell>
        </row>
        <row r="56">
          <cell r="E56">
            <v>29.6188</v>
          </cell>
          <cell r="F56">
            <v>27.910499999999999</v>
          </cell>
          <cell r="G56">
            <v>35.810099999999998</v>
          </cell>
          <cell r="H56">
            <v>37.679900000000004</v>
          </cell>
          <cell r="I56">
            <v>49.2136</v>
          </cell>
          <cell r="J56">
            <v>66.123699999999999</v>
          </cell>
          <cell r="K56">
            <v>111.51300000000001</v>
          </cell>
          <cell r="L56">
            <v>180.71100000000001</v>
          </cell>
          <cell r="M56">
            <v>267.89699999999999</v>
          </cell>
          <cell r="N56">
            <v>363.20699999999999</v>
          </cell>
          <cell r="O56">
            <v>508.13499999999999</v>
          </cell>
          <cell r="P56">
            <v>702.46799999999996</v>
          </cell>
          <cell r="Q56">
            <v>947.49300000000005</v>
          </cell>
          <cell r="R56">
            <v>1261.73</v>
          </cell>
          <cell r="S56">
            <v>1658.1</v>
          </cell>
          <cell r="T56">
            <v>2150.23</v>
          </cell>
          <cell r="U56">
            <v>2751.48</v>
          </cell>
          <cell r="V56">
            <v>3479.28</v>
          </cell>
          <cell r="W56">
            <v>4334.97</v>
          </cell>
          <cell r="X56">
            <v>5328.9</v>
          </cell>
          <cell r="Y56">
            <v>6453.35</v>
          </cell>
          <cell r="Z56">
            <v>7700.59</v>
          </cell>
          <cell r="AA56">
            <v>9069.1200000000008</v>
          </cell>
          <cell r="AB56">
            <v>10558.5</v>
          </cell>
          <cell r="AC56">
            <v>12171.6</v>
          </cell>
        </row>
        <row r="57">
          <cell r="E57">
            <v>121.535</v>
          </cell>
          <cell r="F57">
            <v>139.042</v>
          </cell>
          <cell r="G57">
            <v>164.339</v>
          </cell>
          <cell r="H57">
            <v>160.98599999999999</v>
          </cell>
          <cell r="I57">
            <v>194.702</v>
          </cell>
          <cell r="J57">
            <v>221.52500000000001</v>
          </cell>
          <cell r="K57">
            <v>231.98099999999999</v>
          </cell>
          <cell r="L57">
            <v>232.86500000000001</v>
          </cell>
          <cell r="M57">
            <v>246.971</v>
          </cell>
          <cell r="N57">
            <v>265.78800000000001</v>
          </cell>
          <cell r="O57">
            <v>285.82299999999998</v>
          </cell>
          <cell r="P57">
            <v>302.77600000000001</v>
          </cell>
          <cell r="Q57">
            <v>320.19799999999998</v>
          </cell>
          <cell r="R57">
            <v>337.99799999999999</v>
          </cell>
          <cell r="S57">
            <v>356.37700000000001</v>
          </cell>
          <cell r="T57">
            <v>376.25700000000001</v>
          </cell>
          <cell r="U57">
            <v>398.12599999999998</v>
          </cell>
          <cell r="V57">
            <v>421.685</v>
          </cell>
          <cell r="W57">
            <v>445.04399999999998</v>
          </cell>
          <cell r="X57">
            <v>467.173</v>
          </cell>
          <cell r="Y57">
            <v>487.71600000000001</v>
          </cell>
          <cell r="Z57">
            <v>507.00299999999999</v>
          </cell>
          <cell r="AA57">
            <v>525.34500000000003</v>
          </cell>
          <cell r="AB57">
            <v>542.78499999999997</v>
          </cell>
          <cell r="AC57">
            <v>558.80899999999997</v>
          </cell>
        </row>
        <row r="58">
          <cell r="E58">
            <v>4.7847200000000001</v>
          </cell>
          <cell r="F58">
            <v>5.0913199999999996</v>
          </cell>
          <cell r="G58">
            <v>6.2800900000000004</v>
          </cell>
          <cell r="H58">
            <v>7.1725200000000005</v>
          </cell>
          <cell r="I58">
            <v>7.9407199999999998</v>
          </cell>
          <cell r="J58">
            <v>8.7567900000000005</v>
          </cell>
          <cell r="K58">
            <v>9.0702300000000005</v>
          </cell>
          <cell r="L58">
            <v>10.918900000000001</v>
          </cell>
          <cell r="M58">
            <v>10.090299999999999</v>
          </cell>
          <cell r="N58">
            <v>13.3352</v>
          </cell>
          <cell r="O58">
            <v>15.6828</v>
          </cell>
          <cell r="P58">
            <v>18.3736</v>
          </cell>
          <cell r="Q58">
            <v>21.529499999999999</v>
          </cell>
          <cell r="R58">
            <v>25.146899999999999</v>
          </cell>
          <cell r="S58">
            <v>29.212299999999999</v>
          </cell>
          <cell r="T58">
            <v>33.754399999999997</v>
          </cell>
          <cell r="U58">
            <v>38.733199999999997</v>
          </cell>
          <cell r="V58">
            <v>44.1496</v>
          </cell>
          <cell r="W58">
            <v>49.933599999999998</v>
          </cell>
          <cell r="X58">
            <v>56.0852</v>
          </cell>
          <cell r="Y58">
            <v>62.626399999999997</v>
          </cell>
          <cell r="Z58">
            <v>69.582499999999996</v>
          </cell>
          <cell r="AA58">
            <v>76.949100000000001</v>
          </cell>
          <cell r="AB58">
            <v>84.750799999999998</v>
          </cell>
          <cell r="AC58">
            <v>92.982399999999998</v>
          </cell>
        </row>
        <row r="59">
          <cell r="E59">
            <v>1537.29</v>
          </cell>
          <cell r="F59">
            <v>1665.42</v>
          </cell>
          <cell r="G59">
            <v>1965.34</v>
          </cell>
          <cell r="H59">
            <v>2096.5100000000002</v>
          </cell>
          <cell r="I59">
            <v>2283.48</v>
          </cell>
          <cell r="J59">
            <v>2477.34</v>
          </cell>
          <cell r="K59">
            <v>2580.44</v>
          </cell>
          <cell r="L59">
            <v>2719.94</v>
          </cell>
          <cell r="M59">
            <v>2695.32</v>
          </cell>
          <cell r="N59">
            <v>3022.77</v>
          </cell>
          <cell r="O59">
            <v>3265.75</v>
          </cell>
          <cell r="P59">
            <v>3486.36</v>
          </cell>
          <cell r="Q59">
            <v>3711.23</v>
          </cell>
          <cell r="R59">
            <v>3940.75</v>
          </cell>
          <cell r="S59">
            <v>4178.93</v>
          </cell>
          <cell r="T59">
            <v>4428.96</v>
          </cell>
          <cell r="U59">
            <v>4693.29</v>
          </cell>
          <cell r="V59">
            <v>4968.2299999999996</v>
          </cell>
          <cell r="W59">
            <v>5243.91</v>
          </cell>
          <cell r="X59">
            <v>5522.48</v>
          </cell>
          <cell r="Y59">
            <v>5807.52</v>
          </cell>
          <cell r="Z59">
            <v>6099.91</v>
          </cell>
          <cell r="AA59">
            <v>6398.21</v>
          </cell>
          <cell r="AB59">
            <v>6696.51</v>
          </cell>
          <cell r="AC59">
            <v>6982.91</v>
          </cell>
        </row>
        <row r="60">
          <cell r="E60" t="str">
            <v/>
          </cell>
          <cell r="F60" t="str">
            <v/>
          </cell>
          <cell r="G60">
            <v>0.28844900000000001</v>
          </cell>
          <cell r="H60">
            <v>0.326602</v>
          </cell>
          <cell r="I60">
            <v>0.325235</v>
          </cell>
          <cell r="J60">
            <v>0.33480099999999996</v>
          </cell>
          <cell r="K60">
            <v>0.33206799999999997</v>
          </cell>
          <cell r="L60">
            <v>0.33070099999999997</v>
          </cell>
          <cell r="M60">
            <v>0.337534</v>
          </cell>
          <cell r="N60">
            <v>0.35393199999999997</v>
          </cell>
          <cell r="O60">
            <v>0.37526499999999996</v>
          </cell>
          <cell r="P60">
            <v>0.428452</v>
          </cell>
          <cell r="Q60">
            <v>0.51525699999999997</v>
          </cell>
          <cell r="R60">
            <v>0.640459</v>
          </cell>
          <cell r="S60">
            <v>0.81223499999999993</v>
          </cell>
          <cell r="T60">
            <v>1.0384199999999999</v>
          </cell>
          <cell r="U60">
            <v>1.3268500000000001</v>
          </cell>
          <cell r="V60">
            <v>1.6912600000000002</v>
          </cell>
          <cell r="W60">
            <v>2.1368999999999998</v>
          </cell>
          <cell r="X60">
            <v>2.6733700000000002</v>
          </cell>
          <cell r="Y60">
            <v>3.30457</v>
          </cell>
          <cell r="Z60">
            <v>4.0330399999999997</v>
          </cell>
          <cell r="AA60">
            <v>4.8594100000000005</v>
          </cell>
          <cell r="AB60">
            <v>5.7852399999999999</v>
          </cell>
          <cell r="AC60">
            <v>6.8191300000000004</v>
          </cell>
        </row>
        <row r="61">
          <cell r="E61">
            <v>14.662599999999999</v>
          </cell>
          <cell r="F61">
            <v>16.588000000000001</v>
          </cell>
          <cell r="G61">
            <v>17.258600000000001</v>
          </cell>
          <cell r="H61">
            <v>20.087399999999999</v>
          </cell>
          <cell r="I61">
            <v>20.348099999999999</v>
          </cell>
          <cell r="J61">
            <v>21.247299999999999</v>
          </cell>
          <cell r="K61">
            <v>23.4133</v>
          </cell>
          <cell r="L61">
            <v>30.209399999999999</v>
          </cell>
          <cell r="M61">
            <v>31.8749</v>
          </cell>
          <cell r="N61">
            <v>36.002499999999998</v>
          </cell>
          <cell r="O61">
            <v>42.019799999999996</v>
          </cell>
          <cell r="P61">
            <v>50.812800000000003</v>
          </cell>
          <cell r="Q61">
            <v>60.228700000000003</v>
          </cell>
          <cell r="R61">
            <v>70.372200000000007</v>
          </cell>
          <cell r="S61">
            <v>81.394599999999997</v>
          </cell>
          <cell r="T61">
            <v>93.558899999999994</v>
          </cell>
          <cell r="U61">
            <v>107.051</v>
          </cell>
          <cell r="V61">
            <v>121.914</v>
          </cell>
          <cell r="W61">
            <v>137.75</v>
          </cell>
          <cell r="X61">
            <v>154.46799999999999</v>
          </cell>
          <cell r="Y61">
            <v>171.83799999999999</v>
          </cell>
          <cell r="Z61">
            <v>189.667</v>
          </cell>
          <cell r="AA61">
            <v>207.947</v>
          </cell>
          <cell r="AB61">
            <v>226.66</v>
          </cell>
          <cell r="AC61">
            <v>245.77199999999999</v>
          </cell>
        </row>
        <row r="62">
          <cell r="E62">
            <v>1342.44</v>
          </cell>
          <cell r="F62">
            <v>1506.67</v>
          </cell>
          <cell r="G62">
            <v>1777.11</v>
          </cell>
          <cell r="H62">
            <v>1901.7</v>
          </cell>
          <cell r="I62">
            <v>2166.1999999999998</v>
          </cell>
          <cell r="J62">
            <v>2455.11</v>
          </cell>
          <cell r="K62">
            <v>2509.92</v>
          </cell>
          <cell r="L62">
            <v>2767.2</v>
          </cell>
          <cell r="M62">
            <v>2674.93</v>
          </cell>
          <cell r="N62">
            <v>3105.54</v>
          </cell>
          <cell r="O62">
            <v>3383.03</v>
          </cell>
          <cell r="P62">
            <v>3699.61</v>
          </cell>
          <cell r="Q62">
            <v>4073.84</v>
          </cell>
          <cell r="R62">
            <v>4498.01</v>
          </cell>
          <cell r="S62">
            <v>4950.09</v>
          </cell>
          <cell r="T62">
            <v>5420.84</v>
          </cell>
          <cell r="U62">
            <v>5916.74</v>
          </cell>
          <cell r="V62">
            <v>6433.38</v>
          </cell>
          <cell r="W62">
            <v>6947.3</v>
          </cell>
          <cell r="X62">
            <v>7446.74</v>
          </cell>
          <cell r="Y62">
            <v>7922.94</v>
          </cell>
          <cell r="Z62">
            <v>8372.4500000000007</v>
          </cell>
          <cell r="AA62">
            <v>8794.75</v>
          </cell>
          <cell r="AB62">
            <v>9187.9699999999993</v>
          </cell>
          <cell r="AC62">
            <v>9544.02</v>
          </cell>
        </row>
        <row r="63">
          <cell r="E63" t="str">
            <v/>
          </cell>
          <cell r="F63" t="str">
            <v/>
          </cell>
          <cell r="G63">
            <v>53.832000000000001</v>
          </cell>
          <cell r="H63">
            <v>15.210100000000001</v>
          </cell>
          <cell r="I63">
            <v>20.064299999999999</v>
          </cell>
          <cell r="J63">
            <v>28.557700000000001</v>
          </cell>
          <cell r="K63">
            <v>36.8643</v>
          </cell>
          <cell r="L63">
            <v>46.957300000000004</v>
          </cell>
          <cell r="M63">
            <v>51.992800000000003</v>
          </cell>
          <cell r="N63">
            <v>74.022000000000006</v>
          </cell>
          <cell r="O63">
            <v>96.486900000000006</v>
          </cell>
          <cell r="P63">
            <v>120.571</v>
          </cell>
          <cell r="Q63">
            <v>139.84100000000001</v>
          </cell>
          <cell r="R63">
            <v>153.983</v>
          </cell>
          <cell r="S63">
            <v>163.99600000000001</v>
          </cell>
          <cell r="T63">
            <v>171.459</v>
          </cell>
          <cell r="U63">
            <v>177.471</v>
          </cell>
          <cell r="V63">
            <v>182.726</v>
          </cell>
          <cell r="W63">
            <v>186.56299999999999</v>
          </cell>
          <cell r="X63">
            <v>189.328</v>
          </cell>
          <cell r="Y63">
            <v>191.59700000000001</v>
          </cell>
          <cell r="Z63">
            <v>194.19300000000001</v>
          </cell>
          <cell r="AA63">
            <v>197.69900000000001</v>
          </cell>
          <cell r="AB63">
            <v>202.26</v>
          </cell>
          <cell r="AC63">
            <v>207.67599999999999</v>
          </cell>
        </row>
        <row r="64">
          <cell r="E64">
            <v>27.921700000000001</v>
          </cell>
          <cell r="F64">
            <v>26.901299999999999</v>
          </cell>
          <cell r="G64">
            <v>35.131999999999998</v>
          </cell>
          <cell r="H64">
            <v>43.469799999999999</v>
          </cell>
          <cell r="I64">
            <v>54.7883</v>
          </cell>
          <cell r="J64">
            <v>70.0428</v>
          </cell>
          <cell r="K64">
            <v>95.768699999999995</v>
          </cell>
          <cell r="L64">
            <v>133.286</v>
          </cell>
          <cell r="M64">
            <v>169.38200000000001</v>
          </cell>
          <cell r="N64">
            <v>199.34200000000001</v>
          </cell>
          <cell r="O64">
            <v>256.02300000000002</v>
          </cell>
          <cell r="P64">
            <v>327.60700000000003</v>
          </cell>
          <cell r="Q64">
            <v>411.79500000000002</v>
          </cell>
          <cell r="R64">
            <v>512.625</v>
          </cell>
          <cell r="S64">
            <v>633.48699999999997</v>
          </cell>
          <cell r="T64">
            <v>778.41399999999999</v>
          </cell>
          <cell r="U64">
            <v>950.48299999999995</v>
          </cell>
          <cell r="V64">
            <v>1152.06</v>
          </cell>
          <cell r="W64">
            <v>1379.8</v>
          </cell>
          <cell r="X64">
            <v>1635.82</v>
          </cell>
          <cell r="Y64">
            <v>1919.3</v>
          </cell>
          <cell r="Z64">
            <v>2230.46</v>
          </cell>
          <cell r="AA64">
            <v>2568.88</v>
          </cell>
          <cell r="AB64">
            <v>2932.76</v>
          </cell>
          <cell r="AC64">
            <v>3321.2</v>
          </cell>
        </row>
        <row r="65">
          <cell r="E65">
            <v>7.0560799999999997</v>
          </cell>
          <cell r="F65">
            <v>7.7944899999999997</v>
          </cell>
          <cell r="G65">
            <v>9.5764399999999998</v>
          </cell>
          <cell r="H65">
            <v>11.5928</v>
          </cell>
          <cell r="I65">
            <v>14.048</v>
          </cell>
          <cell r="J65">
            <v>16.343599999999999</v>
          </cell>
          <cell r="K65">
            <v>19.067599999999999</v>
          </cell>
          <cell r="L65">
            <v>23.869599999999998</v>
          </cell>
          <cell r="M65">
            <v>34.3172</v>
          </cell>
          <cell r="N65">
            <v>44.426900000000003</v>
          </cell>
          <cell r="O65">
            <v>58.432600000000001</v>
          </cell>
          <cell r="P65">
            <v>79.475099999999998</v>
          </cell>
          <cell r="Q65">
            <v>107.501</v>
          </cell>
          <cell r="R65">
            <v>143.67500000000001</v>
          </cell>
          <cell r="S65">
            <v>188.82</v>
          </cell>
          <cell r="T65">
            <v>243.81</v>
          </cell>
          <cell r="U65">
            <v>309.73099999999999</v>
          </cell>
          <cell r="V65">
            <v>387.81200000000001</v>
          </cell>
          <cell r="W65">
            <v>477.63400000000001</v>
          </cell>
          <cell r="X65">
            <v>579.88199999999995</v>
          </cell>
          <cell r="Y65">
            <v>693.53200000000004</v>
          </cell>
          <cell r="Z65">
            <v>818.77300000000002</v>
          </cell>
          <cell r="AA65">
            <v>955.88800000000003</v>
          </cell>
          <cell r="AB65">
            <v>1105.32</v>
          </cell>
          <cell r="AC65">
            <v>1266.77</v>
          </cell>
        </row>
        <row r="66">
          <cell r="E66">
            <v>1.5884</v>
          </cell>
          <cell r="F66">
            <v>1.88636</v>
          </cell>
          <cell r="G66">
            <v>2.22621</v>
          </cell>
          <cell r="H66">
            <v>2.39859</v>
          </cell>
          <cell r="I66">
            <v>2.9933300000000003</v>
          </cell>
          <cell r="J66">
            <v>3.42144</v>
          </cell>
          <cell r="K66">
            <v>4.20845</v>
          </cell>
          <cell r="L66">
            <v>4.29434</v>
          </cell>
          <cell r="M66">
            <v>5.2580400000000003</v>
          </cell>
          <cell r="N66">
            <v>6.8865499999999997</v>
          </cell>
          <cell r="O66">
            <v>8.9575099999999992</v>
          </cell>
          <cell r="P66">
            <v>12.0192</v>
          </cell>
          <cell r="Q66">
            <v>15.6493</v>
          </cell>
          <cell r="R66">
            <v>20.050599999999999</v>
          </cell>
          <cell r="S66">
            <v>25.435300000000002</v>
          </cell>
          <cell r="T66">
            <v>31.968800000000002</v>
          </cell>
          <cell r="U66">
            <v>39.802199999999999</v>
          </cell>
          <cell r="V66">
            <v>49.0578</v>
          </cell>
          <cell r="W66">
            <v>59.775100000000002</v>
          </cell>
          <cell r="X66">
            <v>71.985200000000006</v>
          </cell>
          <cell r="Y66">
            <v>85.621399999999994</v>
          </cell>
          <cell r="Z66">
            <v>100.66500000000001</v>
          </cell>
          <cell r="AA66">
            <v>117.095</v>
          </cell>
          <cell r="AB66">
            <v>134.845</v>
          </cell>
          <cell r="AC66">
            <v>153.99199999999999</v>
          </cell>
        </row>
        <row r="67">
          <cell r="E67">
            <v>1.3769200000000001</v>
          </cell>
          <cell r="F67">
            <v>1.51749</v>
          </cell>
          <cell r="G67">
            <v>1.7410800000000002</v>
          </cell>
          <cell r="H67">
            <v>2.1097399999999999</v>
          </cell>
          <cell r="I67">
            <v>2.1249099999999999</v>
          </cell>
          <cell r="J67">
            <v>2.4810699999999999</v>
          </cell>
          <cell r="K67">
            <v>2.9542900000000003</v>
          </cell>
          <cell r="L67">
            <v>3.4725999999999999</v>
          </cell>
          <cell r="M67">
            <v>4.21739</v>
          </cell>
          <cell r="N67">
            <v>5.3870100000000001</v>
          </cell>
          <cell r="O67">
            <v>6.8418900000000002</v>
          </cell>
          <cell r="P67">
            <v>8.7017299999999995</v>
          </cell>
          <cell r="Q67">
            <v>10.982799999999999</v>
          </cell>
          <cell r="R67">
            <v>13.8323</v>
          </cell>
          <cell r="S67">
            <v>17.388300000000001</v>
          </cell>
          <cell r="T67">
            <v>21.785699999999999</v>
          </cell>
          <cell r="U67">
            <v>27.150600000000001</v>
          </cell>
          <cell r="V67">
            <v>33.5867</v>
          </cell>
          <cell r="W67">
            <v>41.1404</v>
          </cell>
          <cell r="X67">
            <v>49.866100000000003</v>
          </cell>
          <cell r="Y67">
            <v>59.765099999999997</v>
          </cell>
          <cell r="Z67">
            <v>70.814700000000002</v>
          </cell>
          <cell r="AA67">
            <v>83.030799999999999</v>
          </cell>
          <cell r="AB67">
            <v>96.444699999999997</v>
          </cell>
          <cell r="AC67">
            <v>111.136</v>
          </cell>
        </row>
        <row r="68">
          <cell r="E68">
            <v>0.214617</v>
          </cell>
          <cell r="F68">
            <v>0.27782699999999999</v>
          </cell>
          <cell r="G68">
            <v>0.29462899999999997</v>
          </cell>
          <cell r="H68">
            <v>0.63167499999999999</v>
          </cell>
          <cell r="I68">
            <v>7.9420200000000003</v>
          </cell>
          <cell r="J68">
            <v>24.551300000000001</v>
          </cell>
          <cell r="K68">
            <v>32.774099999999997</v>
          </cell>
          <cell r="L68">
            <v>33.085799999999999</v>
          </cell>
          <cell r="M68">
            <v>24.0139</v>
          </cell>
          <cell r="N68">
            <v>21.0139</v>
          </cell>
          <cell r="O68">
            <v>20.492599999999999</v>
          </cell>
          <cell r="P68">
            <v>24.262599999999999</v>
          </cell>
          <cell r="Q68">
            <v>29.1189</v>
          </cell>
          <cell r="R68">
            <v>35.180799999999998</v>
          </cell>
          <cell r="S68">
            <v>42.626100000000001</v>
          </cell>
          <cell r="T68">
            <v>51.613500000000002</v>
          </cell>
          <cell r="U68">
            <v>62.311300000000003</v>
          </cell>
          <cell r="V68">
            <v>74.681899999999999</v>
          </cell>
          <cell r="W68">
            <v>88.302000000000007</v>
          </cell>
          <cell r="X68">
            <v>103.181</v>
          </cell>
          <cell r="Y68">
            <v>119.271</v>
          </cell>
          <cell r="Z68">
            <v>136.42599999999999</v>
          </cell>
          <cell r="AA68">
            <v>154.37200000000001</v>
          </cell>
          <cell r="AB68">
            <v>172.767</v>
          </cell>
          <cell r="AC68">
            <v>191.47</v>
          </cell>
        </row>
        <row r="69">
          <cell r="E69">
            <v>231.05199999999999</v>
          </cell>
          <cell r="F69">
            <v>232.62799999999999</v>
          </cell>
          <cell r="G69">
            <v>247.40700000000001</v>
          </cell>
          <cell r="H69">
            <v>263.221</v>
          </cell>
          <cell r="I69">
            <v>298.11</v>
          </cell>
          <cell r="J69">
            <v>360.71899999999999</v>
          </cell>
          <cell r="K69">
            <v>354.82900000000001</v>
          </cell>
          <cell r="L69">
            <v>289.57499999999999</v>
          </cell>
          <cell r="M69">
            <v>274.31900000000002</v>
          </cell>
          <cell r="N69">
            <v>336.85599999999999</v>
          </cell>
          <cell r="O69">
            <v>372.79700000000003</v>
          </cell>
          <cell r="P69">
            <v>402.45699999999999</v>
          </cell>
          <cell r="Q69">
            <v>435.57299999999998</v>
          </cell>
          <cell r="R69">
            <v>468.37099999999998</v>
          </cell>
          <cell r="S69">
            <v>500.041</v>
          </cell>
          <cell r="T69">
            <v>531.47900000000004</v>
          </cell>
          <cell r="U69">
            <v>562.07299999999998</v>
          </cell>
          <cell r="V69">
            <v>590.73500000000001</v>
          </cell>
          <cell r="W69">
            <v>615.60500000000002</v>
          </cell>
          <cell r="X69">
            <v>636.83399999999995</v>
          </cell>
          <cell r="Y69">
            <v>655.21299999999997</v>
          </cell>
          <cell r="Z69">
            <v>671.85</v>
          </cell>
          <cell r="AA69">
            <v>687.02800000000002</v>
          </cell>
          <cell r="AB69">
            <v>700.03800000000001</v>
          </cell>
          <cell r="AC69">
            <v>709.54399999999998</v>
          </cell>
        </row>
        <row r="70">
          <cell r="E70">
            <v>0.54015899999999994</v>
          </cell>
          <cell r="F70">
            <v>0.64864599999999994</v>
          </cell>
          <cell r="G70">
            <v>0.845136</v>
          </cell>
          <cell r="H70">
            <v>0.86789499999999997</v>
          </cell>
          <cell r="I70">
            <v>1.19411</v>
          </cell>
          <cell r="J70">
            <v>1.49075</v>
          </cell>
          <cell r="K70">
            <v>1.4247400000000001</v>
          </cell>
          <cell r="L70">
            <v>1.65917</v>
          </cell>
          <cell r="M70">
            <v>1.6288200000000002</v>
          </cell>
          <cell r="N70">
            <v>2.0240800000000001</v>
          </cell>
          <cell r="O70">
            <v>2.33697</v>
          </cell>
          <cell r="P70">
            <v>2.7022699999999999</v>
          </cell>
          <cell r="Q70">
            <v>3.1067399999999998</v>
          </cell>
          <cell r="R70">
            <v>3.5402300000000002</v>
          </cell>
          <cell r="S70">
            <v>4.0076600000000004</v>
          </cell>
          <cell r="T70">
            <v>4.5266400000000004</v>
          </cell>
          <cell r="U70">
            <v>5.1190100000000003</v>
          </cell>
          <cell r="V70">
            <v>5.7972099999999998</v>
          </cell>
          <cell r="W70">
            <v>6.5255200000000002</v>
          </cell>
          <cell r="X70">
            <v>7.2868300000000001</v>
          </cell>
          <cell r="Y70">
            <v>8.0744000000000007</v>
          </cell>
          <cell r="Z70">
            <v>8.8986699999999992</v>
          </cell>
          <cell r="AA70">
            <v>9.7754799999999999</v>
          </cell>
          <cell r="AB70">
            <v>10.7159</v>
          </cell>
          <cell r="AC70">
            <v>11.718</v>
          </cell>
        </row>
        <row r="71">
          <cell r="E71">
            <v>47.836399999999998</v>
          </cell>
          <cell r="F71">
            <v>45.223700000000001</v>
          </cell>
          <cell r="G71">
            <v>52.205100000000002</v>
          </cell>
          <cell r="H71">
            <v>62.840899999999998</v>
          </cell>
          <cell r="I71">
            <v>74.768900000000002</v>
          </cell>
          <cell r="J71">
            <v>87.448499999999996</v>
          </cell>
          <cell r="K71">
            <v>104.60899999999999</v>
          </cell>
          <cell r="L71">
            <v>126.496</v>
          </cell>
          <cell r="M71">
            <v>141.42599999999999</v>
          </cell>
          <cell r="N71">
            <v>176.37799999999999</v>
          </cell>
          <cell r="O71">
            <v>213.09100000000001</v>
          </cell>
          <cell r="P71">
            <v>258.11700000000002</v>
          </cell>
          <cell r="Q71">
            <v>312.892</v>
          </cell>
          <cell r="R71">
            <v>378.09500000000003</v>
          </cell>
          <cell r="S71">
            <v>452.95800000000003</v>
          </cell>
          <cell r="T71">
            <v>537.255</v>
          </cell>
          <cell r="U71">
            <v>630.29899999999998</v>
          </cell>
          <cell r="V71">
            <v>731.16499999999996</v>
          </cell>
          <cell r="W71">
            <v>836.15300000000002</v>
          </cell>
          <cell r="X71">
            <v>944.84</v>
          </cell>
          <cell r="Y71">
            <v>1054.71</v>
          </cell>
          <cell r="Z71">
            <v>1164.55</v>
          </cell>
          <cell r="AA71">
            <v>1274.8900000000001</v>
          </cell>
          <cell r="AB71">
            <v>1385.58</v>
          </cell>
          <cell r="AC71">
            <v>1497.02</v>
          </cell>
        </row>
        <row r="72"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>
            <v>10.187099999999999</v>
          </cell>
          <cell r="N72">
            <v>16.065999999999999</v>
          </cell>
          <cell r="O72">
            <v>18.5609</v>
          </cell>
          <cell r="P72">
            <v>21.276499999999999</v>
          </cell>
          <cell r="Q72">
            <v>24.258099999999999</v>
          </cell>
          <cell r="R72">
            <v>27.543600000000001</v>
          </cell>
          <cell r="S72">
            <v>31.180700000000002</v>
          </cell>
          <cell r="T72">
            <v>35.201900000000002</v>
          </cell>
          <cell r="U72">
            <v>39.630499999999998</v>
          </cell>
          <cell r="V72">
            <v>44.494300000000003</v>
          </cell>
          <cell r="W72">
            <v>49.680599999999998</v>
          </cell>
          <cell r="X72">
            <v>55.264400000000002</v>
          </cell>
          <cell r="Y72">
            <v>61.118499999999997</v>
          </cell>
          <cell r="Z72">
            <v>67.195099999999996</v>
          </cell>
          <cell r="AA72">
            <v>73.522800000000004</v>
          </cell>
          <cell r="AB72">
            <v>80.129599999999996</v>
          </cell>
          <cell r="AC72">
            <v>87.010599999999997</v>
          </cell>
        </row>
        <row r="73"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>
            <v>3.6185</v>
          </cell>
          <cell r="N73">
            <v>6.75847</v>
          </cell>
          <cell r="O73">
            <v>8.4414999999999996</v>
          </cell>
          <cell r="P73">
            <v>10.039899999999999</v>
          </cell>
          <cell r="Q73">
            <v>11.566599999999999</v>
          </cell>
          <cell r="R73">
            <v>13.0449</v>
          </cell>
          <cell r="S73">
            <v>14.4701</v>
          </cell>
          <cell r="T73">
            <v>15.8217</v>
          </cell>
          <cell r="U73">
            <v>17.117899999999999</v>
          </cell>
          <cell r="V73">
            <v>18.396999999999998</v>
          </cell>
          <cell r="W73">
            <v>19.6447</v>
          </cell>
          <cell r="X73">
            <v>20.893899999999999</v>
          </cell>
          <cell r="Y73">
            <v>22.1586</v>
          </cell>
          <cell r="Z73">
            <v>23.453199999999999</v>
          </cell>
          <cell r="AA73">
            <v>24.789300000000001</v>
          </cell>
          <cell r="AB73">
            <v>26.165199999999999</v>
          </cell>
          <cell r="AC73">
            <v>27.5916</v>
          </cell>
        </row>
        <row r="74">
          <cell r="E74">
            <v>5.0155599999999998</v>
          </cell>
          <cell r="F74">
            <v>4.1693300000000004</v>
          </cell>
          <cell r="G74">
            <v>3.6008300000000002</v>
          </cell>
          <cell r="H74">
            <v>5.0730599999999999</v>
          </cell>
          <cell r="I74">
            <v>5.80755</v>
          </cell>
          <cell r="J74">
            <v>5.94367</v>
          </cell>
          <cell r="K74">
            <v>7.3534899999999999</v>
          </cell>
          <cell r="L74">
            <v>8.6428700000000003</v>
          </cell>
          <cell r="M74">
            <v>14.693200000000001</v>
          </cell>
          <cell r="N74">
            <v>59.573300000000003</v>
          </cell>
          <cell r="O74">
            <v>123.572</v>
          </cell>
          <cell r="P74">
            <v>189.22900000000001</v>
          </cell>
          <cell r="Q74">
            <v>250.89500000000001</v>
          </cell>
          <cell r="R74">
            <v>289.82499999999999</v>
          </cell>
          <cell r="S74">
            <v>295.18</v>
          </cell>
          <cell r="T74">
            <v>276.36099999999999</v>
          </cell>
          <cell r="U74">
            <v>248.47399999999999</v>
          </cell>
          <cell r="V74">
            <v>221.93199999999999</v>
          </cell>
          <cell r="W74">
            <v>199.86</v>
          </cell>
          <cell r="X74">
            <v>182.185</v>
          </cell>
          <cell r="Y74">
            <v>167.922</v>
          </cell>
          <cell r="Z74">
            <v>156.416</v>
          </cell>
          <cell r="AA74">
            <v>147.167</v>
          </cell>
          <cell r="AB74">
            <v>139.82</v>
          </cell>
          <cell r="AC74">
            <v>134.10300000000001</v>
          </cell>
        </row>
        <row r="75">
          <cell r="E75">
            <v>85.754999999999995</v>
          </cell>
          <cell r="F75">
            <v>113.155</v>
          </cell>
          <cell r="G75">
            <v>164.27600000000001</v>
          </cell>
          <cell r="H75">
            <v>212.66499999999999</v>
          </cell>
          <cell r="I75">
            <v>242.04900000000001</v>
          </cell>
          <cell r="J75">
            <v>297.66399999999999</v>
          </cell>
          <cell r="K75">
            <v>360.762</v>
          </cell>
          <cell r="L75">
            <v>417.17</v>
          </cell>
          <cell r="M75">
            <v>418.13</v>
          </cell>
          <cell r="N75">
            <v>474.86399999999998</v>
          </cell>
          <cell r="O75">
            <v>535.46299999999997</v>
          </cell>
          <cell r="P75">
            <v>574.64</v>
          </cell>
          <cell r="Q75">
            <v>590.19100000000003</v>
          </cell>
          <cell r="R75">
            <v>592.14200000000005</v>
          </cell>
          <cell r="S75">
            <v>586.39300000000003</v>
          </cell>
          <cell r="T75">
            <v>577.02</v>
          </cell>
          <cell r="U75">
            <v>568.00300000000004</v>
          </cell>
          <cell r="V75">
            <v>561.78800000000001</v>
          </cell>
          <cell r="W75">
            <v>556.57799999999997</v>
          </cell>
          <cell r="X75">
            <v>551.63300000000004</v>
          </cell>
          <cell r="Y75">
            <v>545.22400000000005</v>
          </cell>
          <cell r="Z75">
            <v>538.21799999999996</v>
          </cell>
          <cell r="AA75">
            <v>531.64</v>
          </cell>
          <cell r="AB75">
            <v>526.32500000000005</v>
          </cell>
          <cell r="AC75">
            <v>522.41099999999994</v>
          </cell>
        </row>
        <row r="76">
          <cell r="E76">
            <v>14.9459</v>
          </cell>
          <cell r="F76">
            <v>16.383800000000001</v>
          </cell>
          <cell r="G76">
            <v>19.771899999999999</v>
          </cell>
          <cell r="H76">
            <v>22.9786</v>
          </cell>
          <cell r="I76">
            <v>27.013100000000001</v>
          </cell>
          <cell r="J76">
            <v>33.910400000000003</v>
          </cell>
          <cell r="K76">
            <v>40.480899999999998</v>
          </cell>
          <cell r="L76">
            <v>48.147100000000002</v>
          </cell>
          <cell r="M76">
            <v>50.893700000000003</v>
          </cell>
          <cell r="N76">
            <v>65.458699999999993</v>
          </cell>
          <cell r="O76">
            <v>78.968800000000002</v>
          </cell>
          <cell r="P76">
            <v>96.575699999999998</v>
          </cell>
          <cell r="Q76">
            <v>119.462</v>
          </cell>
          <cell r="R76">
            <v>148.572</v>
          </cell>
          <cell r="S76">
            <v>184.92400000000001</v>
          </cell>
          <cell r="T76">
            <v>229.327</v>
          </cell>
          <cell r="U76">
            <v>282.33600000000001</v>
          </cell>
          <cell r="V76">
            <v>344.76</v>
          </cell>
          <cell r="W76">
            <v>416.40100000000001</v>
          </cell>
          <cell r="X76">
            <v>496.22399999999999</v>
          </cell>
          <cell r="Y76">
            <v>582.17399999999998</v>
          </cell>
          <cell r="Z76">
            <v>673.06200000000001</v>
          </cell>
          <cell r="AA76">
            <v>768.39300000000003</v>
          </cell>
          <cell r="AB76">
            <v>867.76900000000001</v>
          </cell>
          <cell r="AC76">
            <v>971.04399999999998</v>
          </cell>
        </row>
        <row r="77">
          <cell r="E77" t="str">
            <v/>
          </cell>
          <cell r="F77" t="str">
            <v/>
          </cell>
          <cell r="G77" t="str">
            <v/>
          </cell>
          <cell r="H77">
            <v>69.237399999999994</v>
          </cell>
          <cell r="I77">
            <v>81.844899999999996</v>
          </cell>
          <cell r="J77">
            <v>102.479</v>
          </cell>
          <cell r="K77">
            <v>105.526</v>
          </cell>
          <cell r="L77">
            <v>104.702</v>
          </cell>
          <cell r="M77">
            <v>109.04300000000001</v>
          </cell>
          <cell r="N77">
            <v>141.74199999999999</v>
          </cell>
          <cell r="O77">
            <v>161.02699999999999</v>
          </cell>
          <cell r="P77">
            <v>174.43100000000001</v>
          </cell>
          <cell r="Q77">
            <v>183.1</v>
          </cell>
          <cell r="R77">
            <v>188.79</v>
          </cell>
          <cell r="S77">
            <v>192.643</v>
          </cell>
          <cell r="T77">
            <v>195.613</v>
          </cell>
          <cell r="U77">
            <v>198.49799999999999</v>
          </cell>
          <cell r="V77">
            <v>201.64</v>
          </cell>
          <cell r="W77">
            <v>204.846</v>
          </cell>
          <cell r="X77">
            <v>208.035</v>
          </cell>
          <cell r="Y77">
            <v>211.16300000000001</v>
          </cell>
          <cell r="Z77">
            <v>214.46799999999999</v>
          </cell>
          <cell r="AA77">
            <v>218.15299999999999</v>
          </cell>
          <cell r="AB77">
            <v>222.291</v>
          </cell>
          <cell r="AC77">
            <v>226.82</v>
          </cell>
        </row>
        <row r="78">
          <cell r="E78">
            <v>24.932099999999998</v>
          </cell>
          <cell r="F78">
            <v>24.354700000000001</v>
          </cell>
          <cell r="G78">
            <v>24.0687</v>
          </cell>
          <cell r="H78">
            <v>22.003699999999998</v>
          </cell>
          <cell r="I78">
            <v>24.915299999999998</v>
          </cell>
          <cell r="J78">
            <v>26.409400000000002</v>
          </cell>
          <cell r="K78">
            <v>28.862300000000001</v>
          </cell>
          <cell r="L78">
            <v>33.1815</v>
          </cell>
          <cell r="M78">
            <v>33.458100000000002</v>
          </cell>
          <cell r="N78">
            <v>32.748699999999999</v>
          </cell>
          <cell r="O78">
            <v>36.604599999999998</v>
          </cell>
          <cell r="P78">
            <v>45.690399999999997</v>
          </cell>
          <cell r="Q78">
            <v>58.027000000000001</v>
          </cell>
          <cell r="R78">
            <v>74.485399999999998</v>
          </cell>
          <cell r="S78">
            <v>96.0899</v>
          </cell>
          <cell r="T78">
            <v>124.05200000000001</v>
          </cell>
          <cell r="U78">
            <v>159.66800000000001</v>
          </cell>
          <cell r="V78">
            <v>204.4</v>
          </cell>
          <cell r="W78">
            <v>257.93700000000001</v>
          </cell>
          <cell r="X78">
            <v>321.15600000000001</v>
          </cell>
          <cell r="Y78">
            <v>394.33100000000002</v>
          </cell>
          <cell r="Z78">
            <v>477.81299999999999</v>
          </cell>
          <cell r="AA78">
            <v>572.09299999999996</v>
          </cell>
          <cell r="AB78">
            <v>677.15200000000004</v>
          </cell>
          <cell r="AC78">
            <v>792.577</v>
          </cell>
        </row>
        <row r="79">
          <cell r="E79">
            <v>172.7</v>
          </cell>
          <cell r="F79">
            <v>188.43199999999999</v>
          </cell>
          <cell r="G79">
            <v>193.40299999999999</v>
          </cell>
          <cell r="H79">
            <v>171.56899999999999</v>
          </cell>
          <cell r="I79">
            <v>192.94300000000001</v>
          </cell>
          <cell r="J79">
            <v>239.71899999999999</v>
          </cell>
          <cell r="K79">
            <v>238.26300000000001</v>
          </cell>
          <cell r="L79">
            <v>263.75200000000001</v>
          </cell>
          <cell r="M79">
            <v>296.46499999999997</v>
          </cell>
          <cell r="N79">
            <v>347.096</v>
          </cell>
          <cell r="O79">
            <v>394.76299999999998</v>
          </cell>
          <cell r="P79">
            <v>433.98899999999998</v>
          </cell>
          <cell r="Q79">
            <v>465.28</v>
          </cell>
          <cell r="R79">
            <v>490.46</v>
          </cell>
          <cell r="S79">
            <v>512.14499999999998</v>
          </cell>
          <cell r="T79">
            <v>531.11599999999999</v>
          </cell>
          <cell r="U79">
            <v>548.24300000000005</v>
          </cell>
          <cell r="V79">
            <v>563.28300000000002</v>
          </cell>
          <cell r="W79">
            <v>575.50900000000001</v>
          </cell>
          <cell r="X79">
            <v>584.92200000000003</v>
          </cell>
          <cell r="Y79">
            <v>591.82500000000005</v>
          </cell>
          <cell r="Z79">
            <v>596.36900000000003</v>
          </cell>
          <cell r="AA79">
            <v>598.36400000000003</v>
          </cell>
          <cell r="AB79">
            <v>598.01599999999996</v>
          </cell>
          <cell r="AC79">
            <v>595.32799999999997</v>
          </cell>
        </row>
        <row r="80">
          <cell r="E80">
            <v>433.45499999999998</v>
          </cell>
          <cell r="F80">
            <v>555.40200000000004</v>
          </cell>
          <cell r="G80">
            <v>794.14700000000005</v>
          </cell>
          <cell r="H80">
            <v>1157.74</v>
          </cell>
          <cell r="I80">
            <v>1212.19</v>
          </cell>
          <cell r="J80">
            <v>1527.1</v>
          </cell>
          <cell r="K80">
            <v>2023.05</v>
          </cell>
          <cell r="L80">
            <v>2647.4</v>
          </cell>
          <cell r="M80">
            <v>3160.37</v>
          </cell>
          <cell r="N80">
            <v>4005.26</v>
          </cell>
          <cell r="O80">
            <v>4982.92</v>
          </cell>
          <cell r="P80">
            <v>5963.77</v>
          </cell>
          <cell r="Q80">
            <v>6990.08</v>
          </cell>
          <cell r="R80">
            <v>8019.88</v>
          </cell>
          <cell r="S80">
            <v>9026.6200000000008</v>
          </cell>
          <cell r="T80">
            <v>10057.799999999999</v>
          </cell>
          <cell r="U80">
            <v>11099.5</v>
          </cell>
          <cell r="V80">
            <v>12130.5</v>
          </cell>
          <cell r="W80">
            <v>13142.7</v>
          </cell>
          <cell r="X80">
            <v>14129.7</v>
          </cell>
          <cell r="Y80">
            <v>15069.4</v>
          </cell>
          <cell r="Z80">
            <v>15957.2</v>
          </cell>
          <cell r="AA80">
            <v>16783.599999999999</v>
          </cell>
          <cell r="AB80">
            <v>17541.8</v>
          </cell>
          <cell r="AC80">
            <v>18228.099999999999</v>
          </cell>
        </row>
        <row r="81">
          <cell r="E81">
            <v>900.73599999999999</v>
          </cell>
          <cell r="F81">
            <v>1174.67</v>
          </cell>
          <cell r="G81">
            <v>1564.3</v>
          </cell>
          <cell r="H81">
            <v>1966.12</v>
          </cell>
          <cell r="I81">
            <v>2690.85</v>
          </cell>
          <cell r="J81">
            <v>3630.31</v>
          </cell>
          <cell r="K81">
            <v>5102.7700000000004</v>
          </cell>
          <cell r="L81">
            <v>6962.1</v>
          </cell>
          <cell r="M81">
            <v>8503.83</v>
          </cell>
          <cell r="N81">
            <v>11852.9</v>
          </cell>
          <cell r="O81">
            <v>15709.5</v>
          </cell>
          <cell r="P81">
            <v>19813.099999999999</v>
          </cell>
          <cell r="Q81">
            <v>24247.7</v>
          </cell>
          <cell r="R81">
            <v>29018.400000000001</v>
          </cell>
          <cell r="S81">
            <v>34135.9</v>
          </cell>
          <cell r="T81">
            <v>39637.4</v>
          </cell>
          <cell r="U81">
            <v>45474.7</v>
          </cell>
          <cell r="V81">
            <v>51544.2</v>
          </cell>
          <cell r="W81">
            <v>57627.1</v>
          </cell>
          <cell r="X81">
            <v>63676.1</v>
          </cell>
          <cell r="Y81">
            <v>69509.7</v>
          </cell>
          <cell r="Z81">
            <v>75080.7</v>
          </cell>
          <cell r="AA81">
            <v>80380.7</v>
          </cell>
          <cell r="AB81">
            <v>85418.1</v>
          </cell>
          <cell r="AC81">
            <v>90238.2</v>
          </cell>
        </row>
        <row r="82">
          <cell r="E82">
            <v>66.895600000000002</v>
          </cell>
          <cell r="F82">
            <v>75.867500000000007</v>
          </cell>
          <cell r="G82">
            <v>95.479699999999994</v>
          </cell>
          <cell r="H82">
            <v>119.752</v>
          </cell>
          <cell r="I82">
            <v>179.989</v>
          </cell>
          <cell r="J82">
            <v>236.32300000000001</v>
          </cell>
          <cell r="K82">
            <v>239.01499999999999</v>
          </cell>
          <cell r="L82">
            <v>325.44799999999998</v>
          </cell>
          <cell r="M82">
            <v>444.26400000000001</v>
          </cell>
          <cell r="N82">
            <v>584.221</v>
          </cell>
          <cell r="O82">
            <v>659.38099999999997</v>
          </cell>
          <cell r="P82">
            <v>732.49300000000005</v>
          </cell>
          <cell r="Q82">
            <v>821.01800000000003</v>
          </cell>
          <cell r="R82">
            <v>929.85</v>
          </cell>
          <cell r="S82">
            <v>1050.97</v>
          </cell>
          <cell r="T82">
            <v>1169.33</v>
          </cell>
          <cell r="U82">
            <v>1283.07</v>
          </cell>
          <cell r="V82">
            <v>1389.48</v>
          </cell>
          <cell r="W82">
            <v>1482.63</v>
          </cell>
          <cell r="X82">
            <v>1561.67</v>
          </cell>
          <cell r="Y82">
            <v>1629.47</v>
          </cell>
          <cell r="Z82">
            <v>1690.17</v>
          </cell>
          <cell r="AA82">
            <v>1745.71</v>
          </cell>
          <cell r="AB82">
            <v>1794.5</v>
          </cell>
          <cell r="AC82">
            <v>1833.15</v>
          </cell>
        </row>
        <row r="83">
          <cell r="E83">
            <v>423.26499999999999</v>
          </cell>
          <cell r="F83">
            <v>516.62599999999998</v>
          </cell>
          <cell r="G83">
            <v>526.81899999999996</v>
          </cell>
          <cell r="H83">
            <v>608.37199999999996</v>
          </cell>
          <cell r="I83">
            <v>722.702</v>
          </cell>
          <cell r="J83">
            <v>935.46400000000006</v>
          </cell>
          <cell r="K83">
            <v>1138.1099999999999</v>
          </cell>
          <cell r="L83">
            <v>1145.96</v>
          </cell>
          <cell r="M83">
            <v>1259.81</v>
          </cell>
          <cell r="N83">
            <v>1473.82</v>
          </cell>
          <cell r="O83">
            <v>1638.13</v>
          </cell>
          <cell r="P83">
            <v>1832.95</v>
          </cell>
          <cell r="Q83">
            <v>2000.67</v>
          </cell>
          <cell r="R83">
            <v>2159.58</v>
          </cell>
          <cell r="S83">
            <v>2317.34</v>
          </cell>
          <cell r="T83">
            <v>2480.96</v>
          </cell>
          <cell r="U83">
            <v>2662.07</v>
          </cell>
          <cell r="V83">
            <v>2859.69</v>
          </cell>
          <cell r="W83">
            <v>3050.68</v>
          </cell>
          <cell r="X83">
            <v>3229.22</v>
          </cell>
          <cell r="Y83">
            <v>3398.72</v>
          </cell>
          <cell r="Z83">
            <v>3566.62</v>
          </cell>
          <cell r="AA83">
            <v>3741.6</v>
          </cell>
          <cell r="AB83">
            <v>3927.62</v>
          </cell>
          <cell r="AC83">
            <v>4120.7</v>
          </cell>
        </row>
        <row r="84">
          <cell r="E84" t="str">
            <v/>
          </cell>
          <cell r="F84" t="str">
            <v/>
          </cell>
          <cell r="G84">
            <v>131.54599999999999</v>
          </cell>
          <cell r="H84">
            <v>86.651300000000006</v>
          </cell>
          <cell r="I84">
            <v>85.458200000000005</v>
          </cell>
          <cell r="J84">
            <v>208.715</v>
          </cell>
          <cell r="K84">
            <v>267.43900000000002</v>
          </cell>
          <cell r="L84">
            <v>364.322</v>
          </cell>
          <cell r="M84">
            <v>393.363</v>
          </cell>
          <cell r="N84">
            <v>445.30399999999997</v>
          </cell>
          <cell r="O84">
            <v>518.26199999999994</v>
          </cell>
          <cell r="P84">
            <v>674.06399999999996</v>
          </cell>
          <cell r="Q84">
            <v>987.702</v>
          </cell>
          <cell r="R84">
            <v>1379.73</v>
          </cell>
          <cell r="S84">
            <v>1821.18</v>
          </cell>
          <cell r="T84">
            <v>2308.5700000000002</v>
          </cell>
          <cell r="U84">
            <v>2841.41</v>
          </cell>
          <cell r="V84">
            <v>3418.01</v>
          </cell>
          <cell r="W84">
            <v>4026.05</v>
          </cell>
          <cell r="X84">
            <v>4659.6400000000003</v>
          </cell>
          <cell r="Y84">
            <v>5306.44</v>
          </cell>
          <cell r="Z84">
            <v>5962.11</v>
          </cell>
          <cell r="AA84">
            <v>6628.35</v>
          </cell>
          <cell r="AB84">
            <v>7306.94</v>
          </cell>
          <cell r="AC84">
            <v>7998.72</v>
          </cell>
        </row>
        <row r="85">
          <cell r="E85">
            <v>6.7830300000000001</v>
          </cell>
          <cell r="F85">
            <v>7.60358</v>
          </cell>
          <cell r="G85">
            <v>8.88842</v>
          </cell>
          <cell r="H85">
            <v>9.0056999999999992</v>
          </cell>
          <cell r="I85">
            <v>11.021000000000001</v>
          </cell>
          <cell r="J85">
            <v>13.470499999999999</v>
          </cell>
          <cell r="K85">
            <v>14.243600000000001</v>
          </cell>
          <cell r="L85">
            <v>16.278400000000001</v>
          </cell>
          <cell r="M85">
            <v>17.873899999999999</v>
          </cell>
          <cell r="N85">
            <v>21.9315</v>
          </cell>
          <cell r="O85">
            <v>25.052600000000002</v>
          </cell>
          <cell r="P85">
            <v>28.1631</v>
          </cell>
          <cell r="Q85">
            <v>31.2788</v>
          </cell>
          <cell r="R85">
            <v>34.276600000000002</v>
          </cell>
          <cell r="S85">
            <v>37.019300000000001</v>
          </cell>
          <cell r="T85">
            <v>39.487099999999998</v>
          </cell>
          <cell r="U85">
            <v>41.795200000000001</v>
          </cell>
          <cell r="V85">
            <v>44.014400000000002</v>
          </cell>
          <cell r="W85">
            <v>46.041899999999998</v>
          </cell>
          <cell r="X85">
            <v>47.830199999999998</v>
          </cell>
          <cell r="Y85">
            <v>49.354700000000001</v>
          </cell>
          <cell r="Z85">
            <v>50.6006</v>
          </cell>
          <cell r="AA85">
            <v>51.591099999999997</v>
          </cell>
          <cell r="AB85">
            <v>52.376300000000001</v>
          </cell>
          <cell r="AC85">
            <v>53.012099999999997</v>
          </cell>
        </row>
        <row r="86">
          <cell r="E86">
            <v>74.170599999999993</v>
          </cell>
          <cell r="F86">
            <v>86.565799999999996</v>
          </cell>
          <cell r="G86">
            <v>107.33199999999999</v>
          </cell>
          <cell r="H86">
            <v>148.56399999999999</v>
          </cell>
          <cell r="I86">
            <v>182.78100000000001</v>
          </cell>
          <cell r="J86">
            <v>202.547</v>
          </cell>
          <cell r="K86">
            <v>249.48699999999999</v>
          </cell>
          <cell r="L86">
            <v>299.85599999999999</v>
          </cell>
          <cell r="M86">
            <v>348.26600000000002</v>
          </cell>
          <cell r="N86">
            <v>439.57799999999997</v>
          </cell>
          <cell r="O86">
            <v>525.96</v>
          </cell>
          <cell r="P86">
            <v>616.95699999999999</v>
          </cell>
          <cell r="Q86">
            <v>716.10900000000004</v>
          </cell>
          <cell r="R86">
            <v>821.22</v>
          </cell>
          <cell r="S86">
            <v>926.75800000000004</v>
          </cell>
          <cell r="T86">
            <v>1039.75</v>
          </cell>
          <cell r="U86">
            <v>1161.18</v>
          </cell>
          <cell r="V86">
            <v>1290.1099999999999</v>
          </cell>
          <cell r="W86">
            <v>1422.95</v>
          </cell>
          <cell r="X86">
            <v>1558.88</v>
          </cell>
          <cell r="Y86">
            <v>1697.19</v>
          </cell>
          <cell r="Z86">
            <v>1838.64</v>
          </cell>
          <cell r="AA86">
            <v>1984.22</v>
          </cell>
          <cell r="AB86">
            <v>2134.2800000000002</v>
          </cell>
          <cell r="AC86">
            <v>2288.35</v>
          </cell>
        </row>
        <row r="87">
          <cell r="E87">
            <v>1638.26</v>
          </cell>
          <cell r="F87">
            <v>1782.16</v>
          </cell>
          <cell r="G87">
            <v>2078.9</v>
          </cell>
          <cell r="H87">
            <v>2219.1799999999998</v>
          </cell>
          <cell r="I87">
            <v>2251.41</v>
          </cell>
          <cell r="J87">
            <v>2353.27</v>
          </cell>
          <cell r="K87">
            <v>2315.75</v>
          </cell>
          <cell r="L87">
            <v>2239.31</v>
          </cell>
          <cell r="M87">
            <v>2128.59</v>
          </cell>
          <cell r="N87">
            <v>2455.89</v>
          </cell>
          <cell r="O87">
            <v>2580.89</v>
          </cell>
          <cell r="P87">
            <v>2741.28</v>
          </cell>
          <cell r="Q87">
            <v>2905.58</v>
          </cell>
          <cell r="R87">
            <v>3072.76</v>
          </cell>
          <cell r="S87">
            <v>3235.22</v>
          </cell>
          <cell r="T87">
            <v>3389.39</v>
          </cell>
          <cell r="U87">
            <v>3532.56</v>
          </cell>
          <cell r="V87">
            <v>3666.15</v>
          </cell>
          <cell r="W87">
            <v>3786.96</v>
          </cell>
          <cell r="X87">
            <v>3896.69</v>
          </cell>
          <cell r="Y87">
            <v>3999.05</v>
          </cell>
          <cell r="Z87">
            <v>4094.38</v>
          </cell>
          <cell r="AA87">
            <v>4179.41</v>
          </cell>
          <cell r="AB87">
            <v>4249.91</v>
          </cell>
          <cell r="AC87">
            <v>4300.3599999999997</v>
          </cell>
        </row>
        <row r="88">
          <cell r="E88">
            <v>16.805399999999999</v>
          </cell>
          <cell r="F88">
            <v>18.8476</v>
          </cell>
          <cell r="G88">
            <v>22.896999999999998</v>
          </cell>
          <cell r="H88">
            <v>25.331600000000002</v>
          </cell>
          <cell r="I88">
            <v>25.107900000000001</v>
          </cell>
          <cell r="J88">
            <v>27.131399999999999</v>
          </cell>
          <cell r="K88">
            <v>26.742000000000001</v>
          </cell>
          <cell r="L88">
            <v>27.439699999999998</v>
          </cell>
          <cell r="M88">
            <v>25.9695</v>
          </cell>
          <cell r="N88">
            <v>30.183800000000002</v>
          </cell>
          <cell r="O88">
            <v>32.5349</v>
          </cell>
          <cell r="P88">
            <v>35.503900000000002</v>
          </cell>
          <cell r="Q88">
            <v>39.5336</v>
          </cell>
          <cell r="R88">
            <v>44.600099999999998</v>
          </cell>
          <cell r="S88">
            <v>50.709299999999999</v>
          </cell>
          <cell r="T88">
            <v>57.923299999999998</v>
          </cell>
          <cell r="U88">
            <v>66.346000000000004</v>
          </cell>
          <cell r="V88">
            <v>76.009399999999999</v>
          </cell>
          <cell r="W88">
            <v>86.595500000000001</v>
          </cell>
          <cell r="X88">
            <v>97.938400000000001</v>
          </cell>
          <cell r="Y88">
            <v>109.749</v>
          </cell>
          <cell r="Z88">
            <v>121.985</v>
          </cell>
          <cell r="AA88">
            <v>134.667</v>
          </cell>
          <cell r="AB88">
            <v>147.881</v>
          </cell>
          <cell r="AC88">
            <v>161.708</v>
          </cell>
        </row>
        <row r="89">
          <cell r="E89">
            <v>23.239000000000001</v>
          </cell>
          <cell r="F89">
            <v>29.9053</v>
          </cell>
          <cell r="G89">
            <v>29.430900000000001</v>
          </cell>
          <cell r="H89">
            <v>37.673099999999998</v>
          </cell>
          <cell r="I89">
            <v>44.2209</v>
          </cell>
          <cell r="J89">
            <v>60.613900000000001</v>
          </cell>
          <cell r="K89">
            <v>82.253299999999996</v>
          </cell>
          <cell r="L89">
            <v>94.115099999999998</v>
          </cell>
          <cell r="M89">
            <v>100.371</v>
          </cell>
          <cell r="N89">
            <v>114.145</v>
          </cell>
          <cell r="O89">
            <v>132.59700000000001</v>
          </cell>
          <cell r="P89">
            <v>155.834</v>
          </cell>
          <cell r="Q89">
            <v>185.619</v>
          </cell>
          <cell r="R89">
            <v>222.40299999999999</v>
          </cell>
          <cell r="S89">
            <v>266.64100000000002</v>
          </cell>
          <cell r="T89">
            <v>318.47000000000003</v>
          </cell>
          <cell r="U89">
            <v>377.71600000000001</v>
          </cell>
          <cell r="V89">
            <v>443.29700000000003</v>
          </cell>
          <cell r="W89">
            <v>513.91800000000001</v>
          </cell>
          <cell r="X89">
            <v>588.673</v>
          </cell>
          <cell r="Y89">
            <v>667.09799999999996</v>
          </cell>
          <cell r="Z89">
            <v>749.11800000000005</v>
          </cell>
          <cell r="AA89">
            <v>834.08399999999995</v>
          </cell>
          <cell r="AB89">
            <v>921.13499999999999</v>
          </cell>
          <cell r="AC89">
            <v>1009.6</v>
          </cell>
        </row>
        <row r="90">
          <cell r="E90">
            <v>2574.5</v>
          </cell>
          <cell r="F90">
            <v>3174.06</v>
          </cell>
          <cell r="G90">
            <v>4050.12</v>
          </cell>
          <cell r="H90">
            <v>4374.8999999999996</v>
          </cell>
          <cell r="I90">
            <v>4663.91</v>
          </cell>
          <cell r="J90">
            <v>4947.42</v>
          </cell>
          <cell r="K90">
            <v>4935.49</v>
          </cell>
          <cell r="L90">
            <v>5199.91</v>
          </cell>
          <cell r="M90">
            <v>5113.07</v>
          </cell>
          <cell r="N90">
            <v>5485.67</v>
          </cell>
          <cell r="O90">
            <v>5705.2</v>
          </cell>
          <cell r="P90">
            <v>5948.75</v>
          </cell>
          <cell r="Q90">
            <v>6157.06</v>
          </cell>
          <cell r="R90">
            <v>6371.42</v>
          </cell>
          <cell r="S90">
            <v>6598.6</v>
          </cell>
          <cell r="T90">
            <v>6815.61</v>
          </cell>
          <cell r="U90">
            <v>7007.88</v>
          </cell>
          <cell r="V90">
            <v>7173.6</v>
          </cell>
          <cell r="W90">
            <v>7306.8</v>
          </cell>
          <cell r="X90">
            <v>7413.1</v>
          </cell>
          <cell r="Y90">
            <v>7508.57</v>
          </cell>
          <cell r="Z90">
            <v>7601.83</v>
          </cell>
          <cell r="AA90">
            <v>7687.09</v>
          </cell>
          <cell r="AB90">
            <v>7751.97</v>
          </cell>
          <cell r="AC90">
            <v>7782.79</v>
          </cell>
        </row>
        <row r="91">
          <cell r="E91" t="str">
            <v/>
          </cell>
          <cell r="F91" t="str">
            <v/>
          </cell>
          <cell r="G91">
            <v>220.3</v>
          </cell>
          <cell r="H91">
            <v>135.678</v>
          </cell>
          <cell r="I91">
            <v>153.405</v>
          </cell>
          <cell r="J91">
            <v>251.23099999999999</v>
          </cell>
          <cell r="K91">
            <v>339.72199999999998</v>
          </cell>
          <cell r="L91">
            <v>427.78699999999998</v>
          </cell>
          <cell r="M91">
            <v>475.18200000000002</v>
          </cell>
          <cell r="N91">
            <v>582.08299999999997</v>
          </cell>
          <cell r="O91">
            <v>668.59699999999998</v>
          </cell>
          <cell r="P91">
            <v>767.13499999999999</v>
          </cell>
          <cell r="Q91">
            <v>861.13599999999997</v>
          </cell>
          <cell r="R91">
            <v>945.83</v>
          </cell>
          <cell r="S91">
            <v>1024.2</v>
          </cell>
          <cell r="T91">
            <v>1105.99</v>
          </cell>
          <cell r="U91">
            <v>1197.07</v>
          </cell>
          <cell r="V91">
            <v>1302.08</v>
          </cell>
          <cell r="W91">
            <v>1417.33</v>
          </cell>
          <cell r="X91">
            <v>1539.17</v>
          </cell>
          <cell r="Y91">
            <v>1667.96</v>
          </cell>
          <cell r="Z91">
            <v>1806.77</v>
          </cell>
          <cell r="AA91">
            <v>1957.78</v>
          </cell>
          <cell r="AB91">
            <v>2120.88</v>
          </cell>
          <cell r="AC91">
            <v>2293.84</v>
          </cell>
        </row>
        <row r="92">
          <cell r="E92">
            <v>56.559199999999997</v>
          </cell>
          <cell r="F92">
            <v>66.444100000000006</v>
          </cell>
          <cell r="G92">
            <v>86.877499999999998</v>
          </cell>
          <cell r="H92">
            <v>93.034099999999995</v>
          </cell>
          <cell r="I92">
            <v>103.07899999999999</v>
          </cell>
          <cell r="J92">
            <v>122.583</v>
          </cell>
          <cell r="K92">
            <v>155.136</v>
          </cell>
          <cell r="L92">
            <v>195.12799999999999</v>
          </cell>
          <cell r="M92">
            <v>233.85</v>
          </cell>
          <cell r="N92">
            <v>307.03500000000003</v>
          </cell>
          <cell r="O92">
            <v>399.36700000000002</v>
          </cell>
          <cell r="P92">
            <v>511.68099999999998</v>
          </cell>
          <cell r="Q92">
            <v>645.00300000000004</v>
          </cell>
          <cell r="R92">
            <v>806.32600000000002</v>
          </cell>
          <cell r="S92">
            <v>999.74699999999996</v>
          </cell>
          <cell r="T92">
            <v>1228.95</v>
          </cell>
          <cell r="U92">
            <v>1496.23</v>
          </cell>
          <cell r="V92">
            <v>1804.5</v>
          </cell>
          <cell r="W92">
            <v>2149.4699999999998</v>
          </cell>
          <cell r="X92">
            <v>2532.94</v>
          </cell>
          <cell r="Y92">
            <v>2951.69</v>
          </cell>
          <cell r="Z92">
            <v>3403.44</v>
          </cell>
          <cell r="AA92">
            <v>3886.4</v>
          </cell>
          <cell r="AB92">
            <v>4401.41</v>
          </cell>
          <cell r="AC92">
            <v>4950.03</v>
          </cell>
        </row>
        <row r="93">
          <cell r="E93" t="str">
            <v/>
          </cell>
          <cell r="F93" t="str">
            <v/>
          </cell>
          <cell r="G93">
            <v>22.651199999999999</v>
          </cell>
          <cell r="H93">
            <v>11.5688</v>
          </cell>
          <cell r="I93">
            <v>15.198600000000001</v>
          </cell>
          <cell r="J93">
            <v>18.301300000000001</v>
          </cell>
          <cell r="K93">
            <v>22.559799999999999</v>
          </cell>
          <cell r="L93">
            <v>28.6233</v>
          </cell>
          <cell r="M93">
            <v>31.430900000000001</v>
          </cell>
          <cell r="N93">
            <v>39.495199999999997</v>
          </cell>
          <cell r="O93">
            <v>48.104300000000002</v>
          </cell>
          <cell r="P93">
            <v>58.598100000000002</v>
          </cell>
          <cell r="Q93">
            <v>70.433599999999998</v>
          </cell>
          <cell r="R93">
            <v>83.660300000000007</v>
          </cell>
          <cell r="S93">
            <v>98.793099999999995</v>
          </cell>
          <cell r="T93">
            <v>116.379</v>
          </cell>
          <cell r="U93">
            <v>136.67500000000001</v>
          </cell>
          <cell r="V93">
            <v>159.964</v>
          </cell>
          <cell r="W93">
            <v>186.02699999999999</v>
          </cell>
          <cell r="X93">
            <v>214.66200000000001</v>
          </cell>
          <cell r="Y93">
            <v>245.815</v>
          </cell>
          <cell r="Z93">
            <v>279.88400000000001</v>
          </cell>
          <cell r="AA93">
            <v>317.334</v>
          </cell>
          <cell r="AB93">
            <v>358.17700000000002</v>
          </cell>
          <cell r="AC93">
            <v>402.13499999999999</v>
          </cell>
        </row>
        <row r="94">
          <cell r="E94" t="str">
            <v/>
          </cell>
          <cell r="F94" t="str">
            <v/>
          </cell>
          <cell r="G94">
            <v>9.1697600000000001</v>
          </cell>
          <cell r="H94">
            <v>12.600300000000001</v>
          </cell>
          <cell r="I94">
            <v>17.941400000000002</v>
          </cell>
          <cell r="J94">
            <v>28.146899999999999</v>
          </cell>
          <cell r="K94">
            <v>38.881999999999998</v>
          </cell>
          <cell r="L94">
            <v>55.003399999999999</v>
          </cell>
          <cell r="M94">
            <v>70.116</v>
          </cell>
          <cell r="N94">
            <v>90.6875</v>
          </cell>
          <cell r="O94">
            <v>123.392</v>
          </cell>
          <cell r="P94">
            <v>164.70599999999999</v>
          </cell>
          <cell r="Q94">
            <v>214.184</v>
          </cell>
          <cell r="R94">
            <v>273.70299999999997</v>
          </cell>
          <cell r="S94">
            <v>344.863</v>
          </cell>
          <cell r="T94">
            <v>427.52300000000002</v>
          </cell>
          <cell r="U94">
            <v>526.096</v>
          </cell>
          <cell r="V94">
            <v>639.322</v>
          </cell>
          <cell r="W94">
            <v>761.26499999999999</v>
          </cell>
          <cell r="X94">
            <v>889.16600000000005</v>
          </cell>
          <cell r="Y94">
            <v>1021.17</v>
          </cell>
          <cell r="Z94">
            <v>1156.99</v>
          </cell>
          <cell r="AA94">
            <v>1295.8800000000001</v>
          </cell>
          <cell r="AB94">
            <v>1436.25</v>
          </cell>
          <cell r="AC94">
            <v>1576.47</v>
          </cell>
        </row>
        <row r="95">
          <cell r="E95">
            <v>0.135545</v>
          </cell>
          <cell r="F95">
            <v>0.129494</v>
          </cell>
          <cell r="G95">
            <v>0.13796600000000001</v>
          </cell>
          <cell r="H95">
            <v>0.14280699999999999</v>
          </cell>
          <cell r="I95">
            <v>0.16459099999999999</v>
          </cell>
          <cell r="J95">
            <v>0.17669299999999999</v>
          </cell>
          <cell r="K95">
            <v>0.17669299999999999</v>
          </cell>
          <cell r="L95">
            <v>0.21421000000000001</v>
          </cell>
          <cell r="M95">
            <v>0.21542000000000003</v>
          </cell>
          <cell r="N95">
            <v>0.25293699999999997</v>
          </cell>
          <cell r="O95">
            <v>0.29004000000000002</v>
          </cell>
          <cell r="P95">
            <v>0.37406</v>
          </cell>
          <cell r="Q95">
            <v>0.498859</v>
          </cell>
          <cell r="R95">
            <v>0.67634299999999992</v>
          </cell>
          <cell r="S95">
            <v>0.92466000000000004</v>
          </cell>
          <cell r="T95">
            <v>1.27251</v>
          </cell>
          <cell r="U95">
            <v>1.7597200000000002</v>
          </cell>
          <cell r="V95">
            <v>2.4304100000000002</v>
          </cell>
          <cell r="W95">
            <v>3.32368</v>
          </cell>
          <cell r="X95">
            <v>4.4787600000000003</v>
          </cell>
          <cell r="Y95">
            <v>5.92638</v>
          </cell>
          <cell r="Z95">
            <v>7.7091399999999997</v>
          </cell>
          <cell r="AA95">
            <v>9.8683599999999991</v>
          </cell>
          <cell r="AB95">
            <v>12.430400000000001</v>
          </cell>
          <cell r="AC95">
            <v>15.4064</v>
          </cell>
        </row>
        <row r="96">
          <cell r="E96">
            <v>208.95500000000001</v>
          </cell>
          <cell r="F96">
            <v>328.15499999999997</v>
          </cell>
          <cell r="G96">
            <v>542.56799999999998</v>
          </cell>
          <cell r="H96">
            <v>817.10299999999995</v>
          </cell>
          <cell r="I96">
            <v>1053.72</v>
          </cell>
          <cell r="J96">
            <v>1347.11</v>
          </cell>
          <cell r="K96">
            <v>1663.72</v>
          </cell>
          <cell r="L96">
            <v>1933.58</v>
          </cell>
          <cell r="M96">
            <v>2145.25</v>
          </cell>
          <cell r="N96">
            <v>2430.62</v>
          </cell>
          <cell r="O96">
            <v>2670.11</v>
          </cell>
          <cell r="P96">
            <v>2844.86</v>
          </cell>
          <cell r="Q96">
            <v>2969.21</v>
          </cell>
          <cell r="R96">
            <v>3058.72</v>
          </cell>
          <cell r="S96">
            <v>3120.21</v>
          </cell>
          <cell r="T96">
            <v>3148.34</v>
          </cell>
          <cell r="U96">
            <v>3147.11</v>
          </cell>
          <cell r="V96">
            <v>3133.4</v>
          </cell>
          <cell r="W96">
            <v>3104.19</v>
          </cell>
          <cell r="X96">
            <v>3059.14</v>
          </cell>
          <cell r="Y96">
            <v>2999.27</v>
          </cell>
          <cell r="Z96">
            <v>2928.87</v>
          </cell>
          <cell r="AA96">
            <v>2850</v>
          </cell>
          <cell r="AB96">
            <v>2764.51</v>
          </cell>
          <cell r="AC96">
            <v>2675.99</v>
          </cell>
        </row>
        <row r="97">
          <cell r="E97">
            <v>83.318899999999999</v>
          </cell>
          <cell r="F97">
            <v>64.834900000000005</v>
          </cell>
          <cell r="G97">
            <v>63.590200000000003</v>
          </cell>
          <cell r="H97">
            <v>102.33499999999999</v>
          </cell>
          <cell r="I97">
            <v>112.452</v>
          </cell>
          <cell r="J97">
            <v>166.07900000000001</v>
          </cell>
          <cell r="K97">
            <v>175.952</v>
          </cell>
          <cell r="L97">
            <v>210.31899999999999</v>
          </cell>
          <cell r="M97">
            <v>191.52099999999999</v>
          </cell>
          <cell r="N97">
            <v>225.983</v>
          </cell>
          <cell r="O97">
            <v>255.53700000000001</v>
          </cell>
          <cell r="P97">
            <v>290.21100000000001</v>
          </cell>
          <cell r="Q97">
            <v>326.78699999999998</v>
          </cell>
          <cell r="R97">
            <v>361.137</v>
          </cell>
          <cell r="S97">
            <v>394.71800000000002</v>
          </cell>
          <cell r="T97">
            <v>426.84300000000002</v>
          </cell>
          <cell r="U97">
            <v>457.35</v>
          </cell>
          <cell r="V97">
            <v>483.29</v>
          </cell>
          <cell r="W97">
            <v>502.95299999999997</v>
          </cell>
          <cell r="X97">
            <v>521.44799999999998</v>
          </cell>
          <cell r="Y97">
            <v>540.26</v>
          </cell>
          <cell r="Z97">
            <v>560.69500000000005</v>
          </cell>
          <cell r="AA97">
            <v>582.91</v>
          </cell>
          <cell r="AB97">
            <v>605.69899999999996</v>
          </cell>
          <cell r="AC97">
            <v>627.29300000000001</v>
          </cell>
        </row>
        <row r="98">
          <cell r="E98">
            <v>4.9003199999999998</v>
          </cell>
          <cell r="F98">
            <v>7.0799300000000001</v>
          </cell>
          <cell r="G98">
            <v>8.4369099999999992</v>
          </cell>
          <cell r="H98">
            <v>11.5076</v>
          </cell>
          <cell r="I98">
            <v>15.182600000000001</v>
          </cell>
          <cell r="J98">
            <v>20.6784</v>
          </cell>
          <cell r="K98">
            <v>30.386900000000001</v>
          </cell>
          <cell r="L98">
            <v>44.112499999999997</v>
          </cell>
          <cell r="M98">
            <v>55.867699999999999</v>
          </cell>
          <cell r="N98">
            <v>65.644499999999994</v>
          </cell>
          <cell r="O98">
            <v>81.981300000000005</v>
          </cell>
          <cell r="P98">
            <v>102.21299999999999</v>
          </cell>
          <cell r="Q98">
            <v>124.81100000000001</v>
          </cell>
          <cell r="R98">
            <v>150.53800000000001</v>
          </cell>
          <cell r="S98">
            <v>179.80799999999999</v>
          </cell>
          <cell r="T98">
            <v>212.77699999999999</v>
          </cell>
          <cell r="U98">
            <v>249.41</v>
          </cell>
          <cell r="V98">
            <v>289.69799999999998</v>
          </cell>
          <cell r="W98">
            <v>331.851</v>
          </cell>
          <cell r="X98">
            <v>375.77800000000002</v>
          </cell>
          <cell r="Y98">
            <v>420.464</v>
          </cell>
          <cell r="Z98">
            <v>465.97</v>
          </cell>
          <cell r="AA98">
            <v>512.49199999999996</v>
          </cell>
          <cell r="AB98">
            <v>560.20500000000004</v>
          </cell>
          <cell r="AC98">
            <v>609.00400000000002</v>
          </cell>
        </row>
        <row r="99">
          <cell r="E99">
            <v>48.433999999999997</v>
          </cell>
          <cell r="F99">
            <v>67.839100000000002</v>
          </cell>
          <cell r="G99">
            <v>26.5243</v>
          </cell>
          <cell r="H99">
            <v>47.151299999999999</v>
          </cell>
          <cell r="I99">
            <v>56.325699999999998</v>
          </cell>
          <cell r="J99">
            <v>66.619500000000002</v>
          </cell>
          <cell r="K99">
            <v>96.000799999999998</v>
          </cell>
          <cell r="L99">
            <v>106.16800000000001</v>
          </cell>
          <cell r="M99">
            <v>73.619900000000001</v>
          </cell>
          <cell r="N99">
            <v>69.806100000000001</v>
          </cell>
          <cell r="O99">
            <v>78.523600000000002</v>
          </cell>
          <cell r="P99">
            <v>88.692899999999995</v>
          </cell>
          <cell r="Q99">
            <v>101.354</v>
          </cell>
          <cell r="R99">
            <v>117.04600000000001</v>
          </cell>
          <cell r="S99">
            <v>135.69399999999999</v>
          </cell>
          <cell r="T99">
            <v>157.21600000000001</v>
          </cell>
          <cell r="U99">
            <v>181.44900000000001</v>
          </cell>
          <cell r="V99">
            <v>208.13200000000001</v>
          </cell>
          <cell r="W99">
            <v>236.61799999999999</v>
          </cell>
          <cell r="X99">
            <v>266.40600000000001</v>
          </cell>
          <cell r="Y99">
            <v>297.20400000000001</v>
          </cell>
          <cell r="Z99">
            <v>329.01299999999998</v>
          </cell>
          <cell r="AA99">
            <v>361.39400000000001</v>
          </cell>
          <cell r="AB99">
            <v>393.601</v>
          </cell>
          <cell r="AC99">
            <v>425.39699999999999</v>
          </cell>
        </row>
        <row r="100"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>
            <v>4.5711300000000001</v>
          </cell>
          <cell r="J100">
            <v>3.83385</v>
          </cell>
          <cell r="K100">
            <v>5.5832199999999998</v>
          </cell>
          <cell r="L100">
            <v>7.1471499999999999</v>
          </cell>
          <cell r="M100">
            <v>6.8991500000000006</v>
          </cell>
          <cell r="N100">
            <v>8.8920399999999997</v>
          </cell>
          <cell r="O100">
            <v>12.139200000000001</v>
          </cell>
          <cell r="P100">
            <v>16.0059</v>
          </cell>
          <cell r="Q100">
            <v>20.8005</v>
          </cell>
          <cell r="R100">
            <v>26.934100000000001</v>
          </cell>
          <cell r="S100">
            <v>34.784999999999997</v>
          </cell>
          <cell r="T100">
            <v>44.753399999999999</v>
          </cell>
          <cell r="U100">
            <v>57.232399999999998</v>
          </cell>
          <cell r="V100">
            <v>72.607699999999994</v>
          </cell>
          <cell r="W100">
            <v>91.181799999999996</v>
          </cell>
          <cell r="X100">
            <v>113.39100000000001</v>
          </cell>
          <cell r="Y100">
            <v>139.47399999999999</v>
          </cell>
          <cell r="Z100">
            <v>169.55699999999999</v>
          </cell>
          <cell r="AA100">
            <v>203.77799999999999</v>
          </cell>
          <cell r="AB100">
            <v>242.238</v>
          </cell>
          <cell r="AC100">
            <v>285.18299999999999</v>
          </cell>
        </row>
        <row r="101">
          <cell r="E101">
            <v>231.10400000000001</v>
          </cell>
          <cell r="F101">
            <v>164.90700000000001</v>
          </cell>
          <cell r="G101">
            <v>149.15299999999999</v>
          </cell>
          <cell r="H101">
            <v>139.006</v>
          </cell>
          <cell r="I101">
            <v>142.053</v>
          </cell>
          <cell r="J101">
            <v>190.86</v>
          </cell>
          <cell r="K101">
            <v>203.809</v>
          </cell>
          <cell r="L101">
            <v>118.327</v>
          </cell>
          <cell r="M101">
            <v>104.432</v>
          </cell>
          <cell r="N101">
            <v>156.52500000000001</v>
          </cell>
          <cell r="O101">
            <v>178.875</v>
          </cell>
          <cell r="P101">
            <v>191.822</v>
          </cell>
          <cell r="Q101">
            <v>219.285</v>
          </cell>
          <cell r="R101">
            <v>260.95600000000002</v>
          </cell>
          <cell r="S101">
            <v>315.62900000000002</v>
          </cell>
          <cell r="T101">
            <v>382.30700000000002</v>
          </cell>
          <cell r="U101">
            <v>458.94</v>
          </cell>
          <cell r="V101">
            <v>543.16700000000003</v>
          </cell>
          <cell r="W101">
            <v>632.25599999999997</v>
          </cell>
          <cell r="X101">
            <v>726.53899999999999</v>
          </cell>
          <cell r="Y101">
            <v>826.35900000000004</v>
          </cell>
          <cell r="Z101">
            <v>931.91200000000003</v>
          </cell>
          <cell r="AA101">
            <v>1043.22</v>
          </cell>
          <cell r="AB101">
            <v>1159.08</v>
          </cell>
          <cell r="AC101">
            <v>1277.96</v>
          </cell>
        </row>
        <row r="102">
          <cell r="E102">
            <v>0.72673100000000002</v>
          </cell>
          <cell r="F102">
            <v>0.98713499999999998</v>
          </cell>
          <cell r="G102">
            <v>1.6004100000000001</v>
          </cell>
          <cell r="H102">
            <v>1.8033300000000001</v>
          </cell>
          <cell r="I102">
            <v>2.0122599999999999</v>
          </cell>
          <cell r="J102">
            <v>2.1737000000000002</v>
          </cell>
          <cell r="K102">
            <v>2.4405999999999999</v>
          </cell>
          <cell r="L102">
            <v>2.5195699999999999</v>
          </cell>
          <cell r="M102">
            <v>2.1212200000000001</v>
          </cell>
          <cell r="N102">
            <v>2.9504100000000002</v>
          </cell>
          <cell r="O102">
            <v>3.1797399999999998</v>
          </cell>
          <cell r="P102">
            <v>3.44794</v>
          </cell>
          <cell r="Q102">
            <v>3.7971300000000001</v>
          </cell>
          <cell r="R102">
            <v>4.22112</v>
          </cell>
          <cell r="S102">
            <v>4.7099700000000002</v>
          </cell>
          <cell r="T102">
            <v>5.2577800000000003</v>
          </cell>
          <cell r="U102">
            <v>5.8691000000000004</v>
          </cell>
          <cell r="V102">
            <v>6.5534699999999999</v>
          </cell>
          <cell r="W102">
            <v>7.2895399999999997</v>
          </cell>
          <cell r="X102">
            <v>8.06325</v>
          </cell>
          <cell r="Y102">
            <v>8.8555100000000007</v>
          </cell>
          <cell r="Z102">
            <v>9.6600900000000003</v>
          </cell>
          <cell r="AA102">
            <v>10.4796</v>
          </cell>
          <cell r="AB102">
            <v>11.321999999999999</v>
          </cell>
          <cell r="AC102">
            <v>12.193899999999999</v>
          </cell>
        </row>
        <row r="103">
          <cell r="E103">
            <v>42.844799999999999</v>
          </cell>
          <cell r="F103">
            <v>54.966799999999999</v>
          </cell>
          <cell r="G103">
            <v>64.836399999999998</v>
          </cell>
          <cell r="H103">
            <v>85.704400000000007</v>
          </cell>
          <cell r="I103">
            <v>116.30800000000001</v>
          </cell>
          <cell r="J103">
            <v>140.39099999999999</v>
          </cell>
          <cell r="K103">
            <v>191.28399999999999</v>
          </cell>
          <cell r="L103">
            <v>260.459</v>
          </cell>
          <cell r="M103">
            <v>283.61900000000003</v>
          </cell>
          <cell r="N103">
            <v>273.45499999999998</v>
          </cell>
          <cell r="O103">
            <v>320.47699999999998</v>
          </cell>
          <cell r="P103">
            <v>372.36200000000002</v>
          </cell>
          <cell r="Q103">
            <v>426.68900000000002</v>
          </cell>
          <cell r="R103">
            <v>484.22699999999998</v>
          </cell>
          <cell r="S103">
            <v>546.04600000000005</v>
          </cell>
          <cell r="T103">
            <v>613.91999999999996</v>
          </cell>
          <cell r="U103">
            <v>687.80799999999999</v>
          </cell>
          <cell r="V103">
            <v>767.13499999999999</v>
          </cell>
          <cell r="W103">
            <v>850.70699999999999</v>
          </cell>
          <cell r="X103">
            <v>938.08900000000006</v>
          </cell>
          <cell r="Y103">
            <v>1028.92</v>
          </cell>
          <cell r="Z103">
            <v>1123.06</v>
          </cell>
          <cell r="AA103">
            <v>1219.1400000000001</v>
          </cell>
          <cell r="AB103">
            <v>1316.13</v>
          </cell>
          <cell r="AC103">
            <v>1413.5</v>
          </cell>
        </row>
        <row r="104">
          <cell r="E104">
            <v>1.4984</v>
          </cell>
          <cell r="F104">
            <v>1.8122</v>
          </cell>
          <cell r="G104">
            <v>2.3494299999999999</v>
          </cell>
          <cell r="H104">
            <v>3.0508099999999998</v>
          </cell>
          <cell r="I104">
            <v>3.52691</v>
          </cell>
          <cell r="J104">
            <v>4.1020799999999999</v>
          </cell>
          <cell r="K104">
            <v>4.8748699999999996</v>
          </cell>
          <cell r="L104">
            <v>5.7754300000000001</v>
          </cell>
          <cell r="M104">
            <v>5.3209299999999997</v>
          </cell>
          <cell r="N104">
            <v>5.9242999999999997</v>
          </cell>
          <cell r="O104">
            <v>6.62934</v>
          </cell>
          <cell r="P104">
            <v>7.9044299999999996</v>
          </cell>
          <cell r="Q104">
            <v>9.3873300000000004</v>
          </cell>
          <cell r="R104">
            <v>11.081200000000001</v>
          </cell>
          <cell r="S104">
            <v>13.045400000000001</v>
          </cell>
          <cell r="T104">
            <v>15.3378</v>
          </cell>
          <cell r="U104">
            <v>18.0061</v>
          </cell>
          <cell r="V104">
            <v>21.122199999999999</v>
          </cell>
          <cell r="W104">
            <v>24.679600000000001</v>
          </cell>
          <cell r="X104">
            <v>28.6692</v>
          </cell>
          <cell r="Y104">
            <v>33.074800000000003</v>
          </cell>
          <cell r="Z104">
            <v>37.9392</v>
          </cell>
          <cell r="AA104">
            <v>43.317</v>
          </cell>
          <cell r="AB104">
            <v>49.264200000000002</v>
          </cell>
          <cell r="AC104">
            <v>55.820300000000003</v>
          </cell>
        </row>
        <row r="105">
          <cell r="E105" t="str">
            <v/>
          </cell>
          <cell r="F105" t="str">
            <v/>
          </cell>
          <cell r="G105" t="str">
            <v/>
          </cell>
          <cell r="H105">
            <v>38.6143</v>
          </cell>
          <cell r="I105">
            <v>45.440199999999997</v>
          </cell>
          <cell r="J105">
            <v>65.594999999999999</v>
          </cell>
          <cell r="K105">
            <v>69.540800000000004</v>
          </cell>
          <cell r="L105">
            <v>83.76</v>
          </cell>
          <cell r="M105">
            <v>97.444000000000003</v>
          </cell>
          <cell r="N105">
            <v>110.76300000000001</v>
          </cell>
          <cell r="O105">
            <v>125.879</v>
          </cell>
          <cell r="P105">
            <v>133.29400000000001</v>
          </cell>
          <cell r="Q105">
            <v>137.37899999999999</v>
          </cell>
          <cell r="R105">
            <v>139.566</v>
          </cell>
          <cell r="S105">
            <v>139.81800000000001</v>
          </cell>
          <cell r="T105">
            <v>139.268</v>
          </cell>
          <cell r="U105">
            <v>138.55500000000001</v>
          </cell>
          <cell r="V105">
            <v>138.124</v>
          </cell>
          <cell r="W105">
            <v>137.95699999999999</v>
          </cell>
          <cell r="X105">
            <v>137.667</v>
          </cell>
          <cell r="Y105">
            <v>137.25200000000001</v>
          </cell>
          <cell r="Z105">
            <v>136.779</v>
          </cell>
          <cell r="AA105">
            <v>136.404</v>
          </cell>
          <cell r="AB105">
            <v>136.26499999999999</v>
          </cell>
          <cell r="AC105">
            <v>136.33000000000001</v>
          </cell>
        </row>
        <row r="106">
          <cell r="E106">
            <v>16.7364</v>
          </cell>
          <cell r="F106">
            <v>18.9221</v>
          </cell>
          <cell r="G106">
            <v>27.1341</v>
          </cell>
          <cell r="H106">
            <v>32.936999999999998</v>
          </cell>
          <cell r="I106">
            <v>41.390700000000002</v>
          </cell>
          <cell r="J106">
            <v>48.316499999999998</v>
          </cell>
          <cell r="K106">
            <v>55.372500000000002</v>
          </cell>
          <cell r="L106">
            <v>61.569800000000001</v>
          </cell>
          <cell r="M106">
            <v>67.648399999999995</v>
          </cell>
          <cell r="N106">
            <v>76.042000000000002</v>
          </cell>
          <cell r="O106">
            <v>87.374600000000001</v>
          </cell>
          <cell r="P106">
            <v>94.328800000000001</v>
          </cell>
          <cell r="Q106">
            <v>99.262</v>
          </cell>
          <cell r="R106">
            <v>102.41</v>
          </cell>
          <cell r="S106">
            <v>104.988</v>
          </cell>
          <cell r="T106">
            <v>107.28</v>
          </cell>
          <cell r="U106">
            <v>109.599</v>
          </cell>
          <cell r="V106">
            <v>112.023</v>
          </cell>
          <cell r="W106">
            <v>114.167</v>
          </cell>
          <cell r="X106">
            <v>115.898</v>
          </cell>
          <cell r="Y106">
            <v>117.167</v>
          </cell>
          <cell r="Z106">
            <v>118.035</v>
          </cell>
          <cell r="AA106">
            <v>118.589</v>
          </cell>
          <cell r="AB106">
            <v>118.90900000000001</v>
          </cell>
          <cell r="AC106">
            <v>118.988</v>
          </cell>
        </row>
        <row r="107">
          <cell r="E107" t="str">
            <v/>
          </cell>
          <cell r="F107" t="str">
            <v/>
          </cell>
          <cell r="G107" t="str">
            <v/>
          </cell>
          <cell r="H107">
            <v>23.854099999999999</v>
          </cell>
          <cell r="I107">
            <v>28.841799999999999</v>
          </cell>
          <cell r="J107">
            <v>42.688000000000002</v>
          </cell>
          <cell r="K107">
            <v>41.650599999999997</v>
          </cell>
          <cell r="L107">
            <v>49.383699999999997</v>
          </cell>
          <cell r="M107">
            <v>52.711599999999997</v>
          </cell>
          <cell r="N107">
            <v>60.795000000000002</v>
          </cell>
          <cell r="O107">
            <v>66.513400000000004</v>
          </cell>
          <cell r="P107">
            <v>70.804100000000005</v>
          </cell>
          <cell r="Q107">
            <v>73.974299999999999</v>
          </cell>
          <cell r="R107">
            <v>76.082099999999997</v>
          </cell>
          <cell r="S107">
            <v>78.1404</v>
          </cell>
          <cell r="T107">
            <v>80.000500000000002</v>
          </cell>
          <cell r="U107">
            <v>82.158699999999996</v>
          </cell>
          <cell r="V107">
            <v>84.680099999999996</v>
          </cell>
          <cell r="W107">
            <v>87.306100000000001</v>
          </cell>
          <cell r="X107">
            <v>89.869900000000001</v>
          </cell>
          <cell r="Y107">
            <v>92.364800000000002</v>
          </cell>
          <cell r="Z107">
            <v>94.861699999999999</v>
          </cell>
          <cell r="AA107">
            <v>97.4636</v>
          </cell>
          <cell r="AB107">
            <v>100.176</v>
          </cell>
          <cell r="AC107">
            <v>102.821</v>
          </cell>
        </row>
        <row r="108">
          <cell r="E108" t="str">
            <v/>
          </cell>
          <cell r="F108" t="str">
            <v/>
          </cell>
          <cell r="G108">
            <v>16.768999999999998</v>
          </cell>
          <cell r="H108">
            <v>22.308700000000002</v>
          </cell>
          <cell r="I108">
            <v>21.827999999999999</v>
          </cell>
          <cell r="J108">
            <v>37.371699999999997</v>
          </cell>
          <cell r="K108">
            <v>63.555799999999998</v>
          </cell>
          <cell r="L108">
            <v>71.894599999999997</v>
          </cell>
          <cell r="M108">
            <v>37.303100000000001</v>
          </cell>
          <cell r="N108">
            <v>82.766400000000004</v>
          </cell>
          <cell r="O108">
            <v>100.733</v>
          </cell>
          <cell r="P108">
            <v>118.91500000000001</v>
          </cell>
          <cell r="Q108">
            <v>136.28899999999999</v>
          </cell>
          <cell r="R108">
            <v>151.93700000000001</v>
          </cell>
          <cell r="S108">
            <v>164.93899999999999</v>
          </cell>
          <cell r="T108">
            <v>175.42</v>
          </cell>
          <cell r="U108">
            <v>184.17599999999999</v>
          </cell>
          <cell r="V108">
            <v>191.53</v>
          </cell>
          <cell r="W108">
            <v>196.15</v>
          </cell>
          <cell r="X108">
            <v>197.852</v>
          </cell>
          <cell r="Y108">
            <v>196.511</v>
          </cell>
          <cell r="Z108">
            <v>192.578</v>
          </cell>
          <cell r="AA108">
            <v>186.77799999999999</v>
          </cell>
          <cell r="AB108">
            <v>179.84</v>
          </cell>
          <cell r="AC108">
            <v>172.202</v>
          </cell>
        </row>
        <row r="109">
          <cell r="E109">
            <v>71.277299999999997</v>
          </cell>
          <cell r="F109">
            <v>83.811499999999995</v>
          </cell>
          <cell r="G109">
            <v>104.01600000000001</v>
          </cell>
          <cell r="H109">
            <v>112.29600000000001</v>
          </cell>
          <cell r="I109">
            <v>137.68199999999999</v>
          </cell>
          <cell r="J109">
            <v>175.542</v>
          </cell>
          <cell r="K109">
            <v>222.708</v>
          </cell>
          <cell r="L109">
            <v>270.392</v>
          </cell>
          <cell r="M109">
            <v>281.07600000000002</v>
          </cell>
          <cell r="N109">
            <v>336.53300000000002</v>
          </cell>
          <cell r="O109">
            <v>398.53300000000002</v>
          </cell>
          <cell r="P109">
            <v>475.142</v>
          </cell>
          <cell r="Q109">
            <v>561.93899999999996</v>
          </cell>
          <cell r="R109">
            <v>661.67</v>
          </cell>
          <cell r="S109">
            <v>778.58299999999997</v>
          </cell>
          <cell r="T109">
            <v>916.52499999999998</v>
          </cell>
          <cell r="U109">
            <v>1078.19</v>
          </cell>
          <cell r="V109">
            <v>1263.27</v>
          </cell>
          <cell r="W109">
            <v>1465.04</v>
          </cell>
          <cell r="X109">
            <v>1684.43</v>
          </cell>
          <cell r="Y109">
            <v>1923.25</v>
          </cell>
          <cell r="Z109">
            <v>2180.33</v>
          </cell>
          <cell r="AA109">
            <v>2455.9499999999998</v>
          </cell>
          <cell r="AB109">
            <v>2750.32</v>
          </cell>
          <cell r="AC109">
            <v>3062.16</v>
          </cell>
        </row>
        <row r="110">
          <cell r="E110" t="str">
            <v/>
          </cell>
          <cell r="F110" t="str">
            <v/>
          </cell>
          <cell r="G110" t="str">
            <v/>
          </cell>
          <cell r="H110">
            <v>16.636400000000002</v>
          </cell>
          <cell r="I110">
            <v>14.667199999999999</v>
          </cell>
          <cell r="J110">
            <v>20.646599999999999</v>
          </cell>
          <cell r="K110">
            <v>24.186900000000001</v>
          </cell>
          <cell r="L110">
            <v>29.031500000000001</v>
          </cell>
          <cell r="M110">
            <v>31.236799999999999</v>
          </cell>
          <cell r="N110">
            <v>37.7605</v>
          </cell>
          <cell r="O110">
            <v>48.152700000000003</v>
          </cell>
          <cell r="P110">
            <v>58.644500000000001</v>
          </cell>
          <cell r="Q110">
            <v>67.370099999999994</v>
          </cell>
          <cell r="R110">
            <v>74.396100000000004</v>
          </cell>
          <cell r="S110">
            <v>80.124899999999997</v>
          </cell>
          <cell r="T110">
            <v>85.084400000000002</v>
          </cell>
          <cell r="U110">
            <v>89.657300000000006</v>
          </cell>
          <cell r="V110">
            <v>94.087299999999999</v>
          </cell>
          <cell r="W110">
            <v>97.968500000000006</v>
          </cell>
          <cell r="X110">
            <v>101.241</v>
          </cell>
          <cell r="Y110">
            <v>104.102</v>
          </cell>
          <cell r="Z110">
            <v>106.929</v>
          </cell>
          <cell r="AA110">
            <v>109.999</v>
          </cell>
          <cell r="AB110">
            <v>113.34699999999999</v>
          </cell>
          <cell r="AC110">
            <v>116.78700000000001</v>
          </cell>
        </row>
        <row r="111">
          <cell r="E111">
            <v>20.425899999999999</v>
          </cell>
          <cell r="F111">
            <v>18.772400000000001</v>
          </cell>
          <cell r="G111">
            <v>21.493099999999998</v>
          </cell>
          <cell r="H111">
            <v>21.143699999999999</v>
          </cell>
          <cell r="I111">
            <v>25.453900000000001</v>
          </cell>
          <cell r="J111">
            <v>28.603300000000001</v>
          </cell>
          <cell r="K111">
            <v>32.857399999999998</v>
          </cell>
          <cell r="L111">
            <v>37.484900000000003</v>
          </cell>
          <cell r="M111">
            <v>40.537700000000001</v>
          </cell>
          <cell r="N111">
            <v>50.871400000000001</v>
          </cell>
          <cell r="O111">
            <v>64.391900000000007</v>
          </cell>
          <cell r="P111">
            <v>83.946200000000005</v>
          </cell>
          <cell r="Q111">
            <v>109.279</v>
          </cell>
          <cell r="R111">
            <v>142.53899999999999</v>
          </cell>
          <cell r="S111">
            <v>185.989</v>
          </cell>
          <cell r="T111">
            <v>242.011</v>
          </cell>
          <cell r="U111">
            <v>313.47699999999998</v>
          </cell>
          <cell r="V111">
            <v>403.69</v>
          </cell>
          <cell r="W111">
            <v>514.86800000000005</v>
          </cell>
          <cell r="X111">
            <v>649.68600000000004</v>
          </cell>
          <cell r="Y111">
            <v>808.60199999999998</v>
          </cell>
          <cell r="Z111">
            <v>992.80899999999997</v>
          </cell>
          <cell r="AA111">
            <v>1204.1500000000001</v>
          </cell>
          <cell r="AB111">
            <v>1444.93</v>
          </cell>
          <cell r="AC111">
            <v>1717.3</v>
          </cell>
        </row>
        <row r="112">
          <cell r="E112">
            <v>0.70877699999999999</v>
          </cell>
          <cell r="F112">
            <v>1.14622</v>
          </cell>
          <cell r="G112">
            <v>1.5449600000000001</v>
          </cell>
          <cell r="H112">
            <v>2.13964</v>
          </cell>
          <cell r="I112">
            <v>3.1783399999999999</v>
          </cell>
          <cell r="J112">
            <v>4.0293000000000001</v>
          </cell>
          <cell r="K112">
            <v>5.9633200000000004</v>
          </cell>
          <cell r="L112">
            <v>7.8628</v>
          </cell>
          <cell r="M112">
            <v>6.9033899999999999</v>
          </cell>
          <cell r="N112">
            <v>13.464700000000001</v>
          </cell>
          <cell r="O112">
            <v>17.395</v>
          </cell>
          <cell r="P112">
            <v>21.4209</v>
          </cell>
          <cell r="Q112">
            <v>25.458200000000001</v>
          </cell>
          <cell r="R112">
            <v>29.380199999999999</v>
          </cell>
          <cell r="S112">
            <v>33.119399999999999</v>
          </cell>
          <cell r="T112">
            <v>36.760399999999997</v>
          </cell>
          <cell r="U112">
            <v>40.438200000000002</v>
          </cell>
          <cell r="V112">
            <v>44.100900000000003</v>
          </cell>
          <cell r="W112">
            <v>47.211100000000002</v>
          </cell>
          <cell r="X112">
            <v>49.7455</v>
          </cell>
          <cell r="Y112">
            <v>51.586300000000001</v>
          </cell>
          <cell r="Z112">
            <v>52.854999999999997</v>
          </cell>
          <cell r="AA112">
            <v>53.722000000000001</v>
          </cell>
          <cell r="AB112">
            <v>54.430100000000003</v>
          </cell>
          <cell r="AC112">
            <v>55.091500000000003</v>
          </cell>
        </row>
        <row r="113">
          <cell r="E113">
            <v>1119.28</v>
          </cell>
          <cell r="F113">
            <v>1232.22</v>
          </cell>
          <cell r="G113">
            <v>1346.92</v>
          </cell>
          <cell r="H113">
            <v>1455.52</v>
          </cell>
          <cell r="I113">
            <v>1798.32</v>
          </cell>
          <cell r="J113">
            <v>1911.13</v>
          </cell>
          <cell r="K113">
            <v>2030.08</v>
          </cell>
          <cell r="L113">
            <v>2308.81</v>
          </cell>
          <cell r="M113">
            <v>2223.54</v>
          </cell>
          <cell r="N113">
            <v>2645.37</v>
          </cell>
          <cell r="O113">
            <v>3024.44</v>
          </cell>
          <cell r="P113">
            <v>3462.18</v>
          </cell>
          <cell r="Q113">
            <v>3949.5</v>
          </cell>
          <cell r="R113">
            <v>4487.26</v>
          </cell>
          <cell r="S113">
            <v>5066.04</v>
          </cell>
          <cell r="T113">
            <v>5672.71</v>
          </cell>
          <cell r="U113">
            <v>6286.07</v>
          </cell>
          <cell r="V113">
            <v>6908.03</v>
          </cell>
          <cell r="W113">
            <v>7532.75</v>
          </cell>
          <cell r="X113">
            <v>8145.45</v>
          </cell>
          <cell r="Y113">
            <v>8730.4699999999993</v>
          </cell>
          <cell r="Z113">
            <v>9282.26</v>
          </cell>
          <cell r="AA113">
            <v>9795.09</v>
          </cell>
          <cell r="AB113">
            <v>10264.299999999999</v>
          </cell>
          <cell r="AC113">
            <v>10685.5</v>
          </cell>
        </row>
        <row r="114">
          <cell r="E114" t="str">
            <v/>
          </cell>
          <cell r="F114" t="str">
            <v/>
          </cell>
          <cell r="G114">
            <v>22.7133</v>
          </cell>
          <cell r="H114">
            <v>17.843800000000002</v>
          </cell>
          <cell r="I114">
            <v>20.639299999999999</v>
          </cell>
          <cell r="J114">
            <v>22.7529</v>
          </cell>
          <cell r="K114">
            <v>27.666799999999999</v>
          </cell>
          <cell r="L114">
            <v>31.221399999999999</v>
          </cell>
          <cell r="M114">
            <v>33.072000000000003</v>
          </cell>
          <cell r="N114">
            <v>38.4392</v>
          </cell>
          <cell r="O114">
            <v>45.576900000000002</v>
          </cell>
          <cell r="P114">
            <v>51.954500000000003</v>
          </cell>
          <cell r="Q114">
            <v>58.1873</v>
          </cell>
          <cell r="R114">
            <v>64.543899999999994</v>
          </cell>
          <cell r="S114">
            <v>71.1173</v>
          </cell>
          <cell r="T114">
            <v>78.012900000000002</v>
          </cell>
          <cell r="U114">
            <v>85.153000000000006</v>
          </cell>
          <cell r="V114">
            <v>93.366799999999998</v>
          </cell>
          <cell r="W114">
            <v>102.85</v>
          </cell>
          <cell r="X114">
            <v>112.929</v>
          </cell>
          <cell r="Y114">
            <v>123.105</v>
          </cell>
          <cell r="Z114">
            <v>133.15199999999999</v>
          </cell>
          <cell r="AA114">
            <v>143.07499999999999</v>
          </cell>
          <cell r="AB114">
            <v>152.91200000000001</v>
          </cell>
          <cell r="AC114">
            <v>162.70500000000001</v>
          </cell>
        </row>
        <row r="115">
          <cell r="E115">
            <v>10.1858</v>
          </cell>
          <cell r="F115">
            <v>9.3866399999999999</v>
          </cell>
          <cell r="G115">
            <v>12.356199999999999</v>
          </cell>
          <cell r="H115">
            <v>14.5014</v>
          </cell>
          <cell r="I115">
            <v>17.817599999999999</v>
          </cell>
          <cell r="J115">
            <v>25.0245</v>
          </cell>
          <cell r="K115">
            <v>31.3384</v>
          </cell>
          <cell r="L115">
            <v>37.313800000000001</v>
          </cell>
          <cell r="M115">
            <v>45.075600000000001</v>
          </cell>
          <cell r="N115">
            <v>55.553400000000003</v>
          </cell>
          <cell r="O115">
            <v>72.546800000000005</v>
          </cell>
          <cell r="P115">
            <v>99.550799999999995</v>
          </cell>
          <cell r="Q115">
            <v>136.07599999999999</v>
          </cell>
          <cell r="R115">
            <v>185.00899999999999</v>
          </cell>
          <cell r="S115">
            <v>249.209</v>
          </cell>
          <cell r="T115">
            <v>331.36</v>
          </cell>
          <cell r="U115">
            <v>434.07600000000002</v>
          </cell>
          <cell r="V115">
            <v>560.08199999999999</v>
          </cell>
          <cell r="W115">
            <v>711.91600000000005</v>
          </cell>
          <cell r="X115">
            <v>891.774</v>
          </cell>
          <cell r="Y115">
            <v>1101.03</v>
          </cell>
          <cell r="Z115">
            <v>1340.34</v>
          </cell>
          <cell r="AA115">
            <v>1610.95</v>
          </cell>
          <cell r="AB115">
            <v>1915</v>
          </cell>
          <cell r="AC115">
            <v>2251.94</v>
          </cell>
        </row>
        <row r="116">
          <cell r="E116">
            <v>4.9444600000000003</v>
          </cell>
          <cell r="F116">
            <v>5.3830999999999998</v>
          </cell>
          <cell r="G116">
            <v>7.0704900000000004</v>
          </cell>
          <cell r="H116">
            <v>9.4035700000000002</v>
          </cell>
          <cell r="I116">
            <v>10.894299999999999</v>
          </cell>
          <cell r="J116">
            <v>11.8965</v>
          </cell>
          <cell r="K116">
            <v>13.8432</v>
          </cell>
          <cell r="L116">
            <v>18.019600000000001</v>
          </cell>
          <cell r="M116">
            <v>21.831800000000001</v>
          </cell>
          <cell r="N116">
            <v>29.0761</v>
          </cell>
          <cell r="O116">
            <v>34.647599999999997</v>
          </cell>
          <cell r="P116">
            <v>39.825899999999997</v>
          </cell>
          <cell r="Q116">
            <v>43.742899999999999</v>
          </cell>
          <cell r="R116">
            <v>46.811999999999998</v>
          </cell>
          <cell r="S116">
            <v>49.281799999999997</v>
          </cell>
          <cell r="T116">
            <v>51.435099999999998</v>
          </cell>
          <cell r="U116">
            <v>53.491999999999997</v>
          </cell>
          <cell r="V116">
            <v>55.233899999999998</v>
          </cell>
          <cell r="W116">
            <v>56.722299999999997</v>
          </cell>
          <cell r="X116">
            <v>57.778399999999998</v>
          </cell>
          <cell r="Y116">
            <v>58.3934</v>
          </cell>
          <cell r="Z116">
            <v>58.625599999999999</v>
          </cell>
          <cell r="AA116">
            <v>58.661099999999998</v>
          </cell>
          <cell r="AB116">
            <v>58.728900000000003</v>
          </cell>
          <cell r="AC116">
            <v>58.978400000000001</v>
          </cell>
        </row>
        <row r="117">
          <cell r="E117" t="str">
            <v/>
          </cell>
          <cell r="F117" t="str">
            <v/>
          </cell>
          <cell r="G117">
            <v>23.322400000000002</v>
          </cell>
          <cell r="H117">
            <v>30.380800000000001</v>
          </cell>
          <cell r="I117">
            <v>51.515700000000002</v>
          </cell>
          <cell r="J117">
            <v>94.417599999999993</v>
          </cell>
          <cell r="K117">
            <v>142.21799999999999</v>
          </cell>
          <cell r="L117">
            <v>200.41200000000001</v>
          </cell>
          <cell r="M117">
            <v>264.33</v>
          </cell>
          <cell r="N117">
            <v>238.78100000000001</v>
          </cell>
          <cell r="O117">
            <v>279.238</v>
          </cell>
          <cell r="P117">
            <v>331.04399999999998</v>
          </cell>
          <cell r="Q117">
            <v>388.65100000000001</v>
          </cell>
          <cell r="R117">
            <v>453.54700000000003</v>
          </cell>
          <cell r="S117">
            <v>527.41800000000001</v>
          </cell>
          <cell r="T117">
            <v>612.01</v>
          </cell>
          <cell r="U117">
            <v>707.59199999999998</v>
          </cell>
          <cell r="V117">
            <v>814.86099999999999</v>
          </cell>
          <cell r="W117">
            <v>933.01599999999996</v>
          </cell>
          <cell r="X117">
            <v>1058.96</v>
          </cell>
          <cell r="Y117">
            <v>1190.71</v>
          </cell>
          <cell r="Z117">
            <v>1327.99</v>
          </cell>
          <cell r="AA117">
            <v>1470.83</v>
          </cell>
          <cell r="AB117">
            <v>1619.28</v>
          </cell>
          <cell r="AC117">
            <v>1772.66</v>
          </cell>
        </row>
        <row r="118"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>
            <v>7.5248299999999997</v>
          </cell>
          <cell r="J118">
            <v>8.6455400000000004</v>
          </cell>
          <cell r="K118">
            <v>10.398</v>
          </cell>
          <cell r="L118">
            <v>11.3759</v>
          </cell>
          <cell r="M118">
            <v>11.358599999999999</v>
          </cell>
          <cell r="N118">
            <v>15.24</v>
          </cell>
          <cell r="O118">
            <v>17.602</v>
          </cell>
          <cell r="P118">
            <v>19.697299999999998</v>
          </cell>
          <cell r="Q118">
            <v>21.365200000000002</v>
          </cell>
          <cell r="R118">
            <v>22.736000000000001</v>
          </cell>
          <cell r="S118">
            <v>23.949400000000001</v>
          </cell>
          <cell r="T118">
            <v>25.121099999999998</v>
          </cell>
          <cell r="U118">
            <v>26.290900000000001</v>
          </cell>
          <cell r="V118">
            <v>27.486699999999999</v>
          </cell>
          <cell r="W118">
            <v>28.662800000000001</v>
          </cell>
          <cell r="X118">
            <v>29.798999999999999</v>
          </cell>
          <cell r="Y118">
            <v>30.914300000000001</v>
          </cell>
          <cell r="Z118">
            <v>32.031599999999997</v>
          </cell>
          <cell r="AA118">
            <v>33.192300000000003</v>
          </cell>
          <cell r="AB118">
            <v>34.401299999999999</v>
          </cell>
          <cell r="AC118">
            <v>35.650100000000002</v>
          </cell>
        </row>
        <row r="119">
          <cell r="E119">
            <v>6.6252599999999999</v>
          </cell>
          <cell r="F119">
            <v>9.2105599999999992</v>
          </cell>
          <cell r="G119">
            <v>11.147600000000001</v>
          </cell>
          <cell r="H119">
            <v>9.6632300000000004</v>
          </cell>
          <cell r="I119">
            <v>11.058</v>
          </cell>
          <cell r="J119">
            <v>15.2401</v>
          </cell>
          <cell r="K119">
            <v>20.313600000000001</v>
          </cell>
          <cell r="L119">
            <v>33.011600000000001</v>
          </cell>
          <cell r="M119">
            <v>38.433999999999997</v>
          </cell>
          <cell r="N119">
            <v>46.816600000000001</v>
          </cell>
          <cell r="O119">
            <v>56.334200000000003</v>
          </cell>
          <cell r="P119">
            <v>68.008899999999997</v>
          </cell>
          <cell r="Q119">
            <v>80.702399999999997</v>
          </cell>
          <cell r="R119">
            <v>94.674300000000002</v>
          </cell>
          <cell r="S119">
            <v>110.563</v>
          </cell>
          <cell r="T119">
            <v>129.041</v>
          </cell>
          <cell r="U119">
            <v>150.506</v>
          </cell>
          <cell r="V119">
            <v>175.20699999999999</v>
          </cell>
          <cell r="W119">
            <v>202.339</v>
          </cell>
          <cell r="X119">
            <v>231.524</v>
          </cell>
          <cell r="Y119">
            <v>262.87299999999999</v>
          </cell>
          <cell r="Z119">
            <v>296.553</v>
          </cell>
          <cell r="AA119">
            <v>332.77199999999999</v>
          </cell>
          <cell r="AB119">
            <v>371.48</v>
          </cell>
          <cell r="AC119">
            <v>412.447</v>
          </cell>
        </row>
        <row r="120">
          <cell r="E120">
            <v>5.93893</v>
          </cell>
          <cell r="F120">
            <v>4.6217699999999997</v>
          </cell>
          <cell r="G120">
            <v>6.0279199999999999</v>
          </cell>
          <cell r="H120">
            <v>7.2646800000000002</v>
          </cell>
          <cell r="I120">
            <v>11.171099999999999</v>
          </cell>
          <cell r="J120">
            <v>16.832799999999999</v>
          </cell>
          <cell r="K120">
            <v>24.1721</v>
          </cell>
          <cell r="L120">
            <v>34.143999999999998</v>
          </cell>
          <cell r="M120">
            <v>38.456400000000002</v>
          </cell>
          <cell r="N120">
            <v>48.335099999999997</v>
          </cell>
          <cell r="O120">
            <v>78.493600000000001</v>
          </cell>
          <cell r="P120">
            <v>123.435</v>
          </cell>
          <cell r="Q120">
            <v>179.559</v>
          </cell>
          <cell r="R120">
            <v>250.99100000000001</v>
          </cell>
          <cell r="S120">
            <v>341.52199999999999</v>
          </cell>
          <cell r="T120">
            <v>455</v>
          </cell>
          <cell r="U120">
            <v>595.64099999999996</v>
          </cell>
          <cell r="V120">
            <v>767.63699999999994</v>
          </cell>
          <cell r="W120">
            <v>973.28499999999997</v>
          </cell>
          <cell r="X120">
            <v>1215.28</v>
          </cell>
          <cell r="Y120">
            <v>1493.42</v>
          </cell>
          <cell r="Z120">
            <v>1808.62</v>
          </cell>
          <cell r="AA120">
            <v>2160.12</v>
          </cell>
          <cell r="AB120">
            <v>2547.91</v>
          </cell>
          <cell r="AC120">
            <v>2970.16</v>
          </cell>
        </row>
        <row r="121">
          <cell r="E121" t="str">
            <v/>
          </cell>
          <cell r="F121" t="str">
            <v/>
          </cell>
          <cell r="G121">
            <v>9.4265399999999993</v>
          </cell>
          <cell r="H121">
            <v>10.8132</v>
          </cell>
          <cell r="I121">
            <v>11.2407</v>
          </cell>
          <cell r="J121">
            <v>13.7447</v>
          </cell>
          <cell r="K121">
            <v>16.323699999999999</v>
          </cell>
          <cell r="L121">
            <v>20.3308</v>
          </cell>
          <cell r="M121">
            <v>23.939900000000002</v>
          </cell>
          <cell r="N121">
            <v>30.756</v>
          </cell>
          <cell r="O121">
            <v>38.469099999999997</v>
          </cell>
          <cell r="P121">
            <v>49.598700000000001</v>
          </cell>
          <cell r="Q121">
            <v>62.554900000000004</v>
          </cell>
          <cell r="R121">
            <v>78.03</v>
          </cell>
          <cell r="S121">
            <v>96.589100000000002</v>
          </cell>
          <cell r="T121">
            <v>118.696</v>
          </cell>
          <cell r="U121">
            <v>144.82499999999999</v>
          </cell>
          <cell r="V121">
            <v>175.35400000000001</v>
          </cell>
          <cell r="W121">
            <v>209.91300000000001</v>
          </cell>
          <cell r="X121">
            <v>248.81299999999999</v>
          </cell>
          <cell r="Y121">
            <v>291.798</v>
          </cell>
          <cell r="Z121">
            <v>338.63799999999998</v>
          </cell>
          <cell r="AA121">
            <v>389.09899999999999</v>
          </cell>
          <cell r="AB121">
            <v>442.94099999999997</v>
          </cell>
          <cell r="AC121">
            <v>500.23</v>
          </cell>
        </row>
        <row r="122">
          <cell r="E122">
            <v>4.8391200000000003</v>
          </cell>
          <cell r="F122">
            <v>6.0762099999999997</v>
          </cell>
          <cell r="G122">
            <v>8.7839399999999994</v>
          </cell>
          <cell r="H122">
            <v>11.150700000000001</v>
          </cell>
          <cell r="I122">
            <v>14.6532</v>
          </cell>
          <cell r="J122">
            <v>17.237100000000002</v>
          </cell>
          <cell r="K122">
            <v>21.646100000000001</v>
          </cell>
          <cell r="L122">
            <v>25.945699999999999</v>
          </cell>
          <cell r="M122">
            <v>25.598099999999999</v>
          </cell>
          <cell r="N122">
            <v>32.459299999999999</v>
          </cell>
          <cell r="O122">
            <v>38.302500000000002</v>
          </cell>
          <cell r="P122">
            <v>44.295699999999997</v>
          </cell>
          <cell r="Q122">
            <v>50.262799999999999</v>
          </cell>
          <cell r="R122">
            <v>56.1843</v>
          </cell>
          <cell r="S122">
            <v>61.933199999999999</v>
          </cell>
          <cell r="T122">
            <v>67.642399999999995</v>
          </cell>
          <cell r="U122">
            <v>73.098600000000005</v>
          </cell>
          <cell r="V122">
            <v>78.144800000000004</v>
          </cell>
          <cell r="W122">
            <v>82.820800000000006</v>
          </cell>
          <cell r="X122">
            <v>87.044799999999995</v>
          </cell>
          <cell r="Y122">
            <v>90.816800000000001</v>
          </cell>
          <cell r="Z122">
            <v>94.108099999999993</v>
          </cell>
          <cell r="AA122">
            <v>96.9803</v>
          </cell>
          <cell r="AB122">
            <v>99.539199999999994</v>
          </cell>
          <cell r="AC122">
            <v>101.93</v>
          </cell>
        </row>
        <row r="123">
          <cell r="E123">
            <v>7.1757799999999996</v>
          </cell>
          <cell r="F123">
            <v>7.9644300000000001</v>
          </cell>
          <cell r="G123">
            <v>8.9258900000000008</v>
          </cell>
          <cell r="H123">
            <v>10.071300000000001</v>
          </cell>
          <cell r="I123">
            <v>12.4495</v>
          </cell>
          <cell r="J123">
            <v>13.9846</v>
          </cell>
          <cell r="K123">
            <v>19.9983</v>
          </cell>
          <cell r="L123">
            <v>24.4573</v>
          </cell>
          <cell r="M123">
            <v>28.8962</v>
          </cell>
          <cell r="N123">
            <v>33.198999999999998</v>
          </cell>
          <cell r="O123">
            <v>41.578299999999999</v>
          </cell>
          <cell r="P123">
            <v>54.094999999999999</v>
          </cell>
          <cell r="Q123">
            <v>73.257300000000001</v>
          </cell>
          <cell r="R123">
            <v>99.926100000000005</v>
          </cell>
          <cell r="S123">
            <v>135.28800000000001</v>
          </cell>
          <cell r="T123">
            <v>180.68299999999999</v>
          </cell>
          <cell r="U123">
            <v>237.68</v>
          </cell>
          <cell r="V123">
            <v>307.88799999999998</v>
          </cell>
          <cell r="W123">
            <v>392.61399999999998</v>
          </cell>
          <cell r="X123">
            <v>493.791</v>
          </cell>
          <cell r="Y123">
            <v>612.36400000000003</v>
          </cell>
          <cell r="Z123">
            <v>749.41200000000003</v>
          </cell>
          <cell r="AA123">
            <v>905.322</v>
          </cell>
          <cell r="AB123">
            <v>1080.5</v>
          </cell>
          <cell r="AC123">
            <v>1274.9100000000001</v>
          </cell>
        </row>
        <row r="124">
          <cell r="E124">
            <v>104.23399999999999</v>
          </cell>
          <cell r="F124">
            <v>134.029</v>
          </cell>
          <cell r="G124">
            <v>186.74</v>
          </cell>
          <cell r="H124">
            <v>293.61500000000001</v>
          </cell>
          <cell r="I124">
            <v>370.38099999999997</v>
          </cell>
          <cell r="J124">
            <v>465.29199999999997</v>
          </cell>
          <cell r="K124">
            <v>579.75699999999995</v>
          </cell>
          <cell r="L124">
            <v>750.35</v>
          </cell>
          <cell r="M124">
            <v>858.29200000000003</v>
          </cell>
          <cell r="N124">
            <v>1090.28</v>
          </cell>
          <cell r="O124">
            <v>1326.57</v>
          </cell>
          <cell r="P124">
            <v>1559.3</v>
          </cell>
          <cell r="Q124">
            <v>1761</v>
          </cell>
          <cell r="R124">
            <v>1942.03</v>
          </cell>
          <cell r="S124">
            <v>2111.3200000000002</v>
          </cell>
          <cell r="T124">
            <v>2274.73</v>
          </cell>
          <cell r="U124">
            <v>2437.4299999999998</v>
          </cell>
          <cell r="V124">
            <v>2598.9</v>
          </cell>
          <cell r="W124">
            <v>2752.29</v>
          </cell>
          <cell r="X124">
            <v>2895.04</v>
          </cell>
          <cell r="Y124">
            <v>3026.99</v>
          </cell>
          <cell r="Z124">
            <v>3149.53</v>
          </cell>
          <cell r="AA124">
            <v>3266.09</v>
          </cell>
          <cell r="AB124">
            <v>3379.55</v>
          </cell>
          <cell r="AC124">
            <v>3490.31</v>
          </cell>
        </row>
        <row r="125"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>
            <v>6.3748300000000002</v>
          </cell>
          <cell r="N125">
            <v>9.5833100000000009</v>
          </cell>
          <cell r="O125">
            <v>12.958600000000001</v>
          </cell>
          <cell r="P125">
            <v>16.7622</v>
          </cell>
          <cell r="Q125">
            <v>21.499099999999999</v>
          </cell>
          <cell r="R125">
            <v>27.313099999999999</v>
          </cell>
          <cell r="S125">
            <v>34.377800000000001</v>
          </cell>
          <cell r="T125">
            <v>42.921100000000003</v>
          </cell>
          <cell r="U125">
            <v>53.206499999999998</v>
          </cell>
          <cell r="V125">
            <v>65.5535</v>
          </cell>
          <cell r="W125">
            <v>80.226799999999997</v>
          </cell>
          <cell r="X125">
            <v>97.539299999999997</v>
          </cell>
          <cell r="Y125">
            <v>117.988</v>
          </cell>
          <cell r="Z125">
            <v>142.19800000000001</v>
          </cell>
          <cell r="AA125">
            <v>170.88800000000001</v>
          </cell>
          <cell r="AB125">
            <v>204.87</v>
          </cell>
          <cell r="AC125">
            <v>245.04300000000001</v>
          </cell>
        </row>
        <row r="126">
          <cell r="E126" t="str">
            <v/>
          </cell>
          <cell r="F126" t="str">
            <v/>
          </cell>
          <cell r="G126">
            <v>8.9353700000000007</v>
          </cell>
          <cell r="H126">
            <v>10.8515</v>
          </cell>
          <cell r="I126">
            <v>12.8962</v>
          </cell>
          <cell r="J126">
            <v>16.269400000000001</v>
          </cell>
          <cell r="K126">
            <v>19.1358</v>
          </cell>
          <cell r="L126">
            <v>24.683299999999999</v>
          </cell>
          <cell r="M126">
            <v>22.505700000000001</v>
          </cell>
          <cell r="N126">
            <v>26.4236</v>
          </cell>
          <cell r="O126">
            <v>30.336099999999998</v>
          </cell>
          <cell r="P126">
            <v>35.9084</v>
          </cell>
          <cell r="Q126">
            <v>43.046399999999998</v>
          </cell>
          <cell r="R126">
            <v>51.649700000000003</v>
          </cell>
          <cell r="S126">
            <v>61.666800000000002</v>
          </cell>
          <cell r="T126">
            <v>73.144400000000005</v>
          </cell>
          <cell r="U126">
            <v>86.056299999999993</v>
          </cell>
          <cell r="V126">
            <v>100.461</v>
          </cell>
          <cell r="W126">
            <v>116.124</v>
          </cell>
          <cell r="X126">
            <v>132.624</v>
          </cell>
          <cell r="Y126">
            <v>149.85900000000001</v>
          </cell>
          <cell r="Z126">
            <v>167.738</v>
          </cell>
          <cell r="AA126">
            <v>186.35400000000001</v>
          </cell>
          <cell r="AB126">
            <v>205.76400000000001</v>
          </cell>
          <cell r="AC126">
            <v>225.928</v>
          </cell>
        </row>
        <row r="127"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>
            <v>6.2514500000000002</v>
          </cell>
          <cell r="N127">
            <v>11.9061</v>
          </cell>
          <cell r="O127">
            <v>15.071999999999999</v>
          </cell>
          <cell r="P127">
            <v>18.199400000000001</v>
          </cell>
          <cell r="Q127">
            <v>21.243500000000001</v>
          </cell>
          <cell r="R127">
            <v>24.1785</v>
          </cell>
          <cell r="S127">
            <v>27.0032</v>
          </cell>
          <cell r="T127">
            <v>29.7301</v>
          </cell>
          <cell r="U127">
            <v>32.407800000000002</v>
          </cell>
          <cell r="V127">
            <v>35.043100000000003</v>
          </cell>
          <cell r="W127">
            <v>37.5657</v>
          </cell>
          <cell r="X127">
            <v>39.973999999999997</v>
          </cell>
          <cell r="Y127">
            <v>42.317300000000003</v>
          </cell>
          <cell r="Z127">
            <v>44.6218</v>
          </cell>
          <cell r="AA127">
            <v>46.929499999999997</v>
          </cell>
          <cell r="AB127">
            <v>49.250999999999998</v>
          </cell>
          <cell r="AC127">
            <v>51.578400000000002</v>
          </cell>
        </row>
        <row r="128">
          <cell r="E128">
            <v>9.0597899999999996</v>
          </cell>
          <cell r="F128">
            <v>7.9594699999999996</v>
          </cell>
          <cell r="G128">
            <v>9.0217200000000002</v>
          </cell>
          <cell r="H128">
            <v>9.5918700000000001</v>
          </cell>
          <cell r="I128">
            <v>10.567299999999999</v>
          </cell>
          <cell r="J128">
            <v>13.0914</v>
          </cell>
          <cell r="K128">
            <v>17.0608</v>
          </cell>
          <cell r="L128">
            <v>22.631900000000002</v>
          </cell>
          <cell r="M128">
            <v>29.553699999999999</v>
          </cell>
          <cell r="N128">
            <v>41.314399999999999</v>
          </cell>
          <cell r="O128">
            <v>56.8643</v>
          </cell>
          <cell r="P128">
            <v>82.613699999999994</v>
          </cell>
          <cell r="Q128">
            <v>117.46899999999999</v>
          </cell>
          <cell r="R128">
            <v>165.32300000000001</v>
          </cell>
          <cell r="S128">
            <v>231.00299999999999</v>
          </cell>
          <cell r="T128">
            <v>320.59199999999998</v>
          </cell>
          <cell r="U128">
            <v>441.31599999999997</v>
          </cell>
          <cell r="V128">
            <v>601.85400000000004</v>
          </cell>
          <cell r="W128">
            <v>811.07399999999996</v>
          </cell>
          <cell r="X128">
            <v>1079.07</v>
          </cell>
          <cell r="Y128">
            <v>1414.51</v>
          </cell>
          <cell r="Z128">
            <v>1826.22</v>
          </cell>
          <cell r="AA128">
            <v>2325.34</v>
          </cell>
          <cell r="AB128">
            <v>2922</v>
          </cell>
          <cell r="AC128">
            <v>3627.46</v>
          </cell>
        </row>
        <row r="129">
          <cell r="E129" t="str">
            <v/>
          </cell>
          <cell r="F129" t="str">
            <v/>
          </cell>
          <cell r="G129">
            <v>276.36599999999999</v>
          </cell>
          <cell r="H129">
            <v>291.36200000000002</v>
          </cell>
          <cell r="I129">
            <v>339.10500000000002</v>
          </cell>
          <cell r="J129">
            <v>536.46500000000003</v>
          </cell>
          <cell r="K129">
            <v>794.06</v>
          </cell>
          <cell r="L129">
            <v>998.93100000000004</v>
          </cell>
          <cell r="M129">
            <v>1013.53</v>
          </cell>
          <cell r="N129">
            <v>1185.1300000000001</v>
          </cell>
          <cell r="O129">
            <v>1416.12</v>
          </cell>
          <cell r="P129">
            <v>1798.43</v>
          </cell>
          <cell r="Q129">
            <v>2264.2399999999998</v>
          </cell>
          <cell r="R129">
            <v>2841.85</v>
          </cell>
          <cell r="S129">
            <v>3563.51</v>
          </cell>
          <cell r="T129">
            <v>4463.05</v>
          </cell>
          <cell r="U129">
            <v>5571.24</v>
          </cell>
          <cell r="V129">
            <v>6917.76</v>
          </cell>
          <cell r="W129">
            <v>8521.4699999999993</v>
          </cell>
          <cell r="X129">
            <v>10403.799999999999</v>
          </cell>
          <cell r="Y129">
            <v>12586.7</v>
          </cell>
          <cell r="Z129">
            <v>15094.1</v>
          </cell>
          <cell r="AA129">
            <v>17947.7</v>
          </cell>
          <cell r="AB129">
            <v>21164</v>
          </cell>
          <cell r="AC129">
            <v>24747.4</v>
          </cell>
        </row>
        <row r="130">
          <cell r="E130" t="str">
            <v/>
          </cell>
          <cell r="F130" t="str">
            <v/>
          </cell>
          <cell r="G130">
            <v>14.2296</v>
          </cell>
          <cell r="H130">
            <v>15.7997</v>
          </cell>
          <cell r="I130">
            <v>20.187000000000001</v>
          </cell>
          <cell r="J130">
            <v>23.577999999999999</v>
          </cell>
          <cell r="K130">
            <v>26.8597</v>
          </cell>
          <cell r="L130">
            <v>35.039299999999997</v>
          </cell>
          <cell r="M130">
            <v>35.3371</v>
          </cell>
          <cell r="N130">
            <v>44.543300000000002</v>
          </cell>
          <cell r="O130">
            <v>53.075899999999997</v>
          </cell>
          <cell r="P130">
            <v>64.4709</v>
          </cell>
          <cell r="Q130">
            <v>79.305599999999998</v>
          </cell>
          <cell r="R130">
            <v>98.1417</v>
          </cell>
          <cell r="S130">
            <v>121.619</v>
          </cell>
          <cell r="T130">
            <v>150.184</v>
          </cell>
          <cell r="U130">
            <v>184.14699999999999</v>
          </cell>
          <cell r="V130">
            <v>224.23599999999999</v>
          </cell>
          <cell r="W130">
            <v>269.71699999999998</v>
          </cell>
          <cell r="X130">
            <v>320.40300000000002</v>
          </cell>
          <cell r="Y130">
            <v>374.99299999999999</v>
          </cell>
          <cell r="Z130">
            <v>433.03300000000002</v>
          </cell>
          <cell r="AA130">
            <v>494.43299999999999</v>
          </cell>
          <cell r="AB130">
            <v>559.23400000000004</v>
          </cell>
          <cell r="AC130">
            <v>627.51099999999997</v>
          </cell>
        </row>
        <row r="131">
          <cell r="E131">
            <v>438.29899999999998</v>
          </cell>
          <cell r="F131">
            <v>463.68099999999998</v>
          </cell>
          <cell r="G131">
            <v>545.89599999999996</v>
          </cell>
          <cell r="H131">
            <v>611.93799999999999</v>
          </cell>
          <cell r="I131">
            <v>717.13</v>
          </cell>
          <cell r="J131">
            <v>765.40499999999997</v>
          </cell>
          <cell r="K131">
            <v>820.56299999999999</v>
          </cell>
          <cell r="L131">
            <v>852.05899999999997</v>
          </cell>
          <cell r="M131">
            <v>898.32399999999996</v>
          </cell>
          <cell r="N131">
            <v>1014.01</v>
          </cell>
          <cell r="O131">
            <v>1109.55</v>
          </cell>
          <cell r="P131">
            <v>1187.26</v>
          </cell>
          <cell r="Q131">
            <v>1260.81</v>
          </cell>
          <cell r="R131">
            <v>1331.66</v>
          </cell>
          <cell r="S131">
            <v>1398.5</v>
          </cell>
          <cell r="T131">
            <v>1460.32</v>
          </cell>
          <cell r="U131">
            <v>1519.14</v>
          </cell>
          <cell r="V131">
            <v>1576.57</v>
          </cell>
          <cell r="W131">
            <v>1631.5</v>
          </cell>
          <cell r="X131">
            <v>1683.35</v>
          </cell>
          <cell r="Y131">
            <v>1729.26</v>
          </cell>
          <cell r="Z131">
            <v>1766.66</v>
          </cell>
          <cell r="AA131">
            <v>1794.83</v>
          </cell>
          <cell r="AB131">
            <v>1814.12</v>
          </cell>
          <cell r="AC131">
            <v>1825.15</v>
          </cell>
        </row>
        <row r="132">
          <cell r="E132">
            <v>139.196</v>
          </cell>
          <cell r="F132">
            <v>164.98500000000001</v>
          </cell>
          <cell r="G132">
            <v>179.429</v>
          </cell>
          <cell r="H132">
            <v>215.58699999999999</v>
          </cell>
          <cell r="I132">
            <v>247.38900000000001</v>
          </cell>
          <cell r="J132">
            <v>275.99099999999999</v>
          </cell>
          <cell r="K132">
            <v>289.01</v>
          </cell>
          <cell r="L132">
            <v>315.154</v>
          </cell>
          <cell r="M132">
            <v>328.83199999999999</v>
          </cell>
          <cell r="N132">
            <v>365.43700000000001</v>
          </cell>
          <cell r="O132">
            <v>398.90699999999998</v>
          </cell>
          <cell r="P132">
            <v>432.178</v>
          </cell>
          <cell r="Q132">
            <v>466.61099999999999</v>
          </cell>
          <cell r="R132">
            <v>502.40100000000001</v>
          </cell>
          <cell r="S132">
            <v>539.31299999999999</v>
          </cell>
          <cell r="T132">
            <v>576.30899999999997</v>
          </cell>
          <cell r="U132">
            <v>613.96199999999999</v>
          </cell>
          <cell r="V132">
            <v>652.43499999999995</v>
          </cell>
          <cell r="W132">
            <v>689.44</v>
          </cell>
          <cell r="X132">
            <v>724.86</v>
          </cell>
          <cell r="Y132">
            <v>758.28700000000003</v>
          </cell>
          <cell r="Z132">
            <v>789.26099999999997</v>
          </cell>
          <cell r="AA132">
            <v>817.69200000000001</v>
          </cell>
          <cell r="AB132">
            <v>843.58699999999999</v>
          </cell>
          <cell r="AC132">
            <v>866.45500000000004</v>
          </cell>
        </row>
        <row r="133">
          <cell r="E133">
            <v>19.031199999999998</v>
          </cell>
          <cell r="F133">
            <v>24.17</v>
          </cell>
          <cell r="G133">
            <v>30.218</v>
          </cell>
          <cell r="H133">
            <v>38.9099</v>
          </cell>
          <cell r="I133">
            <v>49.241599999999998</v>
          </cell>
          <cell r="J133">
            <v>58.636200000000002</v>
          </cell>
          <cell r="K133">
            <v>72.866</v>
          </cell>
          <cell r="L133">
            <v>90.010599999999997</v>
          </cell>
          <cell r="M133">
            <v>110.404</v>
          </cell>
          <cell r="N133">
            <v>136.07599999999999</v>
          </cell>
          <cell r="O133">
            <v>174.946</v>
          </cell>
          <cell r="P133">
            <v>223.386</v>
          </cell>
          <cell r="Q133">
            <v>281.01799999999997</v>
          </cell>
          <cell r="R133">
            <v>349.69099999999997</v>
          </cell>
          <cell r="S133">
            <v>430.79599999999999</v>
          </cell>
          <cell r="T133">
            <v>525.78</v>
          </cell>
          <cell r="U133">
            <v>636.28099999999995</v>
          </cell>
          <cell r="V133">
            <v>764.59799999999996</v>
          </cell>
          <cell r="W133">
            <v>910.34799999999996</v>
          </cell>
          <cell r="X133">
            <v>1073.42</v>
          </cell>
          <cell r="Y133">
            <v>1249.27</v>
          </cell>
          <cell r="Z133">
            <v>1434.82</v>
          </cell>
          <cell r="AA133">
            <v>1629.47</v>
          </cell>
          <cell r="AB133">
            <v>1834.05</v>
          </cell>
          <cell r="AC133">
            <v>2050.13</v>
          </cell>
        </row>
        <row r="134">
          <cell r="E134">
            <v>76.252700000000004</v>
          </cell>
          <cell r="F134">
            <v>88.762799999999999</v>
          </cell>
          <cell r="G134">
            <v>91.002300000000005</v>
          </cell>
          <cell r="H134">
            <v>104.876</v>
          </cell>
          <cell r="I134">
            <v>113.301</v>
          </cell>
          <cell r="J134">
            <v>136.42099999999999</v>
          </cell>
          <cell r="K134">
            <v>148.28100000000001</v>
          </cell>
          <cell r="L134">
            <v>170.28200000000001</v>
          </cell>
          <cell r="M134">
            <v>196.09</v>
          </cell>
          <cell r="N134">
            <v>223.28200000000001</v>
          </cell>
          <cell r="O134">
            <v>252.39699999999999</v>
          </cell>
          <cell r="P134">
            <v>280.97899999999998</v>
          </cell>
          <cell r="Q134">
            <v>308.53199999999998</v>
          </cell>
          <cell r="R134">
            <v>337.15300000000002</v>
          </cell>
          <cell r="S134">
            <v>366.40300000000002</v>
          </cell>
          <cell r="T134">
            <v>395.94299999999998</v>
          </cell>
          <cell r="U134">
            <v>426.529</v>
          </cell>
          <cell r="V134">
            <v>457.98200000000003</v>
          </cell>
          <cell r="W134">
            <v>488.58699999999999</v>
          </cell>
          <cell r="X134">
            <v>517.45000000000005</v>
          </cell>
          <cell r="Y134">
            <v>544.154</v>
          </cell>
          <cell r="Z134">
            <v>568.34299999999996</v>
          </cell>
          <cell r="AA134">
            <v>589.67399999999998</v>
          </cell>
          <cell r="AB134">
            <v>607.79100000000005</v>
          </cell>
          <cell r="AC134">
            <v>622.41499999999996</v>
          </cell>
        </row>
        <row r="135">
          <cell r="E135">
            <v>23.529</v>
          </cell>
          <cell r="F135">
            <v>46.463000000000001</v>
          </cell>
          <cell r="G135">
            <v>53.518599999999999</v>
          </cell>
          <cell r="H135">
            <v>71.150800000000004</v>
          </cell>
          <cell r="I135">
            <v>85.024799999999999</v>
          </cell>
          <cell r="J135">
            <v>90.483099999999993</v>
          </cell>
          <cell r="K135">
            <v>117.64100000000001</v>
          </cell>
          <cell r="L135">
            <v>147.5</v>
          </cell>
          <cell r="M135">
            <v>150.37700000000001</v>
          </cell>
          <cell r="N135">
            <v>173.08699999999999</v>
          </cell>
          <cell r="O135">
            <v>202.465</v>
          </cell>
          <cell r="P135">
            <v>235.78100000000001</v>
          </cell>
          <cell r="Q135">
            <v>271.267</v>
          </cell>
          <cell r="R135">
            <v>308.46800000000002</v>
          </cell>
          <cell r="S135">
            <v>347.202</v>
          </cell>
          <cell r="T135">
            <v>388.971</v>
          </cell>
          <cell r="U135">
            <v>433.31799999999998</v>
          </cell>
          <cell r="V135">
            <v>479.48500000000001</v>
          </cell>
          <cell r="W135">
            <v>524.28099999999995</v>
          </cell>
          <cell r="X135">
            <v>567.11699999999996</v>
          </cell>
          <cell r="Y135">
            <v>607.44100000000003</v>
          </cell>
          <cell r="Z135">
            <v>646.40099999999995</v>
          </cell>
          <cell r="AA135">
            <v>686.95799999999997</v>
          </cell>
          <cell r="AB135">
            <v>730.86400000000003</v>
          </cell>
          <cell r="AC135">
            <v>777.33900000000006</v>
          </cell>
        </row>
        <row r="136">
          <cell r="E136">
            <v>188.30500000000001</v>
          </cell>
          <cell r="F136">
            <v>259.64600000000002</v>
          </cell>
          <cell r="G136">
            <v>340.93599999999998</v>
          </cell>
          <cell r="H136">
            <v>431.62200000000001</v>
          </cell>
          <cell r="I136">
            <v>524.25900000000001</v>
          </cell>
          <cell r="J136">
            <v>681.99699999999996</v>
          </cell>
          <cell r="K136">
            <v>817.63800000000003</v>
          </cell>
          <cell r="L136">
            <v>972.25199999999995</v>
          </cell>
          <cell r="M136">
            <v>1147.1099999999999</v>
          </cell>
          <cell r="N136">
            <v>1360.53</v>
          </cell>
          <cell r="O136">
            <v>1728.32</v>
          </cell>
          <cell r="P136">
            <v>2198.79</v>
          </cell>
          <cell r="Q136">
            <v>2819.93</v>
          </cell>
          <cell r="R136">
            <v>3632.01</v>
          </cell>
          <cell r="S136">
            <v>4661.67</v>
          </cell>
          <cell r="T136">
            <v>5933.57</v>
          </cell>
          <cell r="U136">
            <v>7474.03</v>
          </cell>
          <cell r="V136">
            <v>9319.24</v>
          </cell>
          <cell r="W136">
            <v>11456.4</v>
          </cell>
          <cell r="X136">
            <v>13903.6</v>
          </cell>
          <cell r="Y136">
            <v>16636.400000000001</v>
          </cell>
          <cell r="Z136">
            <v>19635.099999999999</v>
          </cell>
          <cell r="AA136">
            <v>22896.3</v>
          </cell>
          <cell r="AB136">
            <v>26405.9</v>
          </cell>
          <cell r="AC136">
            <v>30172.1</v>
          </cell>
        </row>
        <row r="137">
          <cell r="E137">
            <v>23.245999999999999</v>
          </cell>
          <cell r="F137">
            <v>27.530999999999999</v>
          </cell>
          <cell r="G137">
            <v>26.6264</v>
          </cell>
          <cell r="H137">
            <v>34.789099999999998</v>
          </cell>
          <cell r="I137">
            <v>45.561500000000002</v>
          </cell>
          <cell r="J137">
            <v>56.26</v>
          </cell>
          <cell r="K137">
            <v>80.578199999999995</v>
          </cell>
          <cell r="L137">
            <v>116.93899999999999</v>
          </cell>
          <cell r="M137">
            <v>114.259</v>
          </cell>
          <cell r="N137">
            <v>168.143</v>
          </cell>
          <cell r="O137">
            <v>204.316</v>
          </cell>
          <cell r="P137">
            <v>241.185</v>
          </cell>
          <cell r="Q137">
            <v>275.44600000000003</v>
          </cell>
          <cell r="R137">
            <v>308.39299999999997</v>
          </cell>
          <cell r="S137">
            <v>341.04700000000003</v>
          </cell>
          <cell r="T137">
            <v>373.70499999999998</v>
          </cell>
          <cell r="U137">
            <v>406.87700000000001</v>
          </cell>
          <cell r="V137">
            <v>440.44499999999999</v>
          </cell>
          <cell r="W137">
            <v>473.61799999999999</v>
          </cell>
          <cell r="X137">
            <v>506.85500000000002</v>
          </cell>
          <cell r="Y137">
            <v>540.096</v>
          </cell>
          <cell r="Z137">
            <v>573.42399999999998</v>
          </cell>
          <cell r="AA137">
            <v>606.69000000000005</v>
          </cell>
          <cell r="AB137">
            <v>639.84199999999998</v>
          </cell>
          <cell r="AC137">
            <v>672.71900000000005</v>
          </cell>
        </row>
        <row r="138">
          <cell r="E138">
            <v>130.47800000000001</v>
          </cell>
          <cell r="F138">
            <v>131.78399999999999</v>
          </cell>
          <cell r="G138">
            <v>118.47</v>
          </cell>
          <cell r="H138">
            <v>152.91300000000001</v>
          </cell>
          <cell r="I138">
            <v>173.77099999999999</v>
          </cell>
          <cell r="J138">
            <v>214.251</v>
          </cell>
          <cell r="K138">
            <v>298.78100000000001</v>
          </cell>
          <cell r="L138">
            <v>377.31299999999999</v>
          </cell>
          <cell r="M138">
            <v>380.637</v>
          </cell>
          <cell r="N138">
            <v>474.59399999999999</v>
          </cell>
          <cell r="O138">
            <v>551.01700000000005</v>
          </cell>
          <cell r="P138">
            <v>639.57600000000002</v>
          </cell>
          <cell r="Q138">
            <v>740.13599999999997</v>
          </cell>
          <cell r="R138">
            <v>852.19600000000003</v>
          </cell>
          <cell r="S138">
            <v>975.89800000000002</v>
          </cell>
          <cell r="T138">
            <v>1110.19</v>
          </cell>
          <cell r="U138">
            <v>1254.73</v>
          </cell>
          <cell r="V138">
            <v>1409.46</v>
          </cell>
          <cell r="W138">
            <v>1572.22</v>
          </cell>
          <cell r="X138">
            <v>1741.58</v>
          </cell>
          <cell r="Y138">
            <v>1915.17</v>
          </cell>
          <cell r="Z138">
            <v>2092.54</v>
          </cell>
          <cell r="AA138">
            <v>2273.0500000000002</v>
          </cell>
          <cell r="AB138">
            <v>2456.12</v>
          </cell>
          <cell r="AC138">
            <v>2641.72</v>
          </cell>
        </row>
        <row r="139">
          <cell r="E139">
            <v>220.44499999999999</v>
          </cell>
          <cell r="F139">
            <v>206.749</v>
          </cell>
          <cell r="G139">
            <v>260.54700000000003</v>
          </cell>
          <cell r="H139">
            <v>290.66800000000001</v>
          </cell>
          <cell r="I139">
            <v>347.35599999999999</v>
          </cell>
          <cell r="J139">
            <v>436.31299999999999</v>
          </cell>
          <cell r="K139">
            <v>556.13</v>
          </cell>
          <cell r="L139">
            <v>745.44</v>
          </cell>
          <cell r="M139">
            <v>872.08900000000006</v>
          </cell>
          <cell r="N139">
            <v>1173.33</v>
          </cell>
          <cell r="O139">
            <v>1597.99</v>
          </cell>
          <cell r="P139">
            <v>2088.1799999999998</v>
          </cell>
          <cell r="Q139">
            <v>2588.91</v>
          </cell>
          <cell r="R139">
            <v>3110.06</v>
          </cell>
          <cell r="S139">
            <v>3654.48</v>
          </cell>
          <cell r="T139">
            <v>4221.8</v>
          </cell>
          <cell r="U139">
            <v>4812.8500000000004</v>
          </cell>
          <cell r="V139">
            <v>5428.73</v>
          </cell>
          <cell r="W139">
            <v>6053.51</v>
          </cell>
          <cell r="X139">
            <v>6681.15</v>
          </cell>
          <cell r="Y139">
            <v>7310.54</v>
          </cell>
          <cell r="Z139">
            <v>7942.23</v>
          </cell>
          <cell r="AA139">
            <v>8575.76</v>
          </cell>
          <cell r="AB139">
            <v>9213.48</v>
          </cell>
          <cell r="AC139">
            <v>9852.16</v>
          </cell>
        </row>
        <row r="140">
          <cell r="E140">
            <v>8.1077600000000007</v>
          </cell>
          <cell r="F140">
            <v>8.7722700000000007</v>
          </cell>
          <cell r="G140">
            <v>9.3595199999999998</v>
          </cell>
          <cell r="H140">
            <v>14.113300000000001</v>
          </cell>
          <cell r="I140">
            <v>14.6492</v>
          </cell>
          <cell r="J140">
            <v>16.7026</v>
          </cell>
          <cell r="K140">
            <v>21.6538</v>
          </cell>
          <cell r="L140">
            <v>28.787400000000002</v>
          </cell>
          <cell r="M140">
            <v>31.721699999999998</v>
          </cell>
          <cell r="N140">
            <v>36.966000000000001</v>
          </cell>
          <cell r="O140">
            <v>43.659100000000002</v>
          </cell>
          <cell r="P140">
            <v>54.553199999999997</v>
          </cell>
          <cell r="Q140">
            <v>69.294899999999998</v>
          </cell>
          <cell r="R140">
            <v>88.842500000000001</v>
          </cell>
          <cell r="S140">
            <v>114.366</v>
          </cell>
          <cell r="T140">
            <v>147.18100000000001</v>
          </cell>
          <cell r="U140">
            <v>188.51400000000001</v>
          </cell>
          <cell r="V140">
            <v>239.47900000000001</v>
          </cell>
          <cell r="W140">
            <v>299.87900000000002</v>
          </cell>
          <cell r="X140">
            <v>369.66800000000001</v>
          </cell>
          <cell r="Y140">
            <v>448.28399999999999</v>
          </cell>
          <cell r="Z140">
            <v>535.37300000000005</v>
          </cell>
          <cell r="AA140">
            <v>630.524</v>
          </cell>
          <cell r="AB140">
            <v>733.16899999999998</v>
          </cell>
          <cell r="AC140">
            <v>842.10299999999995</v>
          </cell>
        </row>
        <row r="141">
          <cell r="E141">
            <v>435.06299999999999</v>
          </cell>
          <cell r="F141">
            <v>407.14299999999997</v>
          </cell>
          <cell r="G141">
            <v>429.22899999999998</v>
          </cell>
          <cell r="H141">
            <v>477.983</v>
          </cell>
          <cell r="I141">
            <v>603.69899999999996</v>
          </cell>
          <cell r="J141">
            <v>696.53</v>
          </cell>
          <cell r="K141">
            <v>872.27</v>
          </cell>
          <cell r="L141">
            <v>1016.83</v>
          </cell>
          <cell r="M141">
            <v>1194.22</v>
          </cell>
          <cell r="N141">
            <v>1427.74</v>
          </cell>
          <cell r="O141">
            <v>1677.31</v>
          </cell>
          <cell r="P141">
            <v>1870.86</v>
          </cell>
          <cell r="Q141">
            <v>2030.76</v>
          </cell>
          <cell r="R141">
            <v>2137.61</v>
          </cell>
          <cell r="S141">
            <v>2220.7600000000002</v>
          </cell>
          <cell r="T141">
            <v>2286.48</v>
          </cell>
          <cell r="U141">
            <v>2344.38</v>
          </cell>
          <cell r="V141">
            <v>2395.41</v>
          </cell>
          <cell r="W141">
            <v>2432.27</v>
          </cell>
          <cell r="X141">
            <v>2452.8000000000002</v>
          </cell>
          <cell r="Y141">
            <v>2460.8200000000002</v>
          </cell>
          <cell r="Z141">
            <v>2464.6799999999998</v>
          </cell>
          <cell r="AA141">
            <v>2471.96</v>
          </cell>
          <cell r="AB141">
            <v>2485.23</v>
          </cell>
          <cell r="AC141">
            <v>2501.0100000000002</v>
          </cell>
        </row>
        <row r="142">
          <cell r="E142">
            <v>53.8108</v>
          </cell>
          <cell r="F142">
            <v>58.023800000000001</v>
          </cell>
          <cell r="G142">
            <v>76.387799999999999</v>
          </cell>
          <cell r="H142">
            <v>93.135800000000003</v>
          </cell>
          <cell r="I142">
            <v>114.789</v>
          </cell>
          <cell r="J142">
            <v>131.34100000000001</v>
          </cell>
          <cell r="K142">
            <v>122.661</v>
          </cell>
          <cell r="L142">
            <v>119.176</v>
          </cell>
          <cell r="M142">
            <v>106.283</v>
          </cell>
          <cell r="N142">
            <v>107.65600000000001</v>
          </cell>
          <cell r="O142">
            <v>112.75700000000001</v>
          </cell>
          <cell r="P142">
            <v>116.726</v>
          </cell>
          <cell r="Q142">
            <v>119.29900000000001</v>
          </cell>
          <cell r="R142">
            <v>121.197</v>
          </cell>
          <cell r="S142">
            <v>122.566</v>
          </cell>
          <cell r="T142">
            <v>123.84099999999999</v>
          </cell>
          <cell r="U142">
            <v>125.178</v>
          </cell>
          <cell r="V142">
            <v>126.85599999999999</v>
          </cell>
          <cell r="W142">
            <v>128.642</v>
          </cell>
          <cell r="X142">
            <v>130.33199999999999</v>
          </cell>
          <cell r="Y142">
            <v>131.88900000000001</v>
          </cell>
          <cell r="Z142">
            <v>133.482</v>
          </cell>
          <cell r="AA142">
            <v>135.18600000000001</v>
          </cell>
          <cell r="AB142">
            <v>136.97200000000001</v>
          </cell>
          <cell r="AC142">
            <v>138.798</v>
          </cell>
        </row>
        <row r="143"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>
            <v>47.201999999999998</v>
          </cell>
          <cell r="N143">
            <v>58.811399999999999</v>
          </cell>
          <cell r="O143">
            <v>76.674499999999995</v>
          </cell>
          <cell r="P143">
            <v>100.399</v>
          </cell>
          <cell r="Q143">
            <v>131.203</v>
          </cell>
          <cell r="R143">
            <v>169.178</v>
          </cell>
          <cell r="S143">
            <v>214.73</v>
          </cell>
          <cell r="T143">
            <v>268.43400000000003</v>
          </cell>
          <cell r="U143">
            <v>331.41</v>
          </cell>
          <cell r="V143">
            <v>405.28800000000001</v>
          </cell>
          <cell r="W143">
            <v>490.52100000000002</v>
          </cell>
          <cell r="X143">
            <v>583.87800000000004</v>
          </cell>
          <cell r="Y143">
            <v>683.81600000000003</v>
          </cell>
          <cell r="Z143">
            <v>788.447</v>
          </cell>
          <cell r="AA143">
            <v>897.21299999999997</v>
          </cell>
          <cell r="AB143">
            <v>1010.28</v>
          </cell>
          <cell r="AC143">
            <v>1127.3399999999999</v>
          </cell>
        </row>
        <row r="144">
          <cell r="E144">
            <v>170.773</v>
          </cell>
          <cell r="F144">
            <v>178.483</v>
          </cell>
          <cell r="G144">
            <v>235.17</v>
          </cell>
          <cell r="H144">
            <v>255.90100000000001</v>
          </cell>
          <cell r="I144">
            <v>297.988</v>
          </cell>
          <cell r="J144">
            <v>311.11200000000002</v>
          </cell>
          <cell r="K144">
            <v>320.45</v>
          </cell>
          <cell r="L144">
            <v>307.226</v>
          </cell>
          <cell r="M144">
            <v>314.17599999999999</v>
          </cell>
          <cell r="N144">
            <v>374.39699999999999</v>
          </cell>
          <cell r="O144">
            <v>413.37299999999999</v>
          </cell>
          <cell r="P144">
            <v>450.834</v>
          </cell>
          <cell r="Q144">
            <v>489.72399999999999</v>
          </cell>
          <cell r="R144">
            <v>527.32500000000005</v>
          </cell>
          <cell r="S144">
            <v>564.303</v>
          </cell>
          <cell r="T144">
            <v>600.11699999999996</v>
          </cell>
          <cell r="U144">
            <v>634.16800000000001</v>
          </cell>
          <cell r="V144">
            <v>666.01800000000003</v>
          </cell>
          <cell r="W144">
            <v>693.99400000000003</v>
          </cell>
          <cell r="X144">
            <v>718.45</v>
          </cell>
          <cell r="Y144">
            <v>739.97799999999995</v>
          </cell>
          <cell r="Z144">
            <v>759.471</v>
          </cell>
          <cell r="AA144">
            <v>776.697</v>
          </cell>
          <cell r="AB144">
            <v>790.69500000000005</v>
          </cell>
          <cell r="AC144">
            <v>800.60699999999997</v>
          </cell>
        </row>
        <row r="145">
          <cell r="E145">
            <v>26.383900000000001</v>
          </cell>
          <cell r="F145">
            <v>29.4085</v>
          </cell>
          <cell r="G145">
            <v>35.797800000000002</v>
          </cell>
          <cell r="H145">
            <v>44.478700000000003</v>
          </cell>
          <cell r="I145">
            <v>45.408000000000001</v>
          </cell>
          <cell r="J145">
            <v>49.912999999999997</v>
          </cell>
          <cell r="K145">
            <v>65.077200000000005</v>
          </cell>
          <cell r="L145">
            <v>79.115399999999994</v>
          </cell>
          <cell r="M145">
            <v>88.143299999999996</v>
          </cell>
          <cell r="N145">
            <v>103.285</v>
          </cell>
          <cell r="O145">
            <v>122.776</v>
          </cell>
          <cell r="P145">
            <v>144.79900000000001</v>
          </cell>
          <cell r="Q145">
            <v>168.381</v>
          </cell>
          <cell r="R145">
            <v>194.089</v>
          </cell>
          <cell r="S145">
            <v>221.99</v>
          </cell>
          <cell r="T145">
            <v>252.44499999999999</v>
          </cell>
          <cell r="U145">
            <v>285.71199999999999</v>
          </cell>
          <cell r="V145">
            <v>322.19499999999999</v>
          </cell>
          <cell r="W145">
            <v>360.22899999999998</v>
          </cell>
          <cell r="X145">
            <v>399.63299999999998</v>
          </cell>
          <cell r="Y145">
            <v>439.58199999999999</v>
          </cell>
          <cell r="Z145">
            <v>480.339</v>
          </cell>
          <cell r="AA145">
            <v>522.17600000000004</v>
          </cell>
          <cell r="AB145">
            <v>565.18700000000001</v>
          </cell>
          <cell r="AC145">
            <v>609.37300000000005</v>
          </cell>
        </row>
        <row r="146">
          <cell r="E146">
            <v>3.5124500000000003</v>
          </cell>
          <cell r="F146">
            <v>3.7989899999999999</v>
          </cell>
          <cell r="G146">
            <v>4.3076999999999996</v>
          </cell>
          <cell r="H146">
            <v>4.2540100000000001</v>
          </cell>
          <cell r="I146">
            <v>4.5166900000000005</v>
          </cell>
          <cell r="J146">
            <v>4.69543</v>
          </cell>
          <cell r="K146">
            <v>4.5006199999999996</v>
          </cell>
          <cell r="L146">
            <v>4.4486499999999998</v>
          </cell>
          <cell r="M146">
            <v>4.6116799999999998</v>
          </cell>
          <cell r="N146">
            <v>5.4462900000000003</v>
          </cell>
          <cell r="O146">
            <v>6.3097200000000004</v>
          </cell>
          <cell r="P146">
            <v>7.20289</v>
          </cell>
          <cell r="Q146">
            <v>8.1900899999999996</v>
          </cell>
          <cell r="R146">
            <v>9.2944300000000002</v>
          </cell>
          <cell r="S146">
            <v>10.5151</v>
          </cell>
          <cell r="T146">
            <v>11.845000000000001</v>
          </cell>
          <cell r="U146">
            <v>13.297499999999999</v>
          </cell>
          <cell r="V146">
            <v>14.876300000000001</v>
          </cell>
          <cell r="W146">
            <v>16.5457</v>
          </cell>
          <cell r="X146">
            <v>18.295100000000001</v>
          </cell>
          <cell r="Y146">
            <v>20.136700000000001</v>
          </cell>
          <cell r="Z146">
            <v>22.077400000000001</v>
          </cell>
          <cell r="AA146">
            <v>24.1342</v>
          </cell>
          <cell r="AB146">
            <v>26.3125</v>
          </cell>
          <cell r="AC146">
            <v>28.6113</v>
          </cell>
        </row>
        <row r="147">
          <cell r="E147">
            <v>34.442</v>
          </cell>
          <cell r="F147">
            <v>29.0154</v>
          </cell>
          <cell r="G147">
            <v>28.5717</v>
          </cell>
          <cell r="H147">
            <v>31.4999</v>
          </cell>
          <cell r="I147">
            <v>51.316099999999999</v>
          </cell>
          <cell r="J147">
            <v>76.589600000000004</v>
          </cell>
          <cell r="K147">
            <v>181.35300000000001</v>
          </cell>
          <cell r="L147">
            <v>246.21899999999999</v>
          </cell>
          <cell r="M147">
            <v>245.727</v>
          </cell>
          <cell r="N147">
            <v>284.05099999999999</v>
          </cell>
          <cell r="O147">
            <v>338.69400000000002</v>
          </cell>
          <cell r="P147">
            <v>375.846</v>
          </cell>
          <cell r="Q147">
            <v>403.23200000000003</v>
          </cell>
          <cell r="R147">
            <v>426.84399999999999</v>
          </cell>
          <cell r="S147">
            <v>451.56</v>
          </cell>
          <cell r="T147">
            <v>477.44900000000001</v>
          </cell>
          <cell r="U147">
            <v>507.072</v>
          </cell>
          <cell r="V147">
            <v>537.80399999999997</v>
          </cell>
          <cell r="W147">
            <v>562.46699999999998</v>
          </cell>
          <cell r="X147">
            <v>579.40899999999999</v>
          </cell>
          <cell r="Y147">
            <v>590.29300000000001</v>
          </cell>
          <cell r="Z147">
            <v>596.41899999999998</v>
          </cell>
          <cell r="AA147">
            <v>600.09799999999996</v>
          </cell>
          <cell r="AB147">
            <v>603.19799999999998</v>
          </cell>
          <cell r="AC147">
            <v>605.67999999999995</v>
          </cell>
        </row>
        <row r="148">
          <cell r="E148">
            <v>291.15199999999999</v>
          </cell>
          <cell r="F148">
            <v>339.89600000000002</v>
          </cell>
          <cell r="G148">
            <v>310.334</v>
          </cell>
          <cell r="H148">
            <v>276.38</v>
          </cell>
          <cell r="I148">
            <v>246.905</v>
          </cell>
          <cell r="J148">
            <v>324.827</v>
          </cell>
          <cell r="K148">
            <v>373.459</v>
          </cell>
          <cell r="L148">
            <v>428.48200000000003</v>
          </cell>
          <cell r="M148">
            <v>505.77100000000002</v>
          </cell>
          <cell r="N148">
            <v>605.72199999999998</v>
          </cell>
          <cell r="O148">
            <v>686.173</v>
          </cell>
          <cell r="P148">
            <v>754.29700000000003</v>
          </cell>
          <cell r="Q148">
            <v>805.96799999999996</v>
          </cell>
          <cell r="R148">
            <v>842.48</v>
          </cell>
          <cell r="S148">
            <v>869.34900000000005</v>
          </cell>
          <cell r="T148">
            <v>892.35599999999999</v>
          </cell>
          <cell r="U148">
            <v>913.33299999999997</v>
          </cell>
          <cell r="V148">
            <v>933.28099999999995</v>
          </cell>
          <cell r="W148">
            <v>950.24400000000003</v>
          </cell>
          <cell r="X148">
            <v>966.03499999999997</v>
          </cell>
          <cell r="Y148">
            <v>980.86599999999999</v>
          </cell>
          <cell r="Z148">
            <v>995.74599999999998</v>
          </cell>
          <cell r="AA148">
            <v>1011.46</v>
          </cell>
          <cell r="AB148">
            <v>1028.0899999999999</v>
          </cell>
          <cell r="AC148">
            <v>1043.8599999999999</v>
          </cell>
        </row>
        <row r="149">
          <cell r="E149" t="str">
            <v/>
          </cell>
          <cell r="F149" t="str">
            <v/>
          </cell>
          <cell r="G149">
            <v>3147.86</v>
          </cell>
          <cell r="H149">
            <v>1955.4</v>
          </cell>
          <cell r="I149">
            <v>1991.82</v>
          </cell>
          <cell r="J149">
            <v>2681.03</v>
          </cell>
          <cell r="K149">
            <v>3229.32</v>
          </cell>
          <cell r="L149">
            <v>3520.36</v>
          </cell>
          <cell r="M149">
            <v>3672.97</v>
          </cell>
          <cell r="N149">
            <v>3930.24</v>
          </cell>
          <cell r="O149">
            <v>4224.8100000000004</v>
          </cell>
          <cell r="P149">
            <v>4635.3599999999997</v>
          </cell>
          <cell r="Q149">
            <v>5060.79</v>
          </cell>
          <cell r="R149">
            <v>5492.32</v>
          </cell>
          <cell r="S149">
            <v>5926.48</v>
          </cell>
          <cell r="T149">
            <v>6402.86</v>
          </cell>
          <cell r="U149">
            <v>6953.18</v>
          </cell>
          <cell r="V149">
            <v>7536.85</v>
          </cell>
          <cell r="W149">
            <v>8145.25</v>
          </cell>
          <cell r="X149">
            <v>8761.35</v>
          </cell>
          <cell r="Y149">
            <v>9387.5400000000009</v>
          </cell>
          <cell r="Z149">
            <v>10043.6</v>
          </cell>
          <cell r="AA149">
            <v>10747.2</v>
          </cell>
          <cell r="AB149">
            <v>11493.4</v>
          </cell>
          <cell r="AC149">
            <v>12252.4</v>
          </cell>
        </row>
        <row r="150">
          <cell r="E150">
            <v>5.3599699999999997</v>
          </cell>
          <cell r="F150">
            <v>6.6987300000000003</v>
          </cell>
          <cell r="G150">
            <v>6.6919000000000004</v>
          </cell>
          <cell r="H150">
            <v>4.42788</v>
          </cell>
          <cell r="I150">
            <v>6.88666</v>
          </cell>
          <cell r="J150">
            <v>10.1531</v>
          </cell>
          <cell r="K150">
            <v>15.135899999999999</v>
          </cell>
          <cell r="L150">
            <v>21.487400000000001</v>
          </cell>
          <cell r="M150">
            <v>27.168299999999999</v>
          </cell>
          <cell r="N150">
            <v>39.6021</v>
          </cell>
          <cell r="O150">
            <v>55.870400000000004</v>
          </cell>
          <cell r="P150">
            <v>75.545500000000004</v>
          </cell>
          <cell r="Q150">
            <v>98.799300000000002</v>
          </cell>
          <cell r="R150">
            <v>126.98399999999999</v>
          </cell>
          <cell r="S150">
            <v>161.36199999999999</v>
          </cell>
          <cell r="T150">
            <v>203.298</v>
          </cell>
          <cell r="U150">
            <v>254.26900000000001</v>
          </cell>
          <cell r="V150">
            <v>315.30200000000002</v>
          </cell>
          <cell r="W150">
            <v>386.62900000000002</v>
          </cell>
          <cell r="X150">
            <v>469.39800000000002</v>
          </cell>
          <cell r="Y150">
            <v>563.4</v>
          </cell>
          <cell r="Z150">
            <v>668.59400000000005</v>
          </cell>
          <cell r="AA150">
            <v>785.15499999999997</v>
          </cell>
          <cell r="AB150">
            <v>913.16600000000005</v>
          </cell>
          <cell r="AC150">
            <v>1053.45</v>
          </cell>
        </row>
        <row r="151">
          <cell r="E151">
            <v>587.09299999999996</v>
          </cell>
          <cell r="F151">
            <v>465.01799999999997</v>
          </cell>
          <cell r="G151">
            <v>550.44600000000003</v>
          </cell>
          <cell r="H151">
            <v>633.97199999999998</v>
          </cell>
          <cell r="I151">
            <v>714.37099999999998</v>
          </cell>
          <cell r="J151">
            <v>907.322</v>
          </cell>
          <cell r="K151">
            <v>1204.3599999999999</v>
          </cell>
          <cell r="L151">
            <v>1578.24</v>
          </cell>
          <cell r="M151">
            <v>1599.98</v>
          </cell>
          <cell r="N151">
            <v>1941.87</v>
          </cell>
          <cell r="O151">
            <v>2404.66</v>
          </cell>
          <cell r="P151">
            <v>2820.77</v>
          </cell>
          <cell r="Q151">
            <v>3193.68</v>
          </cell>
          <cell r="R151">
            <v>3516.67</v>
          </cell>
          <cell r="S151">
            <v>3793.43</v>
          </cell>
          <cell r="T151">
            <v>4034.44</v>
          </cell>
          <cell r="U151">
            <v>4234.51</v>
          </cell>
          <cell r="V151">
            <v>4402.17</v>
          </cell>
          <cell r="W151">
            <v>4540.41</v>
          </cell>
          <cell r="X151">
            <v>4651.05</v>
          </cell>
          <cell r="Y151">
            <v>4745.59</v>
          </cell>
          <cell r="Z151">
            <v>4827.93</v>
          </cell>
          <cell r="AA151">
            <v>4899.24</v>
          </cell>
          <cell r="AB151">
            <v>4957.34</v>
          </cell>
          <cell r="AC151">
            <v>4999.82</v>
          </cell>
        </row>
        <row r="152">
          <cell r="E152">
            <v>54.0764</v>
          </cell>
          <cell r="F152">
            <v>55.296799999999998</v>
          </cell>
          <cell r="G152">
            <v>69.024199999999993</v>
          </cell>
          <cell r="H152">
            <v>90.275999999999996</v>
          </cell>
          <cell r="I152">
            <v>123.479</v>
          </cell>
          <cell r="J152">
            <v>171.226</v>
          </cell>
          <cell r="K152">
            <v>202.267</v>
          </cell>
          <cell r="L152">
            <v>181.88200000000001</v>
          </cell>
          <cell r="M152">
            <v>176.17500000000001</v>
          </cell>
          <cell r="N152">
            <v>151.506</v>
          </cell>
          <cell r="O152">
            <v>189.21700000000001</v>
          </cell>
          <cell r="P152">
            <v>230.35599999999999</v>
          </cell>
          <cell r="Q152">
            <v>275.19600000000003</v>
          </cell>
          <cell r="R152">
            <v>326.49700000000001</v>
          </cell>
          <cell r="S152">
            <v>386.154</v>
          </cell>
          <cell r="T152">
            <v>457.00700000000001</v>
          </cell>
          <cell r="U152">
            <v>542.66300000000001</v>
          </cell>
          <cell r="V152">
            <v>646.35</v>
          </cell>
          <cell r="W152">
            <v>769.08399999999995</v>
          </cell>
          <cell r="X152">
            <v>912.96100000000001</v>
          </cell>
          <cell r="Y152">
            <v>1078.6400000000001</v>
          </cell>
          <cell r="Z152">
            <v>1267.03</v>
          </cell>
          <cell r="AA152">
            <v>1477.91</v>
          </cell>
          <cell r="AB152">
            <v>1711.79</v>
          </cell>
          <cell r="AC152">
            <v>1967.12</v>
          </cell>
        </row>
        <row r="153">
          <cell r="E153">
            <v>14.488</v>
          </cell>
          <cell r="F153">
            <v>16.653600000000001</v>
          </cell>
          <cell r="G153">
            <v>18.703900000000001</v>
          </cell>
          <cell r="H153">
            <v>20.8261</v>
          </cell>
          <cell r="I153">
            <v>25.426100000000002</v>
          </cell>
          <cell r="J153">
            <v>30.590399999999999</v>
          </cell>
          <cell r="K153">
            <v>35.462000000000003</v>
          </cell>
          <cell r="L153">
            <v>43.246200000000002</v>
          </cell>
          <cell r="M153">
            <v>55.626899999999999</v>
          </cell>
          <cell r="N153">
            <v>76.921199999999999</v>
          </cell>
          <cell r="O153">
            <v>101.328</v>
          </cell>
          <cell r="P153">
            <v>136.46600000000001</v>
          </cell>
          <cell r="Q153">
            <v>176.624</v>
          </cell>
          <cell r="R153">
            <v>224.19900000000001</v>
          </cell>
          <cell r="S153">
            <v>281.36500000000001</v>
          </cell>
          <cell r="T153">
            <v>350.37900000000002</v>
          </cell>
          <cell r="U153">
            <v>433.56900000000002</v>
          </cell>
          <cell r="V153">
            <v>532.91999999999996</v>
          </cell>
          <cell r="W153">
            <v>647.44299999999998</v>
          </cell>
          <cell r="X153">
            <v>778.99800000000005</v>
          </cell>
          <cell r="Y153">
            <v>927.56600000000003</v>
          </cell>
          <cell r="Z153">
            <v>1093.22</v>
          </cell>
          <cell r="AA153">
            <v>1276.8900000000001</v>
          </cell>
          <cell r="AB153">
            <v>1478.42</v>
          </cell>
          <cell r="AC153">
            <v>1697.51</v>
          </cell>
        </row>
        <row r="154">
          <cell r="E154">
            <v>54.024999999999999</v>
          </cell>
          <cell r="F154">
            <v>75.253500000000003</v>
          </cell>
          <cell r="G154">
            <v>113.738</v>
          </cell>
          <cell r="H154">
            <v>171.732</v>
          </cell>
          <cell r="I154">
            <v>225.39699999999999</v>
          </cell>
          <cell r="J154">
            <v>285.97300000000001</v>
          </cell>
          <cell r="K154">
            <v>396.95800000000003</v>
          </cell>
          <cell r="L154">
            <v>493.988</v>
          </cell>
          <cell r="M154">
            <v>539.64</v>
          </cell>
          <cell r="N154">
            <v>643.99300000000005</v>
          </cell>
          <cell r="O154">
            <v>730.84900000000005</v>
          </cell>
          <cell r="P154">
            <v>806.60699999999997</v>
          </cell>
          <cell r="Q154">
            <v>852.74</v>
          </cell>
          <cell r="R154">
            <v>876.14</v>
          </cell>
          <cell r="S154">
            <v>881.88599999999997</v>
          </cell>
          <cell r="T154">
            <v>881.92100000000005</v>
          </cell>
          <cell r="U154">
            <v>878.24199999999996</v>
          </cell>
          <cell r="V154">
            <v>871.125</v>
          </cell>
          <cell r="W154">
            <v>858.72400000000005</v>
          </cell>
          <cell r="X154">
            <v>840.12900000000002</v>
          </cell>
          <cell r="Y154">
            <v>815.70699999999999</v>
          </cell>
          <cell r="Z154">
            <v>786.29</v>
          </cell>
          <cell r="AA154">
            <v>752.97900000000004</v>
          </cell>
          <cell r="AB154">
            <v>716.81299999999999</v>
          </cell>
          <cell r="AC154">
            <v>678.68200000000002</v>
          </cell>
        </row>
        <row r="155">
          <cell r="E155">
            <v>0.56874400000000003</v>
          </cell>
          <cell r="F155">
            <v>0.55366399999999993</v>
          </cell>
          <cell r="G155">
            <v>0.64629999999999999</v>
          </cell>
          <cell r="H155">
            <v>0.95566200000000001</v>
          </cell>
          <cell r="I155">
            <v>0.83142899999999997</v>
          </cell>
          <cell r="J155">
            <v>0.89189399999999996</v>
          </cell>
          <cell r="K155">
            <v>1.1514199999999999</v>
          </cell>
          <cell r="L155">
            <v>1.35565</v>
          </cell>
          <cell r="M155">
            <v>1.4897900000000002</v>
          </cell>
          <cell r="N155">
            <v>1.5373300000000001</v>
          </cell>
          <cell r="O155">
            <v>1.8052900000000001</v>
          </cell>
          <cell r="P155">
            <v>2.3125800000000001</v>
          </cell>
          <cell r="Q155">
            <v>3.1371500000000001</v>
          </cell>
          <cell r="R155">
            <v>4.3960800000000004</v>
          </cell>
          <cell r="S155">
            <v>6.2636200000000004</v>
          </cell>
          <cell r="T155">
            <v>8.9720100000000009</v>
          </cell>
          <cell r="U155">
            <v>12.799900000000001</v>
          </cell>
          <cell r="V155">
            <v>18.088000000000001</v>
          </cell>
          <cell r="W155">
            <v>25.154499999999999</v>
          </cell>
          <cell r="X155">
            <v>34.3337</v>
          </cell>
          <cell r="Y155">
            <v>45.904899999999998</v>
          </cell>
          <cell r="Z155">
            <v>60.072200000000002</v>
          </cell>
          <cell r="AA155">
            <v>76.998199999999997</v>
          </cell>
          <cell r="AB155">
            <v>96.699700000000007</v>
          </cell>
          <cell r="AC155">
            <v>119.18300000000001</v>
          </cell>
        </row>
        <row r="156">
          <cell r="E156">
            <v>7.8357600000000005</v>
          </cell>
          <cell r="F156">
            <v>7.5847199999999999</v>
          </cell>
          <cell r="G156">
            <v>8.4628499999999995</v>
          </cell>
          <cell r="H156">
            <v>6.5551599999999999</v>
          </cell>
          <cell r="I156">
            <v>3.8425099999999999</v>
          </cell>
          <cell r="J156">
            <v>6.9914800000000001</v>
          </cell>
          <cell r="K156">
            <v>9.0214999999999996</v>
          </cell>
          <cell r="L156">
            <v>11.085699999999999</v>
          </cell>
          <cell r="M156">
            <v>13.060600000000001</v>
          </cell>
          <cell r="N156">
            <v>16.0047</v>
          </cell>
          <cell r="O156">
            <v>20.164400000000001</v>
          </cell>
          <cell r="P156">
            <v>26.132999999999999</v>
          </cell>
          <cell r="Q156">
            <v>34.317900000000002</v>
          </cell>
          <cell r="R156">
            <v>44.984900000000003</v>
          </cell>
          <cell r="S156">
            <v>58.441299999999998</v>
          </cell>
          <cell r="T156">
            <v>75.034800000000004</v>
          </cell>
          <cell r="U156">
            <v>95.067700000000002</v>
          </cell>
          <cell r="V156">
            <v>118.82</v>
          </cell>
          <cell r="W156">
            <v>146.291</v>
          </cell>
          <cell r="X156">
            <v>177.49799999999999</v>
          </cell>
          <cell r="Y156">
            <v>212.12899999999999</v>
          </cell>
          <cell r="Z156">
            <v>249.93899999999999</v>
          </cell>
          <cell r="AA156">
            <v>290.863</v>
          </cell>
          <cell r="AB156">
            <v>335.13299999999998</v>
          </cell>
          <cell r="AC156">
            <v>382.95699999999999</v>
          </cell>
        </row>
        <row r="157">
          <cell r="E157">
            <v>27.517399999999999</v>
          </cell>
          <cell r="F157">
            <v>25.163799999999998</v>
          </cell>
          <cell r="G157">
            <v>27.869199999999999</v>
          </cell>
          <cell r="H157">
            <v>35.123699999999999</v>
          </cell>
          <cell r="I157">
            <v>38.730899999999998</v>
          </cell>
          <cell r="J157">
            <v>41.768099999999997</v>
          </cell>
          <cell r="K157">
            <v>45.328600000000002</v>
          </cell>
          <cell r="L157">
            <v>51.516599999999997</v>
          </cell>
          <cell r="M157">
            <v>52.206800000000001</v>
          </cell>
          <cell r="N157">
            <v>63.311300000000003</v>
          </cell>
          <cell r="O157">
            <v>70.356300000000005</v>
          </cell>
          <cell r="P157">
            <v>80.038300000000007</v>
          </cell>
          <cell r="Q157">
            <v>92.242400000000004</v>
          </cell>
          <cell r="R157">
            <v>107.143</v>
          </cell>
          <cell r="S157">
            <v>124.747</v>
          </cell>
          <cell r="T157">
            <v>145.096</v>
          </cell>
          <cell r="U157">
            <v>167.99299999999999</v>
          </cell>
          <cell r="V157">
            <v>193.97399999999999</v>
          </cell>
          <cell r="W157">
            <v>222.63900000000001</v>
          </cell>
          <cell r="X157">
            <v>253.708</v>
          </cell>
          <cell r="Y157">
            <v>285.78800000000001</v>
          </cell>
          <cell r="Z157">
            <v>318.62700000000001</v>
          </cell>
          <cell r="AA157">
            <v>352.46899999999999</v>
          </cell>
          <cell r="AB157">
            <v>387.56</v>
          </cell>
          <cell r="AC157">
            <v>424.50299999999999</v>
          </cell>
        </row>
        <row r="158"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>
            <v>21.4251</v>
          </cell>
          <cell r="M158">
            <v>24.0867</v>
          </cell>
          <cell r="N158">
            <v>28.2333</v>
          </cell>
          <cell r="O158">
            <v>35.275599999999997</v>
          </cell>
          <cell r="P158">
            <v>47.372799999999998</v>
          </cell>
          <cell r="Q158">
            <v>66.227699999999999</v>
          </cell>
          <cell r="R158">
            <v>94.311199999999999</v>
          </cell>
          <cell r="S158">
            <v>133.63200000000001</v>
          </cell>
          <cell r="T158">
            <v>186.505</v>
          </cell>
          <cell r="U158">
            <v>255.57400000000001</v>
          </cell>
          <cell r="V158">
            <v>343.86900000000003</v>
          </cell>
          <cell r="W158">
            <v>453.678</v>
          </cell>
          <cell r="X158">
            <v>587.88300000000004</v>
          </cell>
          <cell r="Y158">
            <v>748.601</v>
          </cell>
          <cell r="Z158">
            <v>938.62400000000002</v>
          </cell>
          <cell r="AA158">
            <v>1160.96</v>
          </cell>
          <cell r="AB158">
            <v>1418.69</v>
          </cell>
          <cell r="AC158">
            <v>1714</v>
          </cell>
        </row>
        <row r="159">
          <cell r="E159" t="str">
            <v/>
          </cell>
          <cell r="F159" t="str">
            <v/>
          </cell>
          <cell r="G159" t="str">
            <v/>
          </cell>
          <cell r="H159">
            <v>59.113300000000002</v>
          </cell>
          <cell r="I159">
            <v>66.941999999999993</v>
          </cell>
          <cell r="J159">
            <v>91.415300000000002</v>
          </cell>
          <cell r="K159">
            <v>105.873</v>
          </cell>
          <cell r="L159">
            <v>110.60299999999999</v>
          </cell>
          <cell r="M159">
            <v>126.07599999999999</v>
          </cell>
          <cell r="N159">
            <v>152.12200000000001</v>
          </cell>
          <cell r="O159">
            <v>184.761</v>
          </cell>
          <cell r="P159">
            <v>216.34399999999999</v>
          </cell>
          <cell r="Q159">
            <v>244.53899999999999</v>
          </cell>
          <cell r="R159">
            <v>270.673</v>
          </cell>
          <cell r="S159">
            <v>295.459</v>
          </cell>
          <cell r="T159">
            <v>319.524</v>
          </cell>
          <cell r="U159">
            <v>343.39100000000002</v>
          </cell>
          <cell r="V159">
            <v>367.23200000000003</v>
          </cell>
          <cell r="W159">
            <v>390.57600000000002</v>
          </cell>
          <cell r="X159">
            <v>413.30399999999997</v>
          </cell>
          <cell r="Y159">
            <v>435.72399999999999</v>
          </cell>
          <cell r="Z159">
            <v>457.93599999999998</v>
          </cell>
          <cell r="AA159">
            <v>480.399</v>
          </cell>
          <cell r="AB159">
            <v>503.25700000000001</v>
          </cell>
          <cell r="AC159">
            <v>526.35799999999995</v>
          </cell>
        </row>
        <row r="160"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>
            <v>7.0692199999999996</v>
          </cell>
          <cell r="M160">
            <v>5.32836</v>
          </cell>
          <cell r="N160">
            <v>6.4098699999999997</v>
          </cell>
          <cell r="O160">
            <v>8.2813200000000009</v>
          </cell>
          <cell r="P160">
            <v>10.357200000000001</v>
          </cell>
          <cell r="Q160">
            <v>12.7437</v>
          </cell>
          <cell r="R160">
            <v>15.9091</v>
          </cell>
          <cell r="S160">
            <v>20.122900000000001</v>
          </cell>
          <cell r="T160">
            <v>25.604600000000001</v>
          </cell>
          <cell r="U160">
            <v>32.429299999999998</v>
          </cell>
          <cell r="V160">
            <v>40.788699999999999</v>
          </cell>
          <cell r="W160">
            <v>50.930900000000001</v>
          </cell>
          <cell r="X160">
            <v>63.277099999999997</v>
          </cell>
          <cell r="Y160">
            <v>78.108099999999993</v>
          </cell>
          <cell r="Z160">
            <v>95.669600000000003</v>
          </cell>
          <cell r="AA160">
            <v>116.14</v>
          </cell>
          <cell r="AB160">
            <v>139.77799999999999</v>
          </cell>
          <cell r="AC160">
            <v>167.38399999999999</v>
          </cell>
        </row>
        <row r="161">
          <cell r="E161">
            <v>0.344221</v>
          </cell>
          <cell r="F161">
            <v>0.31428099999999998</v>
          </cell>
          <cell r="G161">
            <v>0.29563800000000001</v>
          </cell>
          <cell r="H161">
            <v>0.31767000000000001</v>
          </cell>
          <cell r="I161">
            <v>0.34365599999999996</v>
          </cell>
          <cell r="J161">
            <v>0.42688699999999996</v>
          </cell>
          <cell r="K161">
            <v>0.54533000000000009</v>
          </cell>
          <cell r="L161">
            <v>0.64117800000000003</v>
          </cell>
          <cell r="M161">
            <v>0.76715299999999997</v>
          </cell>
          <cell r="N161">
            <v>0.82985900000000001</v>
          </cell>
          <cell r="O161">
            <v>0.99879599999999991</v>
          </cell>
          <cell r="P161">
            <v>1.2182500000000001</v>
          </cell>
          <cell r="Q161">
            <v>1.49132</v>
          </cell>
          <cell r="R161">
            <v>1.8317800000000002</v>
          </cell>
          <cell r="S161">
            <v>2.2513000000000001</v>
          </cell>
          <cell r="T161">
            <v>2.7616200000000002</v>
          </cell>
          <cell r="U161">
            <v>3.37276</v>
          </cell>
          <cell r="V161">
            <v>4.0925500000000001</v>
          </cell>
          <cell r="W161">
            <v>4.9166699999999999</v>
          </cell>
          <cell r="X161">
            <v>5.8581099999999999</v>
          </cell>
          <cell r="Y161">
            <v>6.9146000000000001</v>
          </cell>
          <cell r="Z161">
            <v>8.0763999999999996</v>
          </cell>
          <cell r="AA161">
            <v>9.3392900000000001</v>
          </cell>
          <cell r="AB161">
            <v>10.7057</v>
          </cell>
          <cell r="AC161">
            <v>12.1846</v>
          </cell>
        </row>
        <row r="162">
          <cell r="E162">
            <v>6.4657999999999998</v>
          </cell>
          <cell r="F162">
            <v>5.6314399999999996</v>
          </cell>
          <cell r="G162">
            <v>5.5969100000000003</v>
          </cell>
          <cell r="H162">
            <v>5.0745899999999997</v>
          </cell>
          <cell r="I162">
            <v>6.1087499999999997</v>
          </cell>
          <cell r="J162">
            <v>7.9482800000000005</v>
          </cell>
          <cell r="K162">
            <v>9.9691100000000006</v>
          </cell>
          <cell r="L162">
            <v>10.801</v>
          </cell>
          <cell r="M162">
            <v>9.3068100000000005</v>
          </cell>
          <cell r="N162">
            <v>9.9049800000000001</v>
          </cell>
          <cell r="O162">
            <v>11.4991</v>
          </cell>
          <cell r="P162">
            <v>13.337999999999999</v>
          </cell>
          <cell r="Q162">
            <v>15.5253</v>
          </cell>
          <cell r="R162">
            <v>18.027200000000001</v>
          </cell>
          <cell r="S162">
            <v>20.794</v>
          </cell>
          <cell r="T162">
            <v>23.776</v>
          </cell>
          <cell r="U162">
            <v>26.983000000000001</v>
          </cell>
          <cell r="V162">
            <v>30.361899999999999</v>
          </cell>
          <cell r="W162">
            <v>33.840699999999998</v>
          </cell>
          <cell r="X162">
            <v>37.417400000000001</v>
          </cell>
          <cell r="Y162">
            <v>41.038499999999999</v>
          </cell>
          <cell r="Z162">
            <v>44.693300000000001</v>
          </cell>
          <cell r="AA162">
            <v>48.393900000000002</v>
          </cell>
          <cell r="AB162">
            <v>52.146299999999997</v>
          </cell>
          <cell r="AC162">
            <v>55.971200000000003</v>
          </cell>
        </row>
        <row r="163">
          <cell r="E163" t="str">
            <v/>
          </cell>
          <cell r="F163" t="str">
            <v/>
          </cell>
          <cell r="G163" t="str">
            <v/>
          </cell>
          <cell r="H163">
            <v>71.0715</v>
          </cell>
          <cell r="I163">
            <v>88.083299999999994</v>
          </cell>
          <cell r="J163">
            <v>112.563</v>
          </cell>
          <cell r="K163">
            <v>144.17599999999999</v>
          </cell>
          <cell r="L163">
            <v>163.00899999999999</v>
          </cell>
          <cell r="M163">
            <v>176.339</v>
          </cell>
          <cell r="N163">
            <v>198.071</v>
          </cell>
          <cell r="O163">
            <v>219.71799999999999</v>
          </cell>
          <cell r="P163">
            <v>241.494</v>
          </cell>
          <cell r="Q163">
            <v>262.74</v>
          </cell>
          <cell r="R163">
            <v>281.26299999999998</v>
          </cell>
          <cell r="S163">
            <v>298.82900000000001</v>
          </cell>
          <cell r="T163">
            <v>315.51600000000002</v>
          </cell>
          <cell r="U163">
            <v>331.07299999999998</v>
          </cell>
          <cell r="V163">
            <v>345.92700000000002</v>
          </cell>
          <cell r="W163">
            <v>359.76499999999999</v>
          </cell>
          <cell r="X163">
            <v>371.70800000000003</v>
          </cell>
          <cell r="Y163">
            <v>382.00799999999998</v>
          </cell>
          <cell r="Z163">
            <v>391.11099999999999</v>
          </cell>
          <cell r="AA163">
            <v>399.654</v>
          </cell>
          <cell r="AB163">
            <v>407.95800000000003</v>
          </cell>
          <cell r="AC163">
            <v>415.74400000000003</v>
          </cell>
        </row>
        <row r="164">
          <cell r="E164" t="str">
            <v/>
          </cell>
          <cell r="F164" t="str">
            <v/>
          </cell>
          <cell r="G164">
            <v>44.009500000000003</v>
          </cell>
          <cell r="H164">
            <v>42.742699999999999</v>
          </cell>
          <cell r="I164">
            <v>48.904800000000002</v>
          </cell>
          <cell r="J164">
            <v>58.2712</v>
          </cell>
          <cell r="K164">
            <v>63.931600000000003</v>
          </cell>
          <cell r="L164">
            <v>65.265299999999996</v>
          </cell>
          <cell r="M164">
            <v>73.096299999999999</v>
          </cell>
          <cell r="N164">
            <v>85.857600000000005</v>
          </cell>
          <cell r="O164">
            <v>96.746700000000004</v>
          </cell>
          <cell r="P164">
            <v>105.158</v>
          </cell>
          <cell r="Q164">
            <v>111.751</v>
          </cell>
          <cell r="R164">
            <v>116.72</v>
          </cell>
          <cell r="S164">
            <v>121.583</v>
          </cell>
          <cell r="T164">
            <v>126.289</v>
          </cell>
          <cell r="U164">
            <v>130.999</v>
          </cell>
          <cell r="V164">
            <v>135.28800000000001</v>
          </cell>
          <cell r="W164">
            <v>139.06399999999999</v>
          </cell>
          <cell r="X164">
            <v>142.215</v>
          </cell>
          <cell r="Y164">
            <v>144.75899999999999</v>
          </cell>
          <cell r="Z164">
            <v>146.84800000000001</v>
          </cell>
          <cell r="AA164">
            <v>148.61199999999999</v>
          </cell>
          <cell r="AB164">
            <v>150.03700000000001</v>
          </cell>
          <cell r="AC164">
            <v>150.929</v>
          </cell>
        </row>
        <row r="165">
          <cell r="E165">
            <v>235.001</v>
          </cell>
          <cell r="F165">
            <v>259.34699999999998</v>
          </cell>
          <cell r="G165">
            <v>291.98399999999998</v>
          </cell>
          <cell r="H165">
            <v>302.03100000000001</v>
          </cell>
          <cell r="I165">
            <v>347.47300000000001</v>
          </cell>
          <cell r="J165">
            <v>394.66199999999998</v>
          </cell>
          <cell r="K165">
            <v>431.166</v>
          </cell>
          <cell r="L165">
            <v>481.06099999999998</v>
          </cell>
          <cell r="M165">
            <v>512.08399999999995</v>
          </cell>
          <cell r="N165">
            <v>575.21400000000006</v>
          </cell>
          <cell r="O165">
            <v>653.03899999999999</v>
          </cell>
          <cell r="P165">
            <v>717.77800000000002</v>
          </cell>
          <cell r="Q165">
            <v>775.96500000000003</v>
          </cell>
          <cell r="R165">
            <v>831.68700000000001</v>
          </cell>
          <cell r="S165">
            <v>887.01199999999994</v>
          </cell>
          <cell r="T165">
            <v>943.92899999999997</v>
          </cell>
          <cell r="U165">
            <v>1004.49</v>
          </cell>
          <cell r="V165">
            <v>1068.19</v>
          </cell>
          <cell r="W165">
            <v>1131.58</v>
          </cell>
          <cell r="X165">
            <v>1192.8900000000001</v>
          </cell>
          <cell r="Y165">
            <v>1251.22</v>
          </cell>
          <cell r="Z165">
            <v>1305.74</v>
          </cell>
          <cell r="AA165">
            <v>1356.62</v>
          </cell>
          <cell r="AB165">
            <v>1404.89</v>
          </cell>
          <cell r="AC165">
            <v>1450.42</v>
          </cell>
        </row>
        <row r="166">
          <cell r="E166">
            <v>2.2062499999999998</v>
          </cell>
          <cell r="F166">
            <v>2.48536</v>
          </cell>
          <cell r="G166">
            <v>4.19231</v>
          </cell>
          <cell r="H166">
            <v>4.8739699999999999</v>
          </cell>
          <cell r="I166">
            <v>5.6092399999999998</v>
          </cell>
          <cell r="J166">
            <v>6.7509899999999998</v>
          </cell>
          <cell r="K166">
            <v>7.9426300000000003</v>
          </cell>
          <cell r="L166">
            <v>9.1718499999999992</v>
          </cell>
          <cell r="M166">
            <v>9.7878600000000002</v>
          </cell>
          <cell r="N166">
            <v>11.9999</v>
          </cell>
          <cell r="O166">
            <v>13.9207</v>
          </cell>
          <cell r="P166">
            <v>16.4556</v>
          </cell>
          <cell r="Q166">
            <v>19.392099999999999</v>
          </cell>
          <cell r="R166">
            <v>22.739899999999999</v>
          </cell>
          <cell r="S166">
            <v>26.478000000000002</v>
          </cell>
          <cell r="T166">
            <v>30.578099999999999</v>
          </cell>
          <cell r="U166">
            <v>35.017800000000001</v>
          </cell>
          <cell r="V166">
            <v>39.791200000000003</v>
          </cell>
          <cell r="W166">
            <v>44.621200000000002</v>
          </cell>
          <cell r="X166">
            <v>49.491500000000002</v>
          </cell>
          <cell r="Y166">
            <v>54.462699999999998</v>
          </cell>
          <cell r="Z166">
            <v>59.568399999999997</v>
          </cell>
          <cell r="AA166">
            <v>64.824399999999997</v>
          </cell>
          <cell r="AB166">
            <v>70.221900000000005</v>
          </cell>
          <cell r="AC166">
            <v>75.784199999999998</v>
          </cell>
        </row>
        <row r="167">
          <cell r="E167">
            <v>0.65777699999999995</v>
          </cell>
          <cell r="F167">
            <v>0.70801499999999995</v>
          </cell>
          <cell r="G167">
            <v>0.93384099999999992</v>
          </cell>
          <cell r="H167">
            <v>1.08185</v>
          </cell>
          <cell r="I167">
            <v>1.4529700000000001</v>
          </cell>
          <cell r="J167">
            <v>1.43241</v>
          </cell>
          <cell r="K167">
            <v>1.78149</v>
          </cell>
          <cell r="L167">
            <v>2.38903</v>
          </cell>
          <cell r="M167">
            <v>2.9318</v>
          </cell>
          <cell r="N167">
            <v>3.6800800000000002</v>
          </cell>
          <cell r="O167">
            <v>4.4132499999999997</v>
          </cell>
          <cell r="P167">
            <v>5.16045</v>
          </cell>
          <cell r="Q167">
            <v>5.8701299999999996</v>
          </cell>
          <cell r="R167">
            <v>6.5541900000000002</v>
          </cell>
          <cell r="S167">
            <v>7.2344499999999998</v>
          </cell>
          <cell r="T167">
            <v>7.9113300000000004</v>
          </cell>
          <cell r="U167">
            <v>8.5731999999999999</v>
          </cell>
          <cell r="V167">
            <v>9.2421000000000006</v>
          </cell>
          <cell r="W167">
            <v>9.9021000000000008</v>
          </cell>
          <cell r="X167">
            <v>10.5495</v>
          </cell>
          <cell r="Y167">
            <v>11.187900000000001</v>
          </cell>
          <cell r="Z167">
            <v>11.826499999999999</v>
          </cell>
          <cell r="AA167">
            <v>12.4625</v>
          </cell>
          <cell r="AB167">
            <v>13.0883</v>
          </cell>
          <cell r="AC167">
            <v>13.6907</v>
          </cell>
        </row>
        <row r="168">
          <cell r="E168">
            <v>4.0396400000000003</v>
          </cell>
          <cell r="F168">
            <v>4.98726</v>
          </cell>
          <cell r="G168">
            <v>6.1980700000000004</v>
          </cell>
          <cell r="H168">
            <v>7.1820199999999996</v>
          </cell>
          <cell r="I168">
            <v>8.15822</v>
          </cell>
          <cell r="J168">
            <v>16.409700000000001</v>
          </cell>
          <cell r="K168">
            <v>20.7957</v>
          </cell>
          <cell r="L168">
            <v>26.062200000000001</v>
          </cell>
          <cell r="M168">
            <v>24.889900000000001</v>
          </cell>
          <cell r="N168">
            <v>28.258299999999998</v>
          </cell>
          <cell r="O168">
            <v>34.213000000000001</v>
          </cell>
          <cell r="P168">
            <v>46.812399999999997</v>
          </cell>
          <cell r="Q168">
            <v>63.749699999999997</v>
          </cell>
          <cell r="R168">
            <v>86.208799999999997</v>
          </cell>
          <cell r="S168">
            <v>115.911</v>
          </cell>
          <cell r="T168">
            <v>154.79900000000001</v>
          </cell>
          <cell r="U168">
            <v>204.95099999999999</v>
          </cell>
          <cell r="V168">
            <v>268.73099999999999</v>
          </cell>
          <cell r="W168">
            <v>348.31799999999998</v>
          </cell>
          <cell r="X168">
            <v>445.673</v>
          </cell>
          <cell r="Y168">
            <v>562.30499999999995</v>
          </cell>
          <cell r="Z168">
            <v>699.89099999999996</v>
          </cell>
          <cell r="AA168">
            <v>860.70500000000004</v>
          </cell>
          <cell r="AB168">
            <v>1046.1600000000001</v>
          </cell>
          <cell r="AC168">
            <v>1257.96</v>
          </cell>
        </row>
        <row r="169">
          <cell r="E169">
            <v>6.4727500000000004</v>
          </cell>
          <cell r="F169">
            <v>6.2697399999999996</v>
          </cell>
          <cell r="G169">
            <v>7.6644100000000002</v>
          </cell>
          <cell r="H169">
            <v>8.4154700000000009</v>
          </cell>
          <cell r="I169">
            <v>8.3341799999999999</v>
          </cell>
          <cell r="J169">
            <v>8.7887900000000005</v>
          </cell>
          <cell r="K169">
            <v>10.608000000000001</v>
          </cell>
          <cell r="L169">
            <v>14.069000000000001</v>
          </cell>
          <cell r="M169">
            <v>17.348199999999999</v>
          </cell>
          <cell r="N169">
            <v>22.738</v>
          </cell>
          <cell r="O169">
            <v>30.0426</v>
          </cell>
          <cell r="P169">
            <v>39.925699999999999</v>
          </cell>
          <cell r="Q169">
            <v>51.9557</v>
          </cell>
          <cell r="R169">
            <v>66.899600000000007</v>
          </cell>
          <cell r="S169">
            <v>85.4756</v>
          </cell>
          <cell r="T169">
            <v>108.411</v>
          </cell>
          <cell r="U169">
            <v>136.42099999999999</v>
          </cell>
          <cell r="V169">
            <v>170.22399999999999</v>
          </cell>
          <cell r="W169">
            <v>210.34</v>
          </cell>
          <cell r="X169">
            <v>257.149</v>
          </cell>
          <cell r="Y169">
            <v>310.77600000000001</v>
          </cell>
          <cell r="Z169">
            <v>371.17099999999999</v>
          </cell>
          <cell r="AA169">
            <v>438.45800000000003</v>
          </cell>
          <cell r="AB169">
            <v>512.70000000000005</v>
          </cell>
          <cell r="AC169">
            <v>594.21500000000003</v>
          </cell>
        </row>
        <row r="170">
          <cell r="E170">
            <v>185.45400000000001</v>
          </cell>
          <cell r="F170">
            <v>241.78899999999999</v>
          </cell>
          <cell r="G170">
            <v>396.48200000000003</v>
          </cell>
          <cell r="H170">
            <v>595.74</v>
          </cell>
          <cell r="I170">
            <v>617.54200000000003</v>
          </cell>
          <cell r="J170">
            <v>804.90800000000002</v>
          </cell>
          <cell r="K170">
            <v>967.54499999999996</v>
          </cell>
          <cell r="L170">
            <v>1119.04</v>
          </cell>
          <cell r="M170">
            <v>1205.48</v>
          </cell>
          <cell r="N170">
            <v>1371.85</v>
          </cell>
          <cell r="O170">
            <v>1591.5</v>
          </cell>
          <cell r="P170">
            <v>1808.41</v>
          </cell>
          <cell r="Q170">
            <v>2009.4</v>
          </cell>
          <cell r="R170">
            <v>2198.5</v>
          </cell>
          <cell r="S170">
            <v>2377.92</v>
          </cell>
          <cell r="T170">
            <v>2539.44</v>
          </cell>
          <cell r="U170">
            <v>2688.73</v>
          </cell>
          <cell r="V170">
            <v>2827.14</v>
          </cell>
          <cell r="W170">
            <v>2946.99</v>
          </cell>
          <cell r="X170">
            <v>3053.76</v>
          </cell>
          <cell r="Y170">
            <v>3146.57</v>
          </cell>
          <cell r="Z170">
            <v>3229.03</v>
          </cell>
          <cell r="AA170">
            <v>3303.39</v>
          </cell>
          <cell r="AB170">
            <v>3372.19</v>
          </cell>
          <cell r="AC170">
            <v>3437.84</v>
          </cell>
        </row>
        <row r="171">
          <cell r="E171" t="str">
            <v/>
          </cell>
          <cell r="F171" t="str">
            <v/>
          </cell>
          <cell r="G171">
            <v>21.622</v>
          </cell>
          <cell r="H171">
            <v>7.27773</v>
          </cell>
          <cell r="I171">
            <v>8.3973800000000001</v>
          </cell>
          <cell r="J171">
            <v>13.0999</v>
          </cell>
          <cell r="K171">
            <v>18.026399999999999</v>
          </cell>
          <cell r="L171">
            <v>25.1922</v>
          </cell>
          <cell r="M171">
            <v>34.821199999999997</v>
          </cell>
          <cell r="N171">
            <v>48.033000000000001</v>
          </cell>
          <cell r="O171">
            <v>60.059899999999999</v>
          </cell>
          <cell r="P171">
            <v>75.031499999999994</v>
          </cell>
          <cell r="Q171">
            <v>93.009600000000006</v>
          </cell>
          <cell r="R171">
            <v>114.11199999999999</v>
          </cell>
          <cell r="S171">
            <v>139.04400000000001</v>
          </cell>
          <cell r="T171">
            <v>168.583</v>
          </cell>
          <cell r="U171">
            <v>203.09200000000001</v>
          </cell>
          <cell r="V171">
            <v>242.55500000000001</v>
          </cell>
          <cell r="W171">
            <v>286.46699999999998</v>
          </cell>
          <cell r="X171">
            <v>334.517</v>
          </cell>
          <cell r="Y171">
            <v>386.87599999999998</v>
          </cell>
          <cell r="Z171">
            <v>443.70499999999998</v>
          </cell>
          <cell r="AA171">
            <v>505.09800000000001</v>
          </cell>
          <cell r="AB171">
            <v>570.63199999999995</v>
          </cell>
          <cell r="AC171">
            <v>639.91999999999996</v>
          </cell>
        </row>
        <row r="172">
          <cell r="E172" t="str">
            <v/>
          </cell>
          <cell r="F172" t="str">
            <v/>
          </cell>
          <cell r="G172">
            <v>26.553899999999999</v>
          </cell>
          <cell r="H172">
            <v>16.7822</v>
          </cell>
          <cell r="I172">
            <v>20.4724</v>
          </cell>
          <cell r="J172">
            <v>43.317599999999999</v>
          </cell>
          <cell r="K172">
            <v>75.541399999999996</v>
          </cell>
          <cell r="L172">
            <v>96.432699999999997</v>
          </cell>
          <cell r="M172">
            <v>94.585800000000006</v>
          </cell>
          <cell r="N172">
            <v>107.274</v>
          </cell>
          <cell r="O172">
            <v>118.908</v>
          </cell>
          <cell r="P172">
            <v>134.27000000000001</v>
          </cell>
          <cell r="Q172">
            <v>148.34200000000001</v>
          </cell>
          <cell r="R172">
            <v>161.60400000000001</v>
          </cell>
          <cell r="S172">
            <v>175.61600000000001</v>
          </cell>
          <cell r="T172">
            <v>190.17</v>
          </cell>
          <cell r="U172">
            <v>206.774</v>
          </cell>
          <cell r="V172">
            <v>225.262</v>
          </cell>
          <cell r="W172">
            <v>244.43700000000001</v>
          </cell>
          <cell r="X172">
            <v>263.77699999999999</v>
          </cell>
          <cell r="Y172">
            <v>284.21300000000002</v>
          </cell>
          <cell r="Z172">
            <v>306.32100000000003</v>
          </cell>
          <cell r="AA172">
            <v>330.61900000000003</v>
          </cell>
          <cell r="AB172">
            <v>356.971</v>
          </cell>
          <cell r="AC172">
            <v>384.93200000000002</v>
          </cell>
        </row>
        <row r="173"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>
            <v>2.0340199999999999</v>
          </cell>
          <cell r="J173">
            <v>2.2318099999999998</v>
          </cell>
          <cell r="K173">
            <v>3.1645799999999999</v>
          </cell>
          <cell r="L173">
            <v>3.8922300000000001</v>
          </cell>
          <cell r="M173">
            <v>3.62852</v>
          </cell>
          <cell r="N173">
            <v>4.1828099999999999</v>
          </cell>
          <cell r="O173">
            <v>4.9087899999999998</v>
          </cell>
          <cell r="P173">
            <v>6.0537900000000002</v>
          </cell>
          <cell r="Q173">
            <v>7.65768</v>
          </cell>
          <cell r="R173">
            <v>9.8402100000000008</v>
          </cell>
          <cell r="S173">
            <v>12.7356</v>
          </cell>
          <cell r="T173">
            <v>16.470400000000001</v>
          </cell>
          <cell r="U173">
            <v>21.174199999999999</v>
          </cell>
          <cell r="V173">
            <v>27.016500000000001</v>
          </cell>
          <cell r="W173">
            <v>34.100700000000003</v>
          </cell>
          <cell r="X173">
            <v>42.464700000000001</v>
          </cell>
          <cell r="Y173">
            <v>52.094900000000003</v>
          </cell>
          <cell r="Z173">
            <v>62.8994</v>
          </cell>
          <cell r="AA173">
            <v>74.920900000000003</v>
          </cell>
          <cell r="AB173">
            <v>88.169799999999995</v>
          </cell>
          <cell r="AC173">
            <v>102.611</v>
          </cell>
        </row>
        <row r="174">
          <cell r="E174">
            <v>0.170098</v>
          </cell>
          <cell r="F174">
            <v>0.35226399999999997</v>
          </cell>
          <cell r="G174">
            <v>0.39766199999999996</v>
          </cell>
          <cell r="H174">
            <v>0.44593299999999997</v>
          </cell>
          <cell r="I174">
            <v>0.48156199999999999</v>
          </cell>
          <cell r="J174">
            <v>0.49880199999999997</v>
          </cell>
          <cell r="K174">
            <v>0.47639000000000004</v>
          </cell>
          <cell r="L174">
            <v>0.53098199999999995</v>
          </cell>
          <cell r="M174">
            <v>0.59304499999999993</v>
          </cell>
          <cell r="N174">
            <v>0.60856100000000002</v>
          </cell>
          <cell r="O174">
            <v>0.65554899999999994</v>
          </cell>
          <cell r="P174">
            <v>0.74487300000000001</v>
          </cell>
          <cell r="Q174">
            <v>0.86781399999999997</v>
          </cell>
          <cell r="R174">
            <v>1.02658</v>
          </cell>
          <cell r="S174">
            <v>1.22682</v>
          </cell>
          <cell r="T174">
            <v>1.47478</v>
          </cell>
          <cell r="U174">
            <v>1.7747200000000001</v>
          </cell>
          <cell r="V174">
            <v>2.1364200000000002</v>
          </cell>
          <cell r="W174">
            <v>2.5591300000000001</v>
          </cell>
          <cell r="X174">
            <v>3.04209</v>
          </cell>
          <cell r="Y174">
            <v>3.58819</v>
          </cell>
          <cell r="Z174">
            <v>4.2023900000000003</v>
          </cell>
          <cell r="AA174">
            <v>4.8916199999999996</v>
          </cell>
          <cell r="AB174">
            <v>5.6596599999999997</v>
          </cell>
          <cell r="AC174">
            <v>6.5112300000000003</v>
          </cell>
        </row>
        <row r="175">
          <cell r="E175">
            <v>16.215599999999998</v>
          </cell>
          <cell r="F175">
            <v>14.2681</v>
          </cell>
          <cell r="G175">
            <v>12.738799999999999</v>
          </cell>
          <cell r="H175">
            <v>15.4434</v>
          </cell>
          <cell r="I175">
            <v>22.212900000000001</v>
          </cell>
          <cell r="J175">
            <v>31.945</v>
          </cell>
          <cell r="K175">
            <v>38.676299999999998</v>
          </cell>
          <cell r="L175">
            <v>43.387099999999997</v>
          </cell>
          <cell r="M175">
            <v>34.643299999999996</v>
          </cell>
          <cell r="N175">
            <v>37.363100000000003</v>
          </cell>
          <cell r="O175">
            <v>40.150199999999998</v>
          </cell>
          <cell r="P175">
            <v>43.083799999999997</v>
          </cell>
          <cell r="Q175">
            <v>46.370399999999997</v>
          </cell>
          <cell r="R175">
            <v>49.861899999999999</v>
          </cell>
          <cell r="S175">
            <v>53.724699999999999</v>
          </cell>
          <cell r="T175">
            <v>58.105800000000002</v>
          </cell>
          <cell r="U175">
            <v>63.127400000000002</v>
          </cell>
          <cell r="V175">
            <v>68.575100000000006</v>
          </cell>
          <cell r="W175">
            <v>74.165499999999994</v>
          </cell>
          <cell r="X175">
            <v>79.882199999999997</v>
          </cell>
          <cell r="Y175">
            <v>85.812899999999999</v>
          </cell>
          <cell r="Z175">
            <v>92.105400000000003</v>
          </cell>
          <cell r="AA175">
            <v>98.859499999999997</v>
          </cell>
          <cell r="AB175">
            <v>106.02</v>
          </cell>
          <cell r="AC175">
            <v>113.491</v>
          </cell>
        </row>
        <row r="176">
          <cell r="E176">
            <v>33.582700000000003</v>
          </cell>
          <cell r="F176">
            <v>41.242600000000003</v>
          </cell>
          <cell r="G176">
            <v>48.6738</v>
          </cell>
          <cell r="H176">
            <v>58.838700000000003</v>
          </cell>
          <cell r="I176">
            <v>77.350099999999998</v>
          </cell>
          <cell r="J176">
            <v>94.900999999999996</v>
          </cell>
          <cell r="K176">
            <v>118.131</v>
          </cell>
          <cell r="L176">
            <v>127.649</v>
          </cell>
          <cell r="M176">
            <v>124.535</v>
          </cell>
          <cell r="N176">
            <v>136.76300000000001</v>
          </cell>
          <cell r="O176">
            <v>155.68299999999999</v>
          </cell>
          <cell r="P176">
            <v>178.60300000000001</v>
          </cell>
          <cell r="Q176">
            <v>206.006</v>
          </cell>
          <cell r="R176">
            <v>237.58</v>
          </cell>
          <cell r="S176">
            <v>273.08199999999999</v>
          </cell>
          <cell r="T176">
            <v>313.33999999999997</v>
          </cell>
          <cell r="U176">
            <v>358.87200000000001</v>
          </cell>
          <cell r="V176">
            <v>409.35</v>
          </cell>
          <cell r="W176">
            <v>464.11500000000001</v>
          </cell>
          <cell r="X176">
            <v>521.55399999999997</v>
          </cell>
          <cell r="Y176">
            <v>580.78099999999995</v>
          </cell>
          <cell r="Z176">
            <v>642.03099999999995</v>
          </cell>
          <cell r="AA176">
            <v>705.51599999999996</v>
          </cell>
          <cell r="AB176">
            <v>771.04100000000005</v>
          </cell>
          <cell r="AC176">
            <v>837.62199999999996</v>
          </cell>
        </row>
        <row r="177">
          <cell r="E177">
            <v>408.55599999999998</v>
          </cell>
          <cell r="F177">
            <v>518.03599999999994</v>
          </cell>
          <cell r="G177">
            <v>678.89700000000005</v>
          </cell>
          <cell r="H177">
            <v>795.12900000000002</v>
          </cell>
          <cell r="I177">
            <v>967.94200000000001</v>
          </cell>
          <cell r="J177">
            <v>1229.0899999999999</v>
          </cell>
          <cell r="K177">
            <v>1436.55</v>
          </cell>
          <cell r="L177">
            <v>2021.64</v>
          </cell>
          <cell r="M177">
            <v>2375.4899999999998</v>
          </cell>
          <cell r="N177">
            <v>3098.2</v>
          </cell>
          <cell r="O177">
            <v>3748.69</v>
          </cell>
          <cell r="P177">
            <v>4394.5600000000004</v>
          </cell>
          <cell r="Q177">
            <v>4990.25</v>
          </cell>
          <cell r="R177">
            <v>5554.87</v>
          </cell>
          <cell r="S177">
            <v>6078.52</v>
          </cell>
          <cell r="T177">
            <v>6572.97</v>
          </cell>
          <cell r="U177">
            <v>7031.53</v>
          </cell>
          <cell r="V177">
            <v>7432.25</v>
          </cell>
          <cell r="W177">
            <v>7759.42</v>
          </cell>
          <cell r="X177">
            <v>8023.19</v>
          </cell>
          <cell r="Y177">
            <v>8231.86</v>
          </cell>
          <cell r="Z177">
            <v>8402.36</v>
          </cell>
          <cell r="AA177">
            <v>8548.75</v>
          </cell>
          <cell r="AB177">
            <v>8677.8700000000008</v>
          </cell>
          <cell r="AC177">
            <v>8790.5</v>
          </cell>
        </row>
        <row r="178">
          <cell r="E178">
            <v>147.87899999999999</v>
          </cell>
          <cell r="F178">
            <v>208.73500000000001</v>
          </cell>
          <cell r="G178">
            <v>325.30900000000003</v>
          </cell>
          <cell r="H178">
            <v>466.95299999999997</v>
          </cell>
          <cell r="I178">
            <v>621.71799999999996</v>
          </cell>
          <cell r="J178">
            <v>759.57299999999998</v>
          </cell>
          <cell r="K178">
            <v>938.56899999999996</v>
          </cell>
          <cell r="L178">
            <v>1083.1300000000001</v>
          </cell>
          <cell r="M178">
            <v>1252.0999999999999</v>
          </cell>
          <cell r="N178">
            <v>1456.74</v>
          </cell>
          <cell r="O178">
            <v>1632.08</v>
          </cell>
          <cell r="P178">
            <v>1733.93</v>
          </cell>
          <cell r="Q178">
            <v>1745.35</v>
          </cell>
          <cell r="R178">
            <v>1701.71</v>
          </cell>
          <cell r="S178">
            <v>1626.87</v>
          </cell>
          <cell r="T178">
            <v>1537.55</v>
          </cell>
          <cell r="U178">
            <v>1444.96</v>
          </cell>
          <cell r="V178">
            <v>1356.59</v>
          </cell>
          <cell r="W178">
            <v>1272.6400000000001</v>
          </cell>
          <cell r="X178">
            <v>1194.57</v>
          </cell>
          <cell r="Y178">
            <v>1124.3800000000001</v>
          </cell>
          <cell r="Z178">
            <v>1063.72</v>
          </cell>
          <cell r="AA178">
            <v>1012.94</v>
          </cell>
          <cell r="AB178">
            <v>971.71400000000006</v>
          </cell>
          <cell r="AC178">
            <v>939.13800000000003</v>
          </cell>
        </row>
        <row r="179">
          <cell r="E179">
            <v>22.922699999999999</v>
          </cell>
          <cell r="F179">
            <v>25.667400000000001</v>
          </cell>
          <cell r="G179">
            <v>33.612499999999997</v>
          </cell>
          <cell r="H179">
            <v>36.7393</v>
          </cell>
          <cell r="I179">
            <v>45.366700000000002</v>
          </cell>
          <cell r="J179">
            <v>63.770200000000003</v>
          </cell>
          <cell r="K179">
            <v>85.655699999999996</v>
          </cell>
          <cell r="L179">
            <v>117.578</v>
          </cell>
          <cell r="M179">
            <v>160.92099999999999</v>
          </cell>
          <cell r="N179">
            <v>209.58699999999999</v>
          </cell>
          <cell r="O179">
            <v>294.35000000000002</v>
          </cell>
          <cell r="P179">
            <v>403.69799999999998</v>
          </cell>
          <cell r="Q179">
            <v>532.70899999999995</v>
          </cell>
          <cell r="R179">
            <v>689.68399999999997</v>
          </cell>
          <cell r="S179">
            <v>882.48</v>
          </cell>
          <cell r="T179">
            <v>1120.8900000000001</v>
          </cell>
          <cell r="U179">
            <v>1415.97</v>
          </cell>
          <cell r="V179">
            <v>1778.72</v>
          </cell>
          <cell r="W179">
            <v>2214.83</v>
          </cell>
          <cell r="X179">
            <v>2734.99</v>
          </cell>
          <cell r="Y179">
            <v>3344.65</v>
          </cell>
          <cell r="Z179">
            <v>4049.65</v>
          </cell>
          <cell r="AA179">
            <v>4859.53</v>
          </cell>
          <cell r="AB179">
            <v>5777.92</v>
          </cell>
          <cell r="AC179">
            <v>6804.02</v>
          </cell>
        </row>
        <row r="180">
          <cell r="E180">
            <v>11.7234</v>
          </cell>
          <cell r="F180">
            <v>13.003500000000001</v>
          </cell>
          <cell r="G180">
            <v>16.752700000000001</v>
          </cell>
          <cell r="H180">
            <v>22.638500000000001</v>
          </cell>
          <cell r="I180">
            <v>30.048999999999999</v>
          </cell>
          <cell r="J180">
            <v>43.232900000000001</v>
          </cell>
          <cell r="K180">
            <v>64.150800000000004</v>
          </cell>
          <cell r="L180">
            <v>83.910600000000002</v>
          </cell>
          <cell r="M180">
            <v>100.78</v>
          </cell>
          <cell r="N180">
            <v>134.738</v>
          </cell>
          <cell r="O180">
            <v>186.95400000000001</v>
          </cell>
          <cell r="P180">
            <v>254.94800000000001</v>
          </cell>
          <cell r="Q180">
            <v>333.46699999999998</v>
          </cell>
          <cell r="R180">
            <v>427.95499999999998</v>
          </cell>
          <cell r="S180">
            <v>543.28300000000002</v>
          </cell>
          <cell r="T180">
            <v>684.10699999999997</v>
          </cell>
          <cell r="U180">
            <v>856.11599999999999</v>
          </cell>
          <cell r="V180">
            <v>1065.99</v>
          </cell>
          <cell r="W180">
            <v>1316.77</v>
          </cell>
          <cell r="X180">
            <v>1613.51</v>
          </cell>
          <cell r="Y180">
            <v>1959.26</v>
          </cell>
          <cell r="Z180">
            <v>2359.4</v>
          </cell>
          <cell r="AA180">
            <v>2818.27</v>
          </cell>
          <cell r="AB180">
            <v>3338.16</v>
          </cell>
          <cell r="AC180">
            <v>3919.32</v>
          </cell>
        </row>
        <row r="181">
          <cell r="E181" t="str">
            <v/>
          </cell>
          <cell r="F181" t="str">
            <v/>
          </cell>
          <cell r="G181">
            <v>852.49699999999996</v>
          </cell>
          <cell r="H181">
            <v>392.24799999999999</v>
          </cell>
          <cell r="I181">
            <v>355.03500000000003</v>
          </cell>
          <cell r="J181">
            <v>513.38499999999999</v>
          </cell>
          <cell r="K181">
            <v>539.87199999999996</v>
          </cell>
          <cell r="L181">
            <v>480.94099999999997</v>
          </cell>
          <cell r="M181">
            <v>518.26300000000003</v>
          </cell>
          <cell r="N181">
            <v>426.26100000000002</v>
          </cell>
          <cell r="O181">
            <v>531.87400000000002</v>
          </cell>
          <cell r="P181">
            <v>643.99</v>
          </cell>
          <cell r="Q181">
            <v>755.97900000000004</v>
          </cell>
          <cell r="R181">
            <v>863.91399999999999</v>
          </cell>
          <cell r="S181">
            <v>971.928</v>
          </cell>
          <cell r="T181">
            <v>1083.45</v>
          </cell>
          <cell r="U181">
            <v>1201.29</v>
          </cell>
          <cell r="V181">
            <v>1322.07</v>
          </cell>
          <cell r="W181">
            <v>1442.78</v>
          </cell>
          <cell r="X181">
            <v>1561.33</v>
          </cell>
          <cell r="Y181">
            <v>1678.68</v>
          </cell>
          <cell r="Z181">
            <v>1798.41</v>
          </cell>
          <cell r="AA181">
            <v>1923.03</v>
          </cell>
          <cell r="AB181">
            <v>2051.62</v>
          </cell>
          <cell r="AC181">
            <v>2181.4</v>
          </cell>
        </row>
        <row r="182">
          <cell r="E182">
            <v>35.906500000000001</v>
          </cell>
          <cell r="F182">
            <v>30.848800000000001</v>
          </cell>
          <cell r="G182">
            <v>35.7926</v>
          </cell>
          <cell r="H182">
            <v>43.413800000000002</v>
          </cell>
          <cell r="I182">
            <v>48.603099999999998</v>
          </cell>
          <cell r="J182">
            <v>49.0486</v>
          </cell>
          <cell r="K182">
            <v>65.519099999999995</v>
          </cell>
          <cell r="L182">
            <v>77.351200000000006</v>
          </cell>
          <cell r="M182">
            <v>75.691599999999994</v>
          </cell>
          <cell r="N182">
            <v>89.715400000000002</v>
          </cell>
          <cell r="O182">
            <v>100.604</v>
          </cell>
          <cell r="P182">
            <v>110.828</v>
          </cell>
          <cell r="Q182">
            <v>120.28400000000001</v>
          </cell>
          <cell r="R182">
            <v>129.357</v>
          </cell>
          <cell r="S182">
            <v>138.03700000000001</v>
          </cell>
          <cell r="T182">
            <v>146.429</v>
          </cell>
          <cell r="U182">
            <v>154.27500000000001</v>
          </cell>
          <cell r="V182">
            <v>161.74100000000001</v>
          </cell>
          <cell r="W182">
            <v>168.15899999999999</v>
          </cell>
          <cell r="X182">
            <v>173.53899999999999</v>
          </cell>
          <cell r="Y182">
            <v>177.83500000000001</v>
          </cell>
          <cell r="Z182">
            <v>181.29</v>
          </cell>
          <cell r="AA182">
            <v>184.06</v>
          </cell>
          <cell r="AB182">
            <v>186.238</v>
          </cell>
          <cell r="AC182">
            <v>187.965</v>
          </cell>
        </row>
        <row r="183">
          <cell r="E183">
            <v>7257.2</v>
          </cell>
          <cell r="F183">
            <v>8536.8700000000008</v>
          </cell>
          <cell r="G183">
            <v>10055</v>
          </cell>
          <cell r="H183">
            <v>11412.8</v>
          </cell>
          <cell r="I183">
            <v>13717.5</v>
          </cell>
          <cell r="J183">
            <v>15558.6</v>
          </cell>
          <cell r="K183">
            <v>16338.8</v>
          </cell>
          <cell r="L183">
            <v>18294.7</v>
          </cell>
          <cell r="M183">
            <v>19690.7</v>
          </cell>
          <cell r="N183">
            <v>22456.799999999999</v>
          </cell>
          <cell r="O183">
            <v>24635.1</v>
          </cell>
          <cell r="P183">
            <v>26594.7</v>
          </cell>
          <cell r="Q183">
            <v>28435.599999999999</v>
          </cell>
          <cell r="R183">
            <v>30226.7</v>
          </cell>
          <cell r="S183">
            <v>32000.9</v>
          </cell>
          <cell r="T183">
            <v>33806</v>
          </cell>
          <cell r="U183">
            <v>35663.9</v>
          </cell>
          <cell r="V183">
            <v>37575</v>
          </cell>
          <cell r="W183">
            <v>39465.9</v>
          </cell>
          <cell r="X183">
            <v>41321.800000000003</v>
          </cell>
          <cell r="Y183">
            <v>43133.599999999999</v>
          </cell>
          <cell r="Z183">
            <v>44905.5</v>
          </cell>
          <cell r="AA183">
            <v>46644.9</v>
          </cell>
          <cell r="AB183">
            <v>48354.3</v>
          </cell>
          <cell r="AC183">
            <v>50012.6</v>
          </cell>
        </row>
        <row r="184">
          <cell r="E184" t="str">
            <v/>
          </cell>
          <cell r="F184" t="str">
            <v/>
          </cell>
          <cell r="G184">
            <v>74.633399999999995</v>
          </cell>
          <cell r="H184">
            <v>60.764299999999999</v>
          </cell>
          <cell r="I184">
            <v>73.409300000000002</v>
          </cell>
          <cell r="J184">
            <v>95.259399999999999</v>
          </cell>
          <cell r="K184">
            <v>141.49700000000001</v>
          </cell>
          <cell r="L184">
            <v>200.34800000000001</v>
          </cell>
          <cell r="M184">
            <v>253.58199999999999</v>
          </cell>
          <cell r="N184">
            <v>337.87299999999999</v>
          </cell>
          <cell r="O184">
            <v>440.97399999999999</v>
          </cell>
          <cell r="P184">
            <v>559.53800000000001</v>
          </cell>
          <cell r="Q184">
            <v>685.05399999999997</v>
          </cell>
          <cell r="R184">
            <v>814.702</v>
          </cell>
          <cell r="S184">
            <v>950.70399999999995</v>
          </cell>
          <cell r="T184">
            <v>1097.21</v>
          </cell>
          <cell r="U184">
            <v>1258.05</v>
          </cell>
          <cell r="V184">
            <v>1432.57</v>
          </cell>
          <cell r="W184">
            <v>1618.33</v>
          </cell>
          <cell r="X184">
            <v>1812.09</v>
          </cell>
          <cell r="Y184">
            <v>2013.98</v>
          </cell>
          <cell r="Z184">
            <v>2227.6799999999998</v>
          </cell>
          <cell r="AA184">
            <v>2455.8000000000002</v>
          </cell>
          <cell r="AB184">
            <v>2698.04</v>
          </cell>
          <cell r="AC184">
            <v>2951.36</v>
          </cell>
        </row>
        <row r="185">
          <cell r="E185">
            <v>0.47312499999999996</v>
          </cell>
          <cell r="F185">
            <v>0.57159000000000004</v>
          </cell>
          <cell r="G185">
            <v>0.74251000000000011</v>
          </cell>
          <cell r="H185">
            <v>0.88927699999999998</v>
          </cell>
          <cell r="I185">
            <v>1.01189</v>
          </cell>
          <cell r="J185">
            <v>1.2143999999999999</v>
          </cell>
          <cell r="K185">
            <v>1.2664200000000001</v>
          </cell>
          <cell r="L185">
            <v>1.35497</v>
          </cell>
          <cell r="M185">
            <v>1.4330000000000001</v>
          </cell>
          <cell r="N185">
            <v>1.7649300000000001</v>
          </cell>
          <cell r="O185">
            <v>2.01294</v>
          </cell>
          <cell r="P185">
            <v>2.2661799999999999</v>
          </cell>
          <cell r="Q185">
            <v>2.5310100000000002</v>
          </cell>
          <cell r="R185">
            <v>2.8075999999999999</v>
          </cell>
          <cell r="S185">
            <v>3.1008300000000002</v>
          </cell>
          <cell r="T185">
            <v>3.4204400000000001</v>
          </cell>
          <cell r="U185">
            <v>3.7705700000000002</v>
          </cell>
          <cell r="V185">
            <v>4.14846</v>
          </cell>
          <cell r="W185">
            <v>4.54617</v>
          </cell>
          <cell r="X185">
            <v>4.9570100000000004</v>
          </cell>
          <cell r="Y185">
            <v>5.37629</v>
          </cell>
          <cell r="Z185">
            <v>5.8117200000000002</v>
          </cell>
          <cell r="AA185">
            <v>6.2672299999999996</v>
          </cell>
          <cell r="AB185">
            <v>6.74315</v>
          </cell>
          <cell r="AC185">
            <v>7.24078</v>
          </cell>
        </row>
        <row r="186"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>
            <v>3.1029800000000001</v>
          </cell>
          <cell r="N186">
            <v>3.2404500000000001</v>
          </cell>
          <cell r="O186">
            <v>3.4656000000000002</v>
          </cell>
          <cell r="P186">
            <v>3.6763699999999999</v>
          </cell>
          <cell r="Q186">
            <v>3.9512900000000002</v>
          </cell>
          <cell r="R186">
            <v>4.2687299999999997</v>
          </cell>
          <cell r="S186">
            <v>4.6153700000000004</v>
          </cell>
          <cell r="T186">
            <v>4.9908999999999999</v>
          </cell>
          <cell r="U186">
            <v>5.4070900000000002</v>
          </cell>
          <cell r="V186">
            <v>5.8629100000000003</v>
          </cell>
          <cell r="W186">
            <v>6.3437799999999998</v>
          </cell>
          <cell r="X186">
            <v>6.8452500000000001</v>
          </cell>
          <cell r="Y186">
            <v>7.3669399999999996</v>
          </cell>
          <cell r="Z186">
            <v>7.9156000000000004</v>
          </cell>
          <cell r="AA186">
            <v>8.4931300000000007</v>
          </cell>
          <cell r="AB186">
            <v>9.1000700000000005</v>
          </cell>
          <cell r="AC186">
            <v>9.7331299999999992</v>
          </cell>
        </row>
        <row r="187">
          <cell r="E187">
            <v>77.864400000000003</v>
          </cell>
          <cell r="F187">
            <v>109.236</v>
          </cell>
          <cell r="G187">
            <v>137.798</v>
          </cell>
          <cell r="H187">
            <v>204.20699999999999</v>
          </cell>
          <cell r="I187">
            <v>285.75599999999997</v>
          </cell>
          <cell r="J187">
            <v>407.00900000000001</v>
          </cell>
          <cell r="K187">
            <v>552.83299999999997</v>
          </cell>
          <cell r="L187">
            <v>745.92899999999997</v>
          </cell>
          <cell r="M187">
            <v>1010.06</v>
          </cell>
          <cell r="N187">
            <v>1325.58</v>
          </cell>
          <cell r="O187">
            <v>1843.06</v>
          </cell>
          <cell r="P187">
            <v>2418.0700000000002</v>
          </cell>
          <cell r="Q187">
            <v>2955.99</v>
          </cell>
          <cell r="R187">
            <v>3458.46</v>
          </cell>
          <cell r="S187">
            <v>3929.58</v>
          </cell>
          <cell r="T187">
            <v>4384.66</v>
          </cell>
          <cell r="U187">
            <v>4821.37</v>
          </cell>
          <cell r="V187">
            <v>5240.8599999999997</v>
          </cell>
          <cell r="W187">
            <v>5636.5</v>
          </cell>
          <cell r="X187">
            <v>5987.94</v>
          </cell>
          <cell r="Y187">
            <v>6296.42</v>
          </cell>
          <cell r="Z187">
            <v>6575.15</v>
          </cell>
          <cell r="AA187">
            <v>6839.04</v>
          </cell>
          <cell r="AB187">
            <v>7100.28</v>
          </cell>
          <cell r="AC187">
            <v>7364.4</v>
          </cell>
        </row>
        <row r="188">
          <cell r="E188">
            <v>0.27673000000000003</v>
          </cell>
          <cell r="F188">
            <v>0.33581299999999997</v>
          </cell>
          <cell r="G188">
            <v>0.363006</v>
          </cell>
          <cell r="H188">
            <v>0.42631399999999997</v>
          </cell>
          <cell r="I188">
            <v>0.49211499999999997</v>
          </cell>
          <cell r="J188">
            <v>0.51468000000000003</v>
          </cell>
          <cell r="K188">
            <v>0.63273099999999993</v>
          </cell>
          <cell r="L188">
            <v>0.68552099999999994</v>
          </cell>
          <cell r="M188">
            <v>0.77010800000000001</v>
          </cell>
          <cell r="N188">
            <v>0.85088299999999994</v>
          </cell>
          <cell r="O188">
            <v>1.00143</v>
          </cell>
          <cell r="P188">
            <v>1.3087500000000001</v>
          </cell>
          <cell r="Q188">
            <v>1.75641</v>
          </cell>
          <cell r="R188">
            <v>2.3951099999999999</v>
          </cell>
          <cell r="S188">
            <v>3.3049499999999998</v>
          </cell>
          <cell r="T188">
            <v>4.5940000000000003</v>
          </cell>
          <cell r="U188">
            <v>6.4054099999999998</v>
          </cell>
          <cell r="V188">
            <v>8.9118200000000005</v>
          </cell>
          <cell r="W188">
            <v>12.253500000000001</v>
          </cell>
          <cell r="X188">
            <v>16.587700000000002</v>
          </cell>
          <cell r="Y188">
            <v>22.041599999999999</v>
          </cell>
          <cell r="Z188">
            <v>28.735600000000002</v>
          </cell>
          <cell r="AA188">
            <v>36.747799999999998</v>
          </cell>
          <cell r="AB188">
            <v>46.134599999999999</v>
          </cell>
          <cell r="AC188">
            <v>56.910600000000002</v>
          </cell>
        </row>
        <row r="189">
          <cell r="E189">
            <v>0.49625599999999997</v>
          </cell>
          <cell r="F189">
            <v>0.48445299999999997</v>
          </cell>
          <cell r="G189">
            <v>0.51986199999999994</v>
          </cell>
          <cell r="H189">
            <v>0.60838300000000001</v>
          </cell>
          <cell r="I189">
            <v>0.69475799999999999</v>
          </cell>
          <cell r="J189">
            <v>0.91150100000000001</v>
          </cell>
          <cell r="K189">
            <v>0.9882200000000001</v>
          </cell>
          <cell r="L189">
            <v>1.03382</v>
          </cell>
          <cell r="M189">
            <v>1.13897</v>
          </cell>
          <cell r="N189">
            <v>1.1593599999999999</v>
          </cell>
          <cell r="O189">
            <v>1.31674</v>
          </cell>
          <cell r="P189">
            <v>1.5386200000000001</v>
          </cell>
          <cell r="Q189">
            <v>1.8391500000000001</v>
          </cell>
          <cell r="R189">
            <v>2.2247300000000001</v>
          </cell>
          <cell r="S189">
            <v>2.71116</v>
          </cell>
          <cell r="T189">
            <v>3.3163200000000002</v>
          </cell>
          <cell r="U189">
            <v>4.05213</v>
          </cell>
          <cell r="V189">
            <v>4.9573099999999997</v>
          </cell>
          <cell r="W189">
            <v>6.0398199999999997</v>
          </cell>
          <cell r="X189">
            <v>7.3038800000000004</v>
          </cell>
          <cell r="Y189">
            <v>8.7524999999999995</v>
          </cell>
          <cell r="Z189">
            <v>10.392900000000001</v>
          </cell>
          <cell r="AA189">
            <v>12.2338</v>
          </cell>
          <cell r="AB189">
            <v>14.2911</v>
          </cell>
          <cell r="AC189">
            <v>16.582999999999998</v>
          </cell>
        </row>
        <row r="190">
          <cell r="E190" t="str">
            <v/>
          </cell>
          <cell r="F190" t="str">
            <v/>
          </cell>
          <cell r="G190">
            <v>39.779499999999999</v>
          </cell>
          <cell r="H190">
            <v>53.662300000000002</v>
          </cell>
          <cell r="I190">
            <v>69.019099999999995</v>
          </cell>
          <cell r="J190">
            <v>84.814599999999999</v>
          </cell>
          <cell r="K190">
            <v>104.845</v>
          </cell>
          <cell r="L190">
            <v>70.5929</v>
          </cell>
          <cell r="M190">
            <v>57.161799999999999</v>
          </cell>
          <cell r="N190">
            <v>62.375399999999999</v>
          </cell>
          <cell r="O190">
            <v>82.506799999999998</v>
          </cell>
          <cell r="P190">
            <v>108.889</v>
          </cell>
          <cell r="Q190">
            <v>146.08600000000001</v>
          </cell>
          <cell r="R190">
            <v>196.11699999999999</v>
          </cell>
          <cell r="S190">
            <v>260.447</v>
          </cell>
          <cell r="T190">
            <v>341.04599999999999</v>
          </cell>
          <cell r="U190">
            <v>439.82</v>
          </cell>
          <cell r="V190">
            <v>557.86500000000001</v>
          </cell>
          <cell r="W190">
            <v>694.54899999999998</v>
          </cell>
          <cell r="X190">
            <v>847.86199999999997</v>
          </cell>
          <cell r="Y190">
            <v>1015.98</v>
          </cell>
          <cell r="Z190">
            <v>1197.49</v>
          </cell>
          <cell r="AA190">
            <v>1391.78</v>
          </cell>
          <cell r="AB190">
            <v>1598.56</v>
          </cell>
          <cell r="AC190">
            <v>1817.68</v>
          </cell>
        </row>
        <row r="191">
          <cell r="E191">
            <v>356.726</v>
          </cell>
          <cell r="F191">
            <v>381.55399999999997</v>
          </cell>
          <cell r="G191">
            <v>414.40600000000001</v>
          </cell>
          <cell r="H191">
            <v>432.37700000000001</v>
          </cell>
          <cell r="I191">
            <v>485.25299999999999</v>
          </cell>
          <cell r="J191">
            <v>585.62400000000002</v>
          </cell>
          <cell r="K191">
            <v>682.16700000000003</v>
          </cell>
          <cell r="L191">
            <v>758.9</v>
          </cell>
          <cell r="M191">
            <v>739.93700000000001</v>
          </cell>
          <cell r="N191">
            <v>813.18</v>
          </cell>
          <cell r="O191">
            <v>881.71</v>
          </cell>
          <cell r="P191">
            <v>1007.81</v>
          </cell>
          <cell r="Q191">
            <v>1180.3800000000001</v>
          </cell>
          <cell r="R191">
            <v>1392.12</v>
          </cell>
          <cell r="S191">
            <v>1634.41</v>
          </cell>
          <cell r="T191">
            <v>1905.66</v>
          </cell>
          <cell r="U191">
            <v>2204.5500000000002</v>
          </cell>
          <cell r="V191">
            <v>2527.2399999999998</v>
          </cell>
          <cell r="W191">
            <v>2869.1</v>
          </cell>
          <cell r="X191">
            <v>3226.32</v>
          </cell>
          <cell r="Y191">
            <v>3598.09</v>
          </cell>
          <cell r="Z191">
            <v>3985.08</v>
          </cell>
          <cell r="AA191">
            <v>4385.38</v>
          </cell>
          <cell r="AB191">
            <v>4793.7299999999996</v>
          </cell>
          <cell r="AC191">
            <v>5206.54</v>
          </cell>
        </row>
        <row r="192">
          <cell r="E192">
            <v>17.4681</v>
          </cell>
          <cell r="F192">
            <v>17.787500000000001</v>
          </cell>
          <cell r="G192">
            <v>19.215699999999998</v>
          </cell>
          <cell r="H192">
            <v>17.3627</v>
          </cell>
          <cell r="I192">
            <v>20.736699999999999</v>
          </cell>
          <cell r="J192">
            <v>28.0152</v>
          </cell>
          <cell r="K192">
            <v>42.525799999999997</v>
          </cell>
          <cell r="L192">
            <v>54.6813</v>
          </cell>
          <cell r="M192">
            <v>60.259</v>
          </cell>
          <cell r="N192">
            <v>74.503299999999996</v>
          </cell>
          <cell r="O192">
            <v>95.724999999999994</v>
          </cell>
          <cell r="P192">
            <v>123.108</v>
          </cell>
          <cell r="Q192">
            <v>155.18100000000001</v>
          </cell>
          <cell r="R192">
            <v>193.852</v>
          </cell>
          <cell r="S192">
            <v>240.84200000000001</v>
          </cell>
          <cell r="T192">
            <v>297.95800000000003</v>
          </cell>
          <cell r="U192">
            <v>366.93599999999998</v>
          </cell>
          <cell r="V192">
            <v>449.26100000000002</v>
          </cell>
          <cell r="W192">
            <v>545.46100000000001</v>
          </cell>
          <cell r="X192">
            <v>656.82299999999998</v>
          </cell>
          <cell r="Y192">
            <v>783.15499999999997</v>
          </cell>
          <cell r="Z192">
            <v>924.63599999999997</v>
          </cell>
          <cell r="AA192">
            <v>1080.8399999999999</v>
          </cell>
          <cell r="AB192">
            <v>1251.04</v>
          </cell>
          <cell r="AC192">
            <v>1435.74</v>
          </cell>
        </row>
        <row r="193">
          <cell r="E193" t="str">
            <v/>
          </cell>
          <cell r="F193" t="str">
            <v/>
          </cell>
          <cell r="G193">
            <v>27.355599999999999</v>
          </cell>
          <cell r="H193">
            <v>29.039400000000001</v>
          </cell>
          <cell r="I193">
            <v>33.2273</v>
          </cell>
          <cell r="J193">
            <v>22.194299999999998</v>
          </cell>
          <cell r="K193">
            <v>22.2393</v>
          </cell>
          <cell r="L193">
            <v>31.491199999999999</v>
          </cell>
          <cell r="M193">
            <v>30.270900000000001</v>
          </cell>
          <cell r="N193">
            <v>38.936</v>
          </cell>
          <cell r="O193">
            <v>46.2395</v>
          </cell>
          <cell r="P193">
            <v>56.344099999999997</v>
          </cell>
          <cell r="Q193">
            <v>66.927599999999998</v>
          </cell>
          <cell r="R193">
            <v>78.434100000000001</v>
          </cell>
          <cell r="S193">
            <v>91.401600000000002</v>
          </cell>
          <cell r="T193">
            <v>106.21899999999999</v>
          </cell>
          <cell r="U193">
            <v>123.354</v>
          </cell>
          <cell r="V193">
            <v>143.404</v>
          </cell>
          <cell r="W193">
            <v>166.79</v>
          </cell>
          <cell r="X193">
            <v>194.31800000000001</v>
          </cell>
          <cell r="Y193">
            <v>226.68899999999999</v>
          </cell>
          <cell r="Z193">
            <v>264.57499999999999</v>
          </cell>
          <cell r="AA193">
            <v>308.98200000000003</v>
          </cell>
          <cell r="AB193">
            <v>360.87799999999999</v>
          </cell>
          <cell r="AC193">
            <v>421.26400000000001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-stats"/>
      <sheetName val="Country Codes"/>
      <sheetName val="OSM-Road network"/>
      <sheetName val="Paving"/>
      <sheetName val="OSM-Rail network"/>
      <sheetName val="National road statistics (CIA)"/>
      <sheetName val="UnCorrected-Road network"/>
      <sheetName val="Bridge types per road type"/>
      <sheetName val="Bridges"/>
      <sheetName val="Tunnels"/>
      <sheetName val="Width_per_Type"/>
      <sheetName val="Width stats"/>
      <sheetName val="Lanes_per_Type"/>
      <sheetName val="Lane stats"/>
      <sheetName val="Road Area"/>
      <sheetName val="Road_Area_Aggregated"/>
      <sheetName val="Road area (%)"/>
      <sheetName val="Country-to-Image"/>
      <sheetName val="Motorway mat int"/>
      <sheetName val="prim mat int"/>
      <sheetName val="loc mat int"/>
      <sheetName val="rail mat int"/>
      <sheetName val="rail-HS mat int"/>
      <sheetName val="airport mat int"/>
      <sheetName val="LandArea-WorldBank"/>
      <sheetName val="GDP-WorldBank"/>
      <sheetName val="Rail-lines (km)-worldbank"/>
      <sheetName val="rail (tkm)- worldbank"/>
      <sheetName val="rail (pkm) -worldbank"/>
      <sheetName val="TKM Europe"/>
    </sheetNames>
    <sheetDataSet>
      <sheetData sheetId="0"/>
      <sheetData sheetId="1">
        <row r="2">
          <cell r="A2" t="str">
            <v>Aruba</v>
          </cell>
          <cell r="B2" t="str">
            <v>ABW</v>
          </cell>
        </row>
        <row r="3">
          <cell r="A3" t="str">
            <v>Africa Eastern and Southern</v>
          </cell>
          <cell r="B3" t="str">
            <v>AFE</v>
          </cell>
        </row>
        <row r="4">
          <cell r="A4" t="str">
            <v>Afghanistan</v>
          </cell>
          <cell r="B4" t="str">
            <v>AFG</v>
          </cell>
        </row>
        <row r="5">
          <cell r="A5" t="str">
            <v>Africa Western and Central</v>
          </cell>
          <cell r="B5" t="str">
            <v>AFW</v>
          </cell>
        </row>
        <row r="6">
          <cell r="A6" t="str">
            <v>Angola</v>
          </cell>
          <cell r="B6" t="str">
            <v>AGO</v>
          </cell>
        </row>
        <row r="7">
          <cell r="A7" t="str">
            <v>Albania</v>
          </cell>
          <cell r="B7" t="str">
            <v>ALB</v>
          </cell>
        </row>
        <row r="8">
          <cell r="A8" t="str">
            <v>Andorra</v>
          </cell>
          <cell r="B8" t="str">
            <v>AND</v>
          </cell>
        </row>
        <row r="9">
          <cell r="A9" t="str">
            <v>Arab World</v>
          </cell>
          <cell r="B9" t="str">
            <v>ARB</v>
          </cell>
        </row>
        <row r="10">
          <cell r="A10" t="str">
            <v>United Arab Emirates</v>
          </cell>
          <cell r="B10" t="str">
            <v>ARE</v>
          </cell>
        </row>
        <row r="11">
          <cell r="A11" t="str">
            <v>Argentina</v>
          </cell>
          <cell r="B11" t="str">
            <v>ARG</v>
          </cell>
        </row>
        <row r="12">
          <cell r="A12" t="str">
            <v>Armenia</v>
          </cell>
          <cell r="B12" t="str">
            <v>ARM</v>
          </cell>
        </row>
        <row r="13">
          <cell r="A13" t="str">
            <v>American Samoa</v>
          </cell>
          <cell r="B13" t="str">
            <v>ASM</v>
          </cell>
        </row>
        <row r="14">
          <cell r="A14" t="str">
            <v>Antigua and Barbuda</v>
          </cell>
          <cell r="B14" t="str">
            <v>ATG</v>
          </cell>
        </row>
        <row r="15">
          <cell r="A15" t="str">
            <v>Australia</v>
          </cell>
          <cell r="B15" t="str">
            <v>AUS</v>
          </cell>
        </row>
        <row r="16">
          <cell r="A16" t="str">
            <v>Austria</v>
          </cell>
          <cell r="B16" t="str">
            <v>AUT</v>
          </cell>
        </row>
        <row r="17">
          <cell r="A17" t="str">
            <v>Azerbaijan</v>
          </cell>
          <cell r="B17" t="str">
            <v>AZE</v>
          </cell>
        </row>
        <row r="18">
          <cell r="A18" t="str">
            <v>Burundi</v>
          </cell>
          <cell r="B18" t="str">
            <v>BDI</v>
          </cell>
        </row>
        <row r="19">
          <cell r="A19" t="str">
            <v>Belgium</v>
          </cell>
          <cell r="B19" t="str">
            <v>BEL</v>
          </cell>
        </row>
        <row r="20">
          <cell r="A20" t="str">
            <v>Benin</v>
          </cell>
          <cell r="B20" t="str">
            <v>BEN</v>
          </cell>
        </row>
        <row r="21">
          <cell r="A21" t="str">
            <v>Burkina Faso</v>
          </cell>
          <cell r="B21" t="str">
            <v>BFA</v>
          </cell>
        </row>
        <row r="22">
          <cell r="A22" t="str">
            <v>Bangladesh</v>
          </cell>
          <cell r="B22" t="str">
            <v>BGD</v>
          </cell>
        </row>
        <row r="23">
          <cell r="A23" t="str">
            <v>Bulgaria</v>
          </cell>
          <cell r="B23" t="str">
            <v>BGR</v>
          </cell>
        </row>
        <row r="24">
          <cell r="A24" t="str">
            <v>Bahrain</v>
          </cell>
          <cell r="B24" t="str">
            <v>BHR</v>
          </cell>
        </row>
        <row r="25">
          <cell r="A25" t="str">
            <v>Bahamas, The</v>
          </cell>
          <cell r="B25" t="str">
            <v>BHS</v>
          </cell>
        </row>
        <row r="26">
          <cell r="A26" t="str">
            <v>Bosnia and Herzegovina</v>
          </cell>
          <cell r="B26" t="str">
            <v>BIH</v>
          </cell>
        </row>
        <row r="27">
          <cell r="A27" t="str">
            <v>Belarus</v>
          </cell>
          <cell r="B27" t="str">
            <v>BLR</v>
          </cell>
        </row>
        <row r="28">
          <cell r="A28" t="str">
            <v>Belize</v>
          </cell>
          <cell r="B28" t="str">
            <v>BLZ</v>
          </cell>
        </row>
        <row r="29">
          <cell r="A29" t="str">
            <v>Bermuda</v>
          </cell>
          <cell r="B29" t="str">
            <v>BMU</v>
          </cell>
        </row>
        <row r="30">
          <cell r="A30" t="str">
            <v>Bolivia</v>
          </cell>
          <cell r="B30" t="str">
            <v>BOL</v>
          </cell>
        </row>
        <row r="31">
          <cell r="A31" t="str">
            <v>Brazil</v>
          </cell>
          <cell r="B31" t="str">
            <v>BRA</v>
          </cell>
        </row>
        <row r="32">
          <cell r="A32" t="str">
            <v>Barbados</v>
          </cell>
          <cell r="B32" t="str">
            <v>BRB</v>
          </cell>
        </row>
        <row r="33">
          <cell r="A33" t="str">
            <v>Brunei Darussalam</v>
          </cell>
          <cell r="B33" t="str">
            <v>BRN</v>
          </cell>
        </row>
        <row r="34">
          <cell r="A34" t="str">
            <v>Bhutan</v>
          </cell>
          <cell r="B34" t="str">
            <v>BTN</v>
          </cell>
        </row>
        <row r="35">
          <cell r="A35" t="str">
            <v>Botswana</v>
          </cell>
          <cell r="B35" t="str">
            <v>BWA</v>
          </cell>
        </row>
        <row r="36">
          <cell r="A36" t="str">
            <v>Central African Republic</v>
          </cell>
          <cell r="B36" t="str">
            <v>CAF</v>
          </cell>
        </row>
        <row r="37">
          <cell r="A37" t="str">
            <v>Canada</v>
          </cell>
          <cell r="B37" t="str">
            <v>CAN</v>
          </cell>
        </row>
        <row r="38">
          <cell r="A38" t="str">
            <v>Central Europe and the Baltics</v>
          </cell>
          <cell r="B38" t="str">
            <v>CEB</v>
          </cell>
        </row>
        <row r="39">
          <cell r="A39" t="str">
            <v>Switzerland</v>
          </cell>
          <cell r="B39" t="str">
            <v>CHE</v>
          </cell>
        </row>
        <row r="40">
          <cell r="A40" t="str">
            <v>Channel Islands</v>
          </cell>
          <cell r="B40" t="str">
            <v>CHI</v>
          </cell>
        </row>
        <row r="41">
          <cell r="A41" t="str">
            <v>Chile</v>
          </cell>
          <cell r="B41" t="str">
            <v>CHL</v>
          </cell>
        </row>
        <row r="42">
          <cell r="A42" t="str">
            <v>China</v>
          </cell>
          <cell r="B42" t="str">
            <v>CHN</v>
          </cell>
        </row>
        <row r="43">
          <cell r="A43" t="str">
            <v>Cote d'Ivoire</v>
          </cell>
          <cell r="B43" t="str">
            <v>CIV</v>
          </cell>
        </row>
        <row r="44">
          <cell r="A44" t="str">
            <v>Cameroon</v>
          </cell>
          <cell r="B44" t="str">
            <v>CMR</v>
          </cell>
        </row>
        <row r="45">
          <cell r="A45" t="str">
            <v>Congo, Dem. Rep.</v>
          </cell>
          <cell r="B45" t="str">
            <v>COD</v>
          </cell>
        </row>
        <row r="46">
          <cell r="A46" t="str">
            <v>Congo, Rep.</v>
          </cell>
          <cell r="B46" t="str">
            <v>COG</v>
          </cell>
        </row>
        <row r="47">
          <cell r="A47" t="str">
            <v>Colombia</v>
          </cell>
          <cell r="B47" t="str">
            <v>COL</v>
          </cell>
        </row>
        <row r="48">
          <cell r="A48" t="str">
            <v>Comoros</v>
          </cell>
          <cell r="B48" t="str">
            <v>COM</v>
          </cell>
        </row>
        <row r="49">
          <cell r="A49" t="str">
            <v>Cabo Verde</v>
          </cell>
          <cell r="B49" t="str">
            <v>CPV</v>
          </cell>
        </row>
        <row r="50">
          <cell r="A50" t="str">
            <v>Costa Rica</v>
          </cell>
          <cell r="B50" t="str">
            <v>CRI</v>
          </cell>
        </row>
        <row r="51">
          <cell r="A51" t="str">
            <v>Caribbean small states</v>
          </cell>
          <cell r="B51" t="str">
            <v>CSS</v>
          </cell>
        </row>
        <row r="52">
          <cell r="A52" t="str">
            <v>Cuba</v>
          </cell>
          <cell r="B52" t="str">
            <v>CUB</v>
          </cell>
        </row>
        <row r="53">
          <cell r="A53" t="str">
            <v>Curacao</v>
          </cell>
          <cell r="B53" t="str">
            <v>CUW</v>
          </cell>
        </row>
        <row r="54">
          <cell r="A54" t="str">
            <v>Cayman Islands</v>
          </cell>
          <cell r="B54" t="str">
            <v>CYM</v>
          </cell>
        </row>
        <row r="55">
          <cell r="A55" t="str">
            <v>Cyprus</v>
          </cell>
          <cell r="B55" t="str">
            <v>CYP</v>
          </cell>
        </row>
        <row r="56">
          <cell r="A56" t="str">
            <v>Czechia</v>
          </cell>
          <cell r="B56" t="str">
            <v>CZE</v>
          </cell>
        </row>
        <row r="57">
          <cell r="A57" t="str">
            <v>Germany</v>
          </cell>
          <cell r="B57" t="str">
            <v>DEU</v>
          </cell>
        </row>
        <row r="58">
          <cell r="A58" t="str">
            <v>Djibouti</v>
          </cell>
          <cell r="B58" t="str">
            <v>DJI</v>
          </cell>
        </row>
        <row r="59">
          <cell r="A59" t="str">
            <v>Dominica</v>
          </cell>
          <cell r="B59" t="str">
            <v>DMA</v>
          </cell>
        </row>
        <row r="60">
          <cell r="A60" t="str">
            <v>Denmark</v>
          </cell>
          <cell r="B60" t="str">
            <v>DNK</v>
          </cell>
        </row>
        <row r="61">
          <cell r="A61" t="str">
            <v>Dominican Republic</v>
          </cell>
          <cell r="B61" t="str">
            <v>DOM</v>
          </cell>
        </row>
        <row r="62">
          <cell r="A62" t="str">
            <v>Algeria</v>
          </cell>
          <cell r="B62" t="str">
            <v>DZA</v>
          </cell>
        </row>
        <row r="63">
          <cell r="A63" t="str">
            <v>East Asia &amp; Pacific (excluding high income)</v>
          </cell>
          <cell r="B63" t="str">
            <v>EAP</v>
          </cell>
        </row>
        <row r="64">
          <cell r="A64" t="str">
            <v>Early-demographic dividend</v>
          </cell>
          <cell r="B64" t="str">
            <v>EAR</v>
          </cell>
        </row>
        <row r="65">
          <cell r="A65" t="str">
            <v>East Asia &amp; Pacific</v>
          </cell>
          <cell r="B65" t="str">
            <v>EAS</v>
          </cell>
        </row>
        <row r="66">
          <cell r="A66" t="str">
            <v>Europe &amp; Central Asia (excluding high income)</v>
          </cell>
          <cell r="B66" t="str">
            <v>ECA</v>
          </cell>
        </row>
        <row r="67">
          <cell r="A67" t="str">
            <v>Europe &amp; Central Asia</v>
          </cell>
          <cell r="B67" t="str">
            <v>ECS</v>
          </cell>
        </row>
        <row r="68">
          <cell r="A68" t="str">
            <v>Ecuador</v>
          </cell>
          <cell r="B68" t="str">
            <v>ECU</v>
          </cell>
        </row>
        <row r="69">
          <cell r="A69" t="str">
            <v>Egypt, Arab Rep.</v>
          </cell>
          <cell r="B69" t="str">
            <v>EGY</v>
          </cell>
        </row>
        <row r="70">
          <cell r="A70" t="str">
            <v>Euro area</v>
          </cell>
          <cell r="B70" t="str">
            <v>EMU</v>
          </cell>
        </row>
        <row r="71">
          <cell r="A71" t="str">
            <v>Eritrea</v>
          </cell>
          <cell r="B71" t="str">
            <v>ERI</v>
          </cell>
        </row>
        <row r="72">
          <cell r="A72" t="str">
            <v>Spain</v>
          </cell>
          <cell r="B72" t="str">
            <v>ESP</v>
          </cell>
        </row>
        <row r="73">
          <cell r="A73" t="str">
            <v>Estonia</v>
          </cell>
          <cell r="B73" t="str">
            <v>EST</v>
          </cell>
        </row>
        <row r="74">
          <cell r="A74" t="str">
            <v>Ethiopia</v>
          </cell>
          <cell r="B74" t="str">
            <v>ETH</v>
          </cell>
        </row>
        <row r="75">
          <cell r="A75" t="str">
            <v>European Union</v>
          </cell>
          <cell r="B75" t="str">
            <v>EUU</v>
          </cell>
        </row>
        <row r="76">
          <cell r="A76" t="str">
            <v>Fragile and conflict affected situations</v>
          </cell>
          <cell r="B76" t="str">
            <v>FCS</v>
          </cell>
        </row>
        <row r="77">
          <cell r="A77" t="str">
            <v>Finland</v>
          </cell>
          <cell r="B77" t="str">
            <v>FIN</v>
          </cell>
        </row>
        <row r="78">
          <cell r="A78" t="str">
            <v>Fiji</v>
          </cell>
          <cell r="B78" t="str">
            <v>FJI</v>
          </cell>
        </row>
        <row r="79">
          <cell r="A79" t="str">
            <v>France</v>
          </cell>
          <cell r="B79" t="str">
            <v>FRA</v>
          </cell>
        </row>
        <row r="80">
          <cell r="A80" t="str">
            <v>Faroe Islands</v>
          </cell>
          <cell r="B80" t="str">
            <v>FRO</v>
          </cell>
        </row>
        <row r="81">
          <cell r="A81" t="str">
            <v>Micronesia, Fed. Sts.</v>
          </cell>
          <cell r="B81" t="str">
            <v>FSM</v>
          </cell>
        </row>
        <row r="82">
          <cell r="A82" t="str">
            <v>Gabon</v>
          </cell>
          <cell r="B82" t="str">
            <v>GAB</v>
          </cell>
        </row>
        <row r="83">
          <cell r="A83" t="str">
            <v>United Kingdom</v>
          </cell>
          <cell r="B83" t="str">
            <v>GBR</v>
          </cell>
        </row>
        <row r="84">
          <cell r="A84" t="str">
            <v>Georgia</v>
          </cell>
          <cell r="B84" t="str">
            <v>GEO</v>
          </cell>
        </row>
        <row r="85">
          <cell r="A85" t="str">
            <v>Ghana</v>
          </cell>
          <cell r="B85" t="str">
            <v>GHA</v>
          </cell>
        </row>
        <row r="86">
          <cell r="A86" t="str">
            <v>Gibraltar</v>
          </cell>
          <cell r="B86" t="str">
            <v>GIB</v>
          </cell>
        </row>
        <row r="87">
          <cell r="A87" t="str">
            <v>Guinea</v>
          </cell>
          <cell r="B87" t="str">
            <v>GIN</v>
          </cell>
        </row>
        <row r="88">
          <cell r="A88" t="str">
            <v>Gambia, The</v>
          </cell>
          <cell r="B88" t="str">
            <v>GMB</v>
          </cell>
        </row>
        <row r="89">
          <cell r="A89" t="str">
            <v>Guinea-Bissau</v>
          </cell>
          <cell r="B89" t="str">
            <v>GNB</v>
          </cell>
        </row>
        <row r="90">
          <cell r="A90" t="str">
            <v>Equatorial Guinea</v>
          </cell>
          <cell r="B90" t="str">
            <v>GNQ</v>
          </cell>
        </row>
        <row r="91">
          <cell r="A91" t="str">
            <v>Greece</v>
          </cell>
          <cell r="B91" t="str">
            <v>GRC</v>
          </cell>
        </row>
        <row r="92">
          <cell r="A92" t="str">
            <v>Grenada</v>
          </cell>
          <cell r="B92" t="str">
            <v>GRD</v>
          </cell>
        </row>
        <row r="93">
          <cell r="A93" t="str">
            <v>Greenland</v>
          </cell>
          <cell r="B93" t="str">
            <v>GRL</v>
          </cell>
        </row>
        <row r="94">
          <cell r="A94" t="str">
            <v>Guatemala</v>
          </cell>
          <cell r="B94" t="str">
            <v>GTM</v>
          </cell>
        </row>
        <row r="95">
          <cell r="A95" t="str">
            <v>Guam</v>
          </cell>
          <cell r="B95" t="str">
            <v>GUM</v>
          </cell>
        </row>
        <row r="96">
          <cell r="A96" t="str">
            <v>Guyana</v>
          </cell>
          <cell r="B96" t="str">
            <v>GUY</v>
          </cell>
        </row>
        <row r="97">
          <cell r="A97" t="str">
            <v>High income</v>
          </cell>
          <cell r="B97" t="str">
            <v>HIC</v>
          </cell>
        </row>
        <row r="98">
          <cell r="A98" t="str">
            <v>Hong Kong SAR, China</v>
          </cell>
          <cell r="B98" t="str">
            <v>HKG</v>
          </cell>
        </row>
        <row r="99">
          <cell r="A99" t="str">
            <v>Honduras</v>
          </cell>
          <cell r="B99" t="str">
            <v>HND</v>
          </cell>
        </row>
        <row r="100">
          <cell r="A100" t="str">
            <v>Heavily indebted poor countries (HIPC)</v>
          </cell>
          <cell r="B100" t="str">
            <v>HPC</v>
          </cell>
        </row>
        <row r="101">
          <cell r="A101" t="str">
            <v>Croatia</v>
          </cell>
          <cell r="B101" t="str">
            <v>HRV</v>
          </cell>
        </row>
        <row r="102">
          <cell r="A102" t="str">
            <v>Haiti</v>
          </cell>
          <cell r="B102" t="str">
            <v>HTI</v>
          </cell>
        </row>
        <row r="103">
          <cell r="A103" t="str">
            <v>Hungary</v>
          </cell>
          <cell r="B103" t="str">
            <v>HUN</v>
          </cell>
        </row>
        <row r="104">
          <cell r="A104" t="str">
            <v>IBRD only</v>
          </cell>
          <cell r="B104" t="str">
            <v>IBD</v>
          </cell>
        </row>
        <row r="105">
          <cell r="A105" t="str">
            <v>IDA &amp; IBRD total</v>
          </cell>
          <cell r="B105" t="str">
            <v>IBT</v>
          </cell>
        </row>
        <row r="106">
          <cell r="A106" t="str">
            <v>IDA total</v>
          </cell>
          <cell r="B106" t="str">
            <v>IDA</v>
          </cell>
        </row>
        <row r="107">
          <cell r="A107" t="str">
            <v>IDA blend</v>
          </cell>
          <cell r="B107" t="str">
            <v>IDB</v>
          </cell>
        </row>
        <row r="108">
          <cell r="A108" t="str">
            <v>Indonesia</v>
          </cell>
          <cell r="B108" t="str">
            <v>IDN</v>
          </cell>
        </row>
        <row r="109">
          <cell r="A109" t="str">
            <v>IDA only</v>
          </cell>
          <cell r="B109" t="str">
            <v>IDX</v>
          </cell>
        </row>
        <row r="110">
          <cell r="A110" t="str">
            <v>Isle of Man</v>
          </cell>
          <cell r="B110" t="str">
            <v>IMN</v>
          </cell>
        </row>
        <row r="111">
          <cell r="A111" t="str">
            <v>India</v>
          </cell>
          <cell r="B111" t="str">
            <v>IND</v>
          </cell>
        </row>
        <row r="112">
          <cell r="A112" t="str">
            <v>Not classified</v>
          </cell>
          <cell r="B112" t="str">
            <v>INX</v>
          </cell>
        </row>
        <row r="113">
          <cell r="A113" t="str">
            <v>Ireland</v>
          </cell>
          <cell r="B113" t="str">
            <v>IRL</v>
          </cell>
        </row>
        <row r="114">
          <cell r="A114" t="str">
            <v>Iran, Islamic Rep.</v>
          </cell>
          <cell r="B114" t="str">
            <v>IRN</v>
          </cell>
        </row>
        <row r="115">
          <cell r="A115" t="str">
            <v>Iraq</v>
          </cell>
          <cell r="B115" t="str">
            <v>IRQ</v>
          </cell>
        </row>
        <row r="116">
          <cell r="A116" t="str">
            <v>Iceland</v>
          </cell>
          <cell r="B116" t="str">
            <v>ISL</v>
          </cell>
        </row>
        <row r="117">
          <cell r="A117" t="str">
            <v>Israel</v>
          </cell>
          <cell r="B117" t="str">
            <v>ISR</v>
          </cell>
        </row>
        <row r="118">
          <cell r="A118" t="str">
            <v>Italy</v>
          </cell>
          <cell r="B118" t="str">
            <v>ITA</v>
          </cell>
        </row>
        <row r="119">
          <cell r="A119" t="str">
            <v>Jamaica</v>
          </cell>
          <cell r="B119" t="str">
            <v>JAM</v>
          </cell>
        </row>
        <row r="120">
          <cell r="A120" t="str">
            <v>Jordan</v>
          </cell>
          <cell r="B120" t="str">
            <v>JOR</v>
          </cell>
        </row>
        <row r="121">
          <cell r="A121" t="str">
            <v>Japan</v>
          </cell>
          <cell r="B121" t="str">
            <v>JPN</v>
          </cell>
        </row>
        <row r="122">
          <cell r="A122" t="str">
            <v>Kazakhstan</v>
          </cell>
          <cell r="B122" t="str">
            <v>KAZ</v>
          </cell>
        </row>
        <row r="123">
          <cell r="A123" t="str">
            <v>Kenya</v>
          </cell>
          <cell r="B123" t="str">
            <v>KEN</v>
          </cell>
        </row>
        <row r="124">
          <cell r="A124" t="str">
            <v>Kyrgyz Republic</v>
          </cell>
          <cell r="B124" t="str">
            <v>KGZ</v>
          </cell>
        </row>
        <row r="125">
          <cell r="A125" t="str">
            <v>Cambodia</v>
          </cell>
          <cell r="B125" t="str">
            <v>KHM</v>
          </cell>
        </row>
        <row r="126">
          <cell r="A126" t="str">
            <v>Kiribati</v>
          </cell>
          <cell r="B126" t="str">
            <v>KIR</v>
          </cell>
        </row>
        <row r="127">
          <cell r="A127" t="str">
            <v>St. Kitts and Nevis</v>
          </cell>
          <cell r="B127" t="str">
            <v>KNA</v>
          </cell>
        </row>
        <row r="128">
          <cell r="A128" t="str">
            <v>Korea, Rep.</v>
          </cell>
          <cell r="B128" t="str">
            <v>KOR</v>
          </cell>
        </row>
        <row r="129">
          <cell r="A129" t="str">
            <v>Kuwait</v>
          </cell>
          <cell r="B129" t="str">
            <v>KWT</v>
          </cell>
        </row>
        <row r="130">
          <cell r="A130" t="str">
            <v>Latin America &amp; Caribbean (excluding high income)</v>
          </cell>
          <cell r="B130" t="str">
            <v>LAC</v>
          </cell>
        </row>
        <row r="131">
          <cell r="A131" t="str">
            <v>Lao PDR</v>
          </cell>
          <cell r="B131" t="str">
            <v>LAO</v>
          </cell>
        </row>
        <row r="132">
          <cell r="A132" t="str">
            <v>Lebanon</v>
          </cell>
          <cell r="B132" t="str">
            <v>LBN</v>
          </cell>
        </row>
        <row r="133">
          <cell r="A133" t="str">
            <v>Liberia</v>
          </cell>
          <cell r="B133" t="str">
            <v>LBR</v>
          </cell>
        </row>
        <row r="134">
          <cell r="A134" t="str">
            <v>Libya</v>
          </cell>
          <cell r="B134" t="str">
            <v>LBY</v>
          </cell>
        </row>
        <row r="135">
          <cell r="A135" t="str">
            <v>St. Lucia</v>
          </cell>
          <cell r="B135" t="str">
            <v>LCA</v>
          </cell>
        </row>
        <row r="136">
          <cell r="A136" t="str">
            <v>Latin America &amp; Caribbean</v>
          </cell>
          <cell r="B136" t="str">
            <v>LCN</v>
          </cell>
        </row>
        <row r="137">
          <cell r="A137" t="str">
            <v>Least developed countries: UN classification</v>
          </cell>
          <cell r="B137" t="str">
            <v>LDC</v>
          </cell>
        </row>
        <row r="138">
          <cell r="A138" t="str">
            <v>Low income</v>
          </cell>
          <cell r="B138" t="str">
            <v>LIC</v>
          </cell>
        </row>
        <row r="139">
          <cell r="A139" t="str">
            <v>Liechtenstein</v>
          </cell>
          <cell r="B139" t="str">
            <v>LIE</v>
          </cell>
        </row>
        <row r="140">
          <cell r="A140" t="str">
            <v>Sri Lanka</v>
          </cell>
          <cell r="B140" t="str">
            <v>LKA</v>
          </cell>
        </row>
        <row r="141">
          <cell r="A141" t="str">
            <v>Lower middle income</v>
          </cell>
          <cell r="B141" t="str">
            <v>LMC</v>
          </cell>
        </row>
        <row r="142">
          <cell r="A142" t="str">
            <v>Low &amp; middle income</v>
          </cell>
          <cell r="B142" t="str">
            <v>LMY</v>
          </cell>
        </row>
        <row r="143">
          <cell r="A143" t="str">
            <v>Lesotho</v>
          </cell>
          <cell r="B143" t="str">
            <v>LSO</v>
          </cell>
        </row>
        <row r="144">
          <cell r="A144" t="str">
            <v>Late-demographic dividend</v>
          </cell>
          <cell r="B144" t="str">
            <v>LTE</v>
          </cell>
        </row>
        <row r="145">
          <cell r="A145" t="str">
            <v>Lithuania</v>
          </cell>
          <cell r="B145" t="str">
            <v>LTU</v>
          </cell>
        </row>
        <row r="146">
          <cell r="A146" t="str">
            <v>Luxembourg</v>
          </cell>
          <cell r="B146" t="str">
            <v>LUX</v>
          </cell>
        </row>
        <row r="147">
          <cell r="A147" t="str">
            <v>Latvia</v>
          </cell>
          <cell r="B147" t="str">
            <v>LVA</v>
          </cell>
        </row>
        <row r="148">
          <cell r="A148" t="str">
            <v>Macao SAR, China</v>
          </cell>
          <cell r="B148" t="str">
            <v>MAC</v>
          </cell>
        </row>
        <row r="149">
          <cell r="A149" t="str">
            <v>St. Martin (French part)</v>
          </cell>
          <cell r="B149" t="str">
            <v>MAF</v>
          </cell>
        </row>
        <row r="150">
          <cell r="A150" t="str">
            <v>Morocco</v>
          </cell>
          <cell r="B150" t="str">
            <v>MAR</v>
          </cell>
        </row>
        <row r="151">
          <cell r="A151" t="str">
            <v>Monaco</v>
          </cell>
          <cell r="B151" t="str">
            <v>MCO</v>
          </cell>
        </row>
        <row r="152">
          <cell r="A152" t="str">
            <v>Moldova</v>
          </cell>
          <cell r="B152" t="str">
            <v>MDA</v>
          </cell>
        </row>
        <row r="153">
          <cell r="A153" t="str">
            <v>Madagascar</v>
          </cell>
          <cell r="B153" t="str">
            <v>MDG</v>
          </cell>
        </row>
        <row r="154">
          <cell r="A154" t="str">
            <v>Maldives</v>
          </cell>
          <cell r="B154" t="str">
            <v>MDV</v>
          </cell>
        </row>
        <row r="155">
          <cell r="A155" t="str">
            <v>Middle East &amp; North Africa</v>
          </cell>
          <cell r="B155" t="str">
            <v>MEA</v>
          </cell>
        </row>
        <row r="156">
          <cell r="A156" t="str">
            <v>Mexico</v>
          </cell>
          <cell r="B156" t="str">
            <v>MEX</v>
          </cell>
        </row>
        <row r="157">
          <cell r="A157" t="str">
            <v>Marshall Islands</v>
          </cell>
          <cell r="B157" t="str">
            <v>MHL</v>
          </cell>
        </row>
        <row r="158">
          <cell r="A158" t="str">
            <v>Middle income</v>
          </cell>
          <cell r="B158" t="str">
            <v>MIC</v>
          </cell>
        </row>
        <row r="159">
          <cell r="A159" t="str">
            <v>North Macedonia</v>
          </cell>
          <cell r="B159" t="str">
            <v>MKD</v>
          </cell>
        </row>
        <row r="160">
          <cell r="A160" t="str">
            <v>Mali</v>
          </cell>
          <cell r="B160" t="str">
            <v>MLI</v>
          </cell>
        </row>
        <row r="161">
          <cell r="A161" t="str">
            <v>Malta</v>
          </cell>
          <cell r="B161" t="str">
            <v>MLT</v>
          </cell>
        </row>
        <row r="162">
          <cell r="A162" t="str">
            <v>Myanmar</v>
          </cell>
          <cell r="B162" t="str">
            <v>MMR</v>
          </cell>
        </row>
        <row r="163">
          <cell r="A163" t="str">
            <v>Middle East &amp; North Africa (excluding high income)</v>
          </cell>
          <cell r="B163" t="str">
            <v>MNA</v>
          </cell>
        </row>
        <row r="164">
          <cell r="A164" t="str">
            <v>Montenegro</v>
          </cell>
          <cell r="B164" t="str">
            <v>MNE</v>
          </cell>
        </row>
        <row r="165">
          <cell r="A165" t="str">
            <v>Mongolia</v>
          </cell>
          <cell r="B165" t="str">
            <v>MNG</v>
          </cell>
        </row>
        <row r="166">
          <cell r="A166" t="str">
            <v>Northern Mariana Islands</v>
          </cell>
          <cell r="B166" t="str">
            <v>MNP</v>
          </cell>
        </row>
        <row r="167">
          <cell r="A167" t="str">
            <v>Mozambique</v>
          </cell>
          <cell r="B167" t="str">
            <v>MOZ</v>
          </cell>
        </row>
        <row r="168">
          <cell r="A168" t="str">
            <v>Mauritania</v>
          </cell>
          <cell r="B168" t="str">
            <v>MRT</v>
          </cell>
        </row>
        <row r="169">
          <cell r="A169" t="str">
            <v>Mauritius</v>
          </cell>
          <cell r="B169" t="str">
            <v>MUS</v>
          </cell>
        </row>
        <row r="170">
          <cell r="A170" t="str">
            <v>Malawi</v>
          </cell>
          <cell r="B170" t="str">
            <v>MWI</v>
          </cell>
        </row>
        <row r="171">
          <cell r="A171" t="str">
            <v>Malaysia</v>
          </cell>
          <cell r="B171" t="str">
            <v>MYS</v>
          </cell>
        </row>
        <row r="172">
          <cell r="A172" t="str">
            <v>North America</v>
          </cell>
          <cell r="B172" t="str">
            <v>NAC</v>
          </cell>
        </row>
        <row r="173">
          <cell r="A173" t="str">
            <v>Namibia</v>
          </cell>
          <cell r="B173" t="str">
            <v>NAM</v>
          </cell>
        </row>
        <row r="174">
          <cell r="A174" t="str">
            <v>New Caledonia</v>
          </cell>
          <cell r="B174" t="str">
            <v>NCL</v>
          </cell>
        </row>
        <row r="175">
          <cell r="A175" t="str">
            <v>Niger</v>
          </cell>
          <cell r="B175" t="str">
            <v>NER</v>
          </cell>
        </row>
        <row r="176">
          <cell r="A176" t="str">
            <v>Nigeria</v>
          </cell>
          <cell r="B176" t="str">
            <v>NGA</v>
          </cell>
        </row>
        <row r="177">
          <cell r="A177" t="str">
            <v>Nicaragua</v>
          </cell>
          <cell r="B177" t="str">
            <v>NIC</v>
          </cell>
        </row>
        <row r="178">
          <cell r="A178" t="str">
            <v>Netherlands</v>
          </cell>
          <cell r="B178" t="str">
            <v>NLD</v>
          </cell>
        </row>
        <row r="179">
          <cell r="A179" t="str">
            <v>Norway</v>
          </cell>
          <cell r="B179" t="str">
            <v>NOR</v>
          </cell>
        </row>
        <row r="180">
          <cell r="A180" t="str">
            <v>Nepal</v>
          </cell>
          <cell r="B180" t="str">
            <v>NPL</v>
          </cell>
        </row>
        <row r="181">
          <cell r="A181" t="str">
            <v>Nauru</v>
          </cell>
          <cell r="B181" t="str">
            <v>NRU</v>
          </cell>
        </row>
        <row r="182">
          <cell r="A182" t="str">
            <v>New Zealand</v>
          </cell>
          <cell r="B182" t="str">
            <v>NZL</v>
          </cell>
        </row>
        <row r="183">
          <cell r="A183" t="str">
            <v>OECD members</v>
          </cell>
          <cell r="B183" t="str">
            <v>OED</v>
          </cell>
        </row>
        <row r="184">
          <cell r="A184" t="str">
            <v>Oman</v>
          </cell>
          <cell r="B184" t="str">
            <v>OMN</v>
          </cell>
        </row>
        <row r="185">
          <cell r="A185" t="str">
            <v>Other small states</v>
          </cell>
          <cell r="B185" t="str">
            <v>OSS</v>
          </cell>
        </row>
        <row r="186">
          <cell r="A186" t="str">
            <v>Pakistan</v>
          </cell>
          <cell r="B186" t="str">
            <v>PAK</v>
          </cell>
        </row>
        <row r="187">
          <cell r="A187" t="str">
            <v>Panama</v>
          </cell>
          <cell r="B187" t="str">
            <v>PAN</v>
          </cell>
        </row>
        <row r="188">
          <cell r="A188" t="str">
            <v>Peru</v>
          </cell>
          <cell r="B188" t="str">
            <v>PER</v>
          </cell>
        </row>
        <row r="189">
          <cell r="A189" t="str">
            <v>Philippines</v>
          </cell>
          <cell r="B189" t="str">
            <v>PHL</v>
          </cell>
        </row>
        <row r="190">
          <cell r="A190" t="str">
            <v>Palau</v>
          </cell>
          <cell r="B190" t="str">
            <v>PLW</v>
          </cell>
        </row>
        <row r="191">
          <cell r="A191" t="str">
            <v>Papua New Guinea</v>
          </cell>
          <cell r="B191" t="str">
            <v>PNG</v>
          </cell>
        </row>
        <row r="192">
          <cell r="A192" t="str">
            <v>Poland</v>
          </cell>
          <cell r="B192" t="str">
            <v>POL</v>
          </cell>
        </row>
        <row r="193">
          <cell r="A193" t="str">
            <v>Pre-demographic dividend</v>
          </cell>
          <cell r="B193" t="str">
            <v>PRE</v>
          </cell>
        </row>
        <row r="194">
          <cell r="A194" t="str">
            <v>Puerto Rico</v>
          </cell>
          <cell r="B194" t="str">
            <v>PRI</v>
          </cell>
        </row>
        <row r="195">
          <cell r="A195" t="str">
            <v>Korea, Dem. People's Rep.</v>
          </cell>
          <cell r="B195" t="str">
            <v>PRK</v>
          </cell>
        </row>
        <row r="196">
          <cell r="A196" t="str">
            <v>Portugal</v>
          </cell>
          <cell r="B196" t="str">
            <v>PRT</v>
          </cell>
        </row>
        <row r="197">
          <cell r="A197" t="str">
            <v>Paraguay</v>
          </cell>
          <cell r="B197" t="str">
            <v>PRY</v>
          </cell>
        </row>
        <row r="198">
          <cell r="A198" t="str">
            <v>West Bank and Gaza</v>
          </cell>
          <cell r="B198" t="str">
            <v>PSE</v>
          </cell>
        </row>
        <row r="199">
          <cell r="A199" t="str">
            <v>Pacific island small states</v>
          </cell>
          <cell r="B199" t="str">
            <v>PSS</v>
          </cell>
        </row>
        <row r="200">
          <cell r="A200" t="str">
            <v>Post-demographic dividend</v>
          </cell>
          <cell r="B200" t="str">
            <v>PST</v>
          </cell>
        </row>
        <row r="201">
          <cell r="A201" t="str">
            <v>French Polynesia</v>
          </cell>
          <cell r="B201" t="str">
            <v>PYF</v>
          </cell>
        </row>
        <row r="202">
          <cell r="A202" t="str">
            <v>Qatar</v>
          </cell>
          <cell r="B202" t="str">
            <v>QAT</v>
          </cell>
        </row>
        <row r="203">
          <cell r="A203" t="str">
            <v>Romania</v>
          </cell>
          <cell r="B203" t="str">
            <v>ROU</v>
          </cell>
        </row>
        <row r="204">
          <cell r="A204" t="str">
            <v>Russian Federation</v>
          </cell>
          <cell r="B204" t="str">
            <v>RUS</v>
          </cell>
        </row>
        <row r="205">
          <cell r="A205" t="str">
            <v>Rwanda</v>
          </cell>
          <cell r="B205" t="str">
            <v>RWA</v>
          </cell>
        </row>
        <row r="206">
          <cell r="A206" t="str">
            <v>South Asia</v>
          </cell>
          <cell r="B206" t="str">
            <v>SAS</v>
          </cell>
        </row>
        <row r="207">
          <cell r="A207" t="str">
            <v>Saudi Arabia</v>
          </cell>
          <cell r="B207" t="str">
            <v>SAU</v>
          </cell>
        </row>
        <row r="208">
          <cell r="A208" t="str">
            <v>Sudan</v>
          </cell>
          <cell r="B208" t="str">
            <v>SDN</v>
          </cell>
        </row>
        <row r="209">
          <cell r="A209" t="str">
            <v>Senegal</v>
          </cell>
          <cell r="B209" t="str">
            <v>SEN</v>
          </cell>
        </row>
        <row r="210">
          <cell r="A210" t="str">
            <v>Singapore</v>
          </cell>
          <cell r="B210" t="str">
            <v>SGP</v>
          </cell>
        </row>
        <row r="211">
          <cell r="A211" t="str">
            <v>Solomon Islands</v>
          </cell>
          <cell r="B211" t="str">
            <v>SLB</v>
          </cell>
        </row>
        <row r="212">
          <cell r="A212" t="str">
            <v>Sierra Leone</v>
          </cell>
          <cell r="B212" t="str">
            <v>SLE</v>
          </cell>
        </row>
        <row r="213">
          <cell r="A213" t="str">
            <v>El Salvador</v>
          </cell>
          <cell r="B213" t="str">
            <v>SLV</v>
          </cell>
        </row>
        <row r="214">
          <cell r="A214" t="str">
            <v>San Marino</v>
          </cell>
          <cell r="B214" t="str">
            <v>SMR</v>
          </cell>
        </row>
        <row r="215">
          <cell r="A215" t="str">
            <v>Somalia</v>
          </cell>
          <cell r="B215" t="str">
            <v>SOM</v>
          </cell>
        </row>
        <row r="216">
          <cell r="A216" t="str">
            <v>Serbia</v>
          </cell>
          <cell r="B216" t="str">
            <v>SRB</v>
          </cell>
        </row>
        <row r="217">
          <cell r="A217" t="str">
            <v>Sub-Saharan Africa (excluding high income)</v>
          </cell>
          <cell r="B217" t="str">
            <v>SSA</v>
          </cell>
        </row>
        <row r="218">
          <cell r="A218" t="str">
            <v>South Sudan</v>
          </cell>
          <cell r="B218" t="str">
            <v>SSD</v>
          </cell>
        </row>
        <row r="219">
          <cell r="A219" t="str">
            <v>Sub-Saharan Africa</v>
          </cell>
          <cell r="B219" t="str">
            <v>SSF</v>
          </cell>
        </row>
        <row r="220">
          <cell r="A220" t="str">
            <v>Small states</v>
          </cell>
          <cell r="B220" t="str">
            <v>SST</v>
          </cell>
        </row>
        <row r="221">
          <cell r="A221" t="str">
            <v>Sao Tome and Principe</v>
          </cell>
          <cell r="B221" t="str">
            <v>STP</v>
          </cell>
        </row>
        <row r="222">
          <cell r="A222" t="str">
            <v>Suriname</v>
          </cell>
          <cell r="B222" t="str">
            <v>SUR</v>
          </cell>
        </row>
        <row r="223">
          <cell r="A223" t="str">
            <v>Slovak Republic</v>
          </cell>
          <cell r="B223" t="str">
            <v>SVK</v>
          </cell>
        </row>
        <row r="224">
          <cell r="A224" t="str">
            <v>Slovenia</v>
          </cell>
          <cell r="B224" t="str">
            <v>SVN</v>
          </cell>
        </row>
        <row r="225">
          <cell r="A225" t="str">
            <v>Sweden</v>
          </cell>
          <cell r="B225" t="str">
            <v>SWE</v>
          </cell>
        </row>
        <row r="226">
          <cell r="A226" t="str">
            <v>Eswatini</v>
          </cell>
          <cell r="B226" t="str">
            <v>SWZ</v>
          </cell>
        </row>
        <row r="227">
          <cell r="A227" t="str">
            <v>Sint Maarten (Dutch part)</v>
          </cell>
          <cell r="B227" t="str">
            <v>SXM</v>
          </cell>
        </row>
        <row r="228">
          <cell r="A228" t="str">
            <v>Seychelles</v>
          </cell>
          <cell r="B228" t="str">
            <v>SYC</v>
          </cell>
        </row>
        <row r="229">
          <cell r="A229" t="str">
            <v>Syrian Arab Republic</v>
          </cell>
          <cell r="B229" t="str">
            <v>SYR</v>
          </cell>
        </row>
        <row r="230">
          <cell r="A230" t="str">
            <v>Turks and Caicos Islands</v>
          </cell>
          <cell r="B230" t="str">
            <v>TCA</v>
          </cell>
        </row>
        <row r="231">
          <cell r="A231" t="str">
            <v>Chad</v>
          </cell>
          <cell r="B231" t="str">
            <v>TCD</v>
          </cell>
        </row>
        <row r="232">
          <cell r="A232" t="str">
            <v>East Asia &amp; Pacific (IDA &amp; IBRD countries)</v>
          </cell>
          <cell r="B232" t="str">
            <v>TEA</v>
          </cell>
        </row>
        <row r="233">
          <cell r="A233" t="str">
            <v>Europe &amp; Central Asia (IDA &amp; IBRD countries)</v>
          </cell>
          <cell r="B233" t="str">
            <v>TEC</v>
          </cell>
        </row>
        <row r="234">
          <cell r="A234" t="str">
            <v>Togo</v>
          </cell>
          <cell r="B234" t="str">
            <v>TGO</v>
          </cell>
        </row>
        <row r="235">
          <cell r="A235" t="str">
            <v>Thailand</v>
          </cell>
          <cell r="B235" t="str">
            <v>THA</v>
          </cell>
        </row>
        <row r="236">
          <cell r="A236" t="str">
            <v>Tajikistan</v>
          </cell>
          <cell r="B236" t="str">
            <v>TJK</v>
          </cell>
        </row>
        <row r="237">
          <cell r="A237" t="str">
            <v>Turkmenistan</v>
          </cell>
          <cell r="B237" t="str">
            <v>TKM</v>
          </cell>
        </row>
        <row r="238">
          <cell r="A238" t="str">
            <v>Latin America &amp; the Caribbean (IDA &amp; IBRD countries)</v>
          </cell>
          <cell r="B238" t="str">
            <v>TLA</v>
          </cell>
        </row>
        <row r="239">
          <cell r="A239" t="str">
            <v>Timor-Leste</v>
          </cell>
          <cell r="B239" t="str">
            <v>TLS</v>
          </cell>
        </row>
        <row r="240">
          <cell r="A240" t="str">
            <v>Middle East &amp; North Africa (IDA &amp; IBRD countries)</v>
          </cell>
          <cell r="B240" t="str">
            <v>TMN</v>
          </cell>
        </row>
        <row r="241">
          <cell r="A241" t="str">
            <v>Tonga</v>
          </cell>
          <cell r="B241" t="str">
            <v>TON</v>
          </cell>
        </row>
        <row r="242">
          <cell r="A242" t="str">
            <v>South Asia (IDA &amp; IBRD)</v>
          </cell>
          <cell r="B242" t="str">
            <v>TSA</v>
          </cell>
        </row>
        <row r="243">
          <cell r="A243" t="str">
            <v>Sub-Saharan Africa (IDA &amp; IBRD countries)</v>
          </cell>
          <cell r="B243" t="str">
            <v>TSS</v>
          </cell>
        </row>
        <row r="244">
          <cell r="A244" t="str">
            <v>Trinidad and Tobago</v>
          </cell>
          <cell r="B244" t="str">
            <v>TTO</v>
          </cell>
        </row>
        <row r="245">
          <cell r="A245" t="str">
            <v>Tunisia</v>
          </cell>
          <cell r="B245" t="str">
            <v>TUN</v>
          </cell>
        </row>
        <row r="246">
          <cell r="A246" t="str">
            <v>Turkiye</v>
          </cell>
          <cell r="B246" t="str">
            <v>TUR</v>
          </cell>
        </row>
        <row r="247">
          <cell r="A247" t="str">
            <v>Tuvalu</v>
          </cell>
          <cell r="B247" t="str">
            <v>TUV</v>
          </cell>
        </row>
        <row r="248">
          <cell r="A248" t="str">
            <v>Tanzania</v>
          </cell>
          <cell r="B248" t="str">
            <v>TZA</v>
          </cell>
        </row>
        <row r="249">
          <cell r="A249" t="str">
            <v>Uganda</v>
          </cell>
          <cell r="B249" t="str">
            <v>UGA</v>
          </cell>
        </row>
        <row r="250">
          <cell r="A250" t="str">
            <v>Ukraine</v>
          </cell>
          <cell r="B250" t="str">
            <v>UKR</v>
          </cell>
        </row>
        <row r="251">
          <cell r="A251" t="str">
            <v>Upper middle income</v>
          </cell>
          <cell r="B251" t="str">
            <v>UMC</v>
          </cell>
        </row>
        <row r="252">
          <cell r="A252" t="str">
            <v>Uruguay</v>
          </cell>
          <cell r="B252" t="str">
            <v>URY</v>
          </cell>
        </row>
        <row r="253">
          <cell r="A253" t="str">
            <v>United States</v>
          </cell>
          <cell r="B253" t="str">
            <v>USA</v>
          </cell>
        </row>
        <row r="254">
          <cell r="A254" t="str">
            <v>Uzbekistan</v>
          </cell>
          <cell r="B254" t="str">
            <v>UZB</v>
          </cell>
        </row>
        <row r="255">
          <cell r="A255" t="str">
            <v>St. Vincent and the Grenadines</v>
          </cell>
          <cell r="B255" t="str">
            <v>VCT</v>
          </cell>
        </row>
        <row r="256">
          <cell r="A256" t="str">
            <v>Venezuela, RB</v>
          </cell>
          <cell r="B256" t="str">
            <v>VEN</v>
          </cell>
        </row>
        <row r="257">
          <cell r="A257" t="str">
            <v>British Virgin Islands</v>
          </cell>
          <cell r="B257" t="str">
            <v>VGB</v>
          </cell>
        </row>
        <row r="258">
          <cell r="A258" t="str">
            <v>Virgin Islands (U.S.)</v>
          </cell>
          <cell r="B258" t="str">
            <v>VIR</v>
          </cell>
        </row>
        <row r="259">
          <cell r="A259" t="str">
            <v>Vietnam</v>
          </cell>
          <cell r="B259" t="str">
            <v>VNM</v>
          </cell>
        </row>
        <row r="260">
          <cell r="A260" t="str">
            <v>Vanuatu</v>
          </cell>
          <cell r="B260" t="str">
            <v>VUT</v>
          </cell>
        </row>
        <row r="261">
          <cell r="A261" t="str">
            <v>World</v>
          </cell>
          <cell r="B261" t="str">
            <v>WLD</v>
          </cell>
        </row>
        <row r="262">
          <cell r="A262" t="str">
            <v>Samoa</v>
          </cell>
          <cell r="B262" t="str">
            <v>WSM</v>
          </cell>
        </row>
        <row r="263">
          <cell r="A263" t="str">
            <v>Kosovo</v>
          </cell>
          <cell r="B263" t="str">
            <v>XKX</v>
          </cell>
        </row>
        <row r="264">
          <cell r="A264" t="str">
            <v>Yemen, Rep.</v>
          </cell>
          <cell r="B264" t="str">
            <v>YEM</v>
          </cell>
        </row>
        <row r="265">
          <cell r="A265" t="str">
            <v>South Africa</v>
          </cell>
          <cell r="B265" t="str">
            <v>ZAF</v>
          </cell>
        </row>
        <row r="266">
          <cell r="A266" t="str">
            <v>Zambia</v>
          </cell>
          <cell r="B266" t="str">
            <v>ZMB</v>
          </cell>
        </row>
        <row r="267">
          <cell r="A267" t="str">
            <v>Zimbabwe</v>
          </cell>
          <cell r="B267" t="str">
            <v>ZWE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2">
          <cell r="B2" t="str">
            <v>KH</v>
          </cell>
          <cell r="C2" t="str">
            <v>KHM</v>
          </cell>
        </row>
        <row r="3">
          <cell r="B3" t="str">
            <v>CH</v>
          </cell>
          <cell r="C3" t="str">
            <v>CHE</v>
          </cell>
        </row>
        <row r="4">
          <cell r="B4" t="str">
            <v>NG</v>
          </cell>
          <cell r="C4" t="str">
            <v>NGA</v>
          </cell>
        </row>
        <row r="5">
          <cell r="B5" t="str">
            <v>CZ</v>
          </cell>
          <cell r="C5" t="str">
            <v>CZE</v>
          </cell>
        </row>
        <row r="6">
          <cell r="B6" t="str">
            <v>UZ</v>
          </cell>
          <cell r="C6" t="str">
            <v>UZB</v>
          </cell>
        </row>
        <row r="7">
          <cell r="B7" t="str">
            <v>GF</v>
          </cell>
          <cell r="C7" t="str">
            <v>GUF</v>
          </cell>
        </row>
        <row r="8">
          <cell r="B8" t="str">
            <v>DE</v>
          </cell>
          <cell r="C8" t="str">
            <v>DEU</v>
          </cell>
        </row>
        <row r="9">
          <cell r="B9" t="str">
            <v>BH</v>
          </cell>
          <cell r="C9" t="str">
            <v>BHR</v>
          </cell>
        </row>
        <row r="10">
          <cell r="B10" t="str">
            <v>MH</v>
          </cell>
          <cell r="C10" t="str">
            <v>MHL</v>
          </cell>
        </row>
        <row r="11">
          <cell r="B11" t="str">
            <v>VE</v>
          </cell>
          <cell r="C11" t="str">
            <v>VEN</v>
          </cell>
        </row>
        <row r="12">
          <cell r="B12" t="str">
            <v>RE</v>
          </cell>
          <cell r="C12" t="str">
            <v>REU</v>
          </cell>
        </row>
        <row r="13">
          <cell r="B13" t="str">
            <v>GY</v>
          </cell>
          <cell r="C13" t="str">
            <v>GUY</v>
          </cell>
        </row>
        <row r="14">
          <cell r="B14" t="str">
            <v>BI</v>
          </cell>
          <cell r="C14" t="str">
            <v>BDI</v>
          </cell>
        </row>
        <row r="15">
          <cell r="B15" t="str">
            <v>KI</v>
          </cell>
          <cell r="C15" t="str">
            <v>KIR</v>
          </cell>
        </row>
        <row r="16">
          <cell r="B16" t="str">
            <v>JO</v>
          </cell>
          <cell r="C16" t="str">
            <v>JOR</v>
          </cell>
        </row>
        <row r="17">
          <cell r="B17" t="str">
            <v>AU</v>
          </cell>
          <cell r="C17" t="str">
            <v>AUS</v>
          </cell>
        </row>
        <row r="18">
          <cell r="B18" t="str">
            <v>EH</v>
          </cell>
          <cell r="C18" t="str">
            <v>ESH</v>
          </cell>
        </row>
        <row r="19">
          <cell r="B19" t="str">
            <v>GE</v>
          </cell>
          <cell r="C19" t="str">
            <v>GEO</v>
          </cell>
        </row>
        <row r="20">
          <cell r="B20" t="str">
            <v>T1</v>
          </cell>
          <cell r="C20" t="str">
            <v>TZ1</v>
          </cell>
        </row>
        <row r="21">
          <cell r="B21" t="str">
            <v>UA</v>
          </cell>
          <cell r="C21" t="str">
            <v>UKR</v>
          </cell>
        </row>
        <row r="22">
          <cell r="B22" t="str">
            <v>ZW</v>
          </cell>
          <cell r="C22" t="str">
            <v>ZWE</v>
          </cell>
        </row>
        <row r="23">
          <cell r="B23" t="str">
            <v>SY</v>
          </cell>
          <cell r="C23" t="str">
            <v>SYR</v>
          </cell>
        </row>
        <row r="24">
          <cell r="B24" t="str">
            <v>TO</v>
          </cell>
          <cell r="C24" t="str">
            <v>TON</v>
          </cell>
        </row>
        <row r="25">
          <cell r="B25" t="str">
            <v>LU</v>
          </cell>
          <cell r="C25" t="str">
            <v>LUX</v>
          </cell>
        </row>
        <row r="26">
          <cell r="B26" t="str">
            <v>JP</v>
          </cell>
          <cell r="C26" t="str">
            <v>JPN</v>
          </cell>
        </row>
        <row r="27">
          <cell r="B27" t="str">
            <v>BO</v>
          </cell>
          <cell r="C27" t="str">
            <v>BOL</v>
          </cell>
        </row>
        <row r="28">
          <cell r="B28" t="str">
            <v>D2</v>
          </cell>
          <cell r="C28" t="str">
            <v>DE2</v>
          </cell>
        </row>
        <row r="29">
          <cell r="B29" t="str">
            <v>AL</v>
          </cell>
          <cell r="C29" t="str">
            <v>ALB</v>
          </cell>
        </row>
        <row r="30">
          <cell r="B30" t="str">
            <v>ME</v>
          </cell>
          <cell r="C30" t="str">
            <v>MNE</v>
          </cell>
        </row>
        <row r="31">
          <cell r="B31" t="str">
            <v>US</v>
          </cell>
          <cell r="C31" t="str">
            <v>USA</v>
          </cell>
        </row>
        <row r="32">
          <cell r="B32" t="str">
            <v>BA</v>
          </cell>
          <cell r="C32" t="str">
            <v>BIH</v>
          </cell>
        </row>
        <row r="33">
          <cell r="B33" t="str">
            <v>PG</v>
          </cell>
          <cell r="C33" t="str">
            <v>PNG</v>
          </cell>
        </row>
        <row r="34">
          <cell r="B34" t="str">
            <v>LV</v>
          </cell>
          <cell r="C34" t="str">
            <v>LVA</v>
          </cell>
        </row>
        <row r="35">
          <cell r="B35" t="str">
            <v>IR</v>
          </cell>
          <cell r="C35" t="str">
            <v>IRN</v>
          </cell>
        </row>
        <row r="36">
          <cell r="B36" t="str">
            <v>GM</v>
          </cell>
          <cell r="C36" t="str">
            <v>GMB</v>
          </cell>
        </row>
        <row r="37">
          <cell r="B37" t="str">
            <v>NC</v>
          </cell>
          <cell r="C37" t="str">
            <v>NCL</v>
          </cell>
        </row>
        <row r="38">
          <cell r="B38" t="str">
            <v>KS</v>
          </cell>
          <cell r="C38" t="str">
            <v>KOS</v>
          </cell>
        </row>
        <row r="39">
          <cell r="B39" t="str">
            <v>AG</v>
          </cell>
          <cell r="C39" t="str">
            <v>ATG</v>
          </cell>
        </row>
        <row r="40">
          <cell r="B40" t="str">
            <v>AR</v>
          </cell>
          <cell r="C40" t="str">
            <v>ARG</v>
          </cell>
        </row>
        <row r="41">
          <cell r="B41" t="str">
            <v>RO</v>
          </cell>
          <cell r="C41" t="str">
            <v>ROU</v>
          </cell>
        </row>
        <row r="42">
          <cell r="B42" t="str">
            <v>PS</v>
          </cell>
          <cell r="C42" t="str">
            <v>PSE</v>
          </cell>
        </row>
        <row r="43">
          <cell r="B43" t="str">
            <v>JM</v>
          </cell>
          <cell r="C43" t="str">
            <v>JAM</v>
          </cell>
        </row>
        <row r="44">
          <cell r="B44" t="str">
            <v>MV</v>
          </cell>
          <cell r="C44" t="str">
            <v>MDV</v>
          </cell>
        </row>
        <row r="45">
          <cell r="B45" t="str">
            <v>GW</v>
          </cell>
          <cell r="C45" t="str">
            <v>GNB</v>
          </cell>
        </row>
        <row r="46">
          <cell r="B46" t="str">
            <v>MR</v>
          </cell>
          <cell r="C46" t="str">
            <v>MRT</v>
          </cell>
        </row>
        <row r="47">
          <cell r="B47" t="str">
            <v>BN</v>
          </cell>
          <cell r="C47" t="str">
            <v>BRN</v>
          </cell>
        </row>
        <row r="48">
          <cell r="B48" t="str">
            <v>BR</v>
          </cell>
          <cell r="C48" t="str">
            <v>BRA</v>
          </cell>
        </row>
        <row r="49">
          <cell r="B49" t="str">
            <v>NO</v>
          </cell>
          <cell r="C49" t="str">
            <v>NOR</v>
          </cell>
        </row>
        <row r="50">
          <cell r="B50" t="str">
            <v>GA</v>
          </cell>
          <cell r="C50" t="str">
            <v>GAB</v>
          </cell>
        </row>
        <row r="51">
          <cell r="B51" t="str">
            <v>T2</v>
          </cell>
          <cell r="C51" t="str">
            <v>TZ2</v>
          </cell>
        </row>
        <row r="52">
          <cell r="B52" t="str">
            <v>IQ</v>
          </cell>
          <cell r="C52" t="str">
            <v>IRQ</v>
          </cell>
        </row>
        <row r="53">
          <cell r="B53" t="str">
            <v>SU</v>
          </cell>
          <cell r="C53" t="str">
            <v>URS</v>
          </cell>
        </row>
        <row r="54">
          <cell r="B54" t="str">
            <v>DJ</v>
          </cell>
          <cell r="C54" t="str">
            <v>DJI</v>
          </cell>
        </row>
        <row r="55">
          <cell r="B55" t="str">
            <v>PL</v>
          </cell>
          <cell r="C55" t="str">
            <v>POL</v>
          </cell>
        </row>
        <row r="56">
          <cell r="B56" t="str">
            <v>SO</v>
          </cell>
          <cell r="C56" t="str">
            <v>SOM</v>
          </cell>
        </row>
        <row r="57">
          <cell r="B57" t="str">
            <v>NL</v>
          </cell>
          <cell r="C57" t="str">
            <v>NLD</v>
          </cell>
        </row>
        <row r="58">
          <cell r="B58" t="str">
            <v>TN</v>
          </cell>
          <cell r="C58" t="str">
            <v>TUN</v>
          </cell>
        </row>
        <row r="59">
          <cell r="B59" t="str">
            <v>CY</v>
          </cell>
          <cell r="C59" t="str">
            <v>CYP</v>
          </cell>
        </row>
        <row r="60">
          <cell r="B60" t="str">
            <v>M3</v>
          </cell>
          <cell r="C60" t="str">
            <v>MY3</v>
          </cell>
        </row>
        <row r="61">
          <cell r="B61" t="str">
            <v>KP</v>
          </cell>
          <cell r="C61" t="str">
            <v>PRK</v>
          </cell>
        </row>
        <row r="62">
          <cell r="B62" t="str">
            <v>M1</v>
          </cell>
          <cell r="C62" t="str">
            <v>MY1</v>
          </cell>
        </row>
        <row r="63">
          <cell r="B63" t="str">
            <v>SE</v>
          </cell>
          <cell r="C63" t="str">
            <v>SWE</v>
          </cell>
        </row>
        <row r="64">
          <cell r="B64" t="str">
            <v>PK</v>
          </cell>
          <cell r="C64" t="str">
            <v>PAK</v>
          </cell>
        </row>
        <row r="65">
          <cell r="B65" t="str">
            <v>KY</v>
          </cell>
          <cell r="C65" t="str">
            <v>CYM</v>
          </cell>
        </row>
        <row r="66">
          <cell r="B66" t="str">
            <v>MC</v>
          </cell>
          <cell r="C66" t="str">
            <v>MCO</v>
          </cell>
        </row>
        <row r="67">
          <cell r="B67" t="str">
            <v>BS</v>
          </cell>
          <cell r="C67" t="str">
            <v>BHS</v>
          </cell>
        </row>
        <row r="68">
          <cell r="B68" t="str">
            <v>E1</v>
          </cell>
          <cell r="C68" t="str">
            <v>ET1</v>
          </cell>
        </row>
        <row r="69">
          <cell r="B69" t="str">
            <v>CO</v>
          </cell>
          <cell r="C69" t="str">
            <v>COL</v>
          </cell>
        </row>
        <row r="70">
          <cell r="B70" t="str">
            <v>SV</v>
          </cell>
          <cell r="C70" t="str">
            <v>SLV</v>
          </cell>
        </row>
        <row r="71">
          <cell r="B71" t="str">
            <v>PH</v>
          </cell>
          <cell r="C71" t="str">
            <v>PHL</v>
          </cell>
        </row>
        <row r="72">
          <cell r="B72" t="str">
            <v>SD</v>
          </cell>
          <cell r="C72" t="str">
            <v>SDN</v>
          </cell>
        </row>
        <row r="73">
          <cell r="B73" t="str">
            <v>NU</v>
          </cell>
          <cell r="C73" t="str">
            <v>NIU</v>
          </cell>
        </row>
        <row r="74">
          <cell r="B74" t="str">
            <v>D3</v>
          </cell>
          <cell r="C74" t="str">
            <v>DE3</v>
          </cell>
        </row>
        <row r="75">
          <cell r="B75" t="str">
            <v>BZ</v>
          </cell>
          <cell r="C75" t="str">
            <v>BLZ</v>
          </cell>
        </row>
        <row r="76">
          <cell r="B76" t="str">
            <v>IT</v>
          </cell>
          <cell r="C76" t="str">
            <v>ITA</v>
          </cell>
        </row>
        <row r="77">
          <cell r="B77" t="str">
            <v>FI</v>
          </cell>
          <cell r="C77" t="str">
            <v>FIN</v>
          </cell>
        </row>
        <row r="78">
          <cell r="B78" t="str">
            <v>PY</v>
          </cell>
          <cell r="C78" t="str">
            <v>PRY</v>
          </cell>
        </row>
        <row r="79">
          <cell r="B79" t="str">
            <v>AF</v>
          </cell>
          <cell r="C79" t="str">
            <v>AFG</v>
          </cell>
        </row>
        <row r="80">
          <cell r="B80" t="str">
            <v>AE</v>
          </cell>
          <cell r="C80" t="str">
            <v>ARE</v>
          </cell>
        </row>
        <row r="81">
          <cell r="B81" t="str">
            <v>PE</v>
          </cell>
          <cell r="C81" t="str">
            <v>PER</v>
          </cell>
        </row>
        <row r="82">
          <cell r="B82" t="str">
            <v>CG</v>
          </cell>
          <cell r="C82" t="str">
            <v>COG</v>
          </cell>
        </row>
        <row r="83">
          <cell r="B83" t="str">
            <v>HN</v>
          </cell>
          <cell r="C83" t="str">
            <v>HND</v>
          </cell>
        </row>
        <row r="84">
          <cell r="B84" t="str">
            <v>VI</v>
          </cell>
          <cell r="C84" t="str">
            <v>VIR</v>
          </cell>
        </row>
        <row r="85">
          <cell r="B85" t="str">
            <v>CK</v>
          </cell>
          <cell r="C85" t="str">
            <v>COK</v>
          </cell>
        </row>
        <row r="86">
          <cell r="B86" t="str">
            <v>SL</v>
          </cell>
          <cell r="C86" t="str">
            <v>SLE</v>
          </cell>
        </row>
        <row r="87">
          <cell r="B87" t="str">
            <v>RU</v>
          </cell>
          <cell r="C87" t="str">
            <v>RUS</v>
          </cell>
        </row>
        <row r="88">
          <cell r="B88" t="str">
            <v>VG</v>
          </cell>
          <cell r="C88" t="str">
            <v>VGB</v>
          </cell>
        </row>
        <row r="89">
          <cell r="B89" t="str">
            <v>C1</v>
          </cell>
          <cell r="C89" t="str">
            <v>CS1</v>
          </cell>
        </row>
        <row r="90">
          <cell r="B90" t="str">
            <v>SB</v>
          </cell>
          <cell r="C90" t="str">
            <v>SLB</v>
          </cell>
        </row>
        <row r="91">
          <cell r="B91" t="str">
            <v>D1</v>
          </cell>
          <cell r="C91" t="str">
            <v>DE1</v>
          </cell>
        </row>
        <row r="92">
          <cell r="B92" t="str">
            <v>GI</v>
          </cell>
          <cell r="C92" t="str">
            <v>GIB</v>
          </cell>
        </row>
        <row r="93">
          <cell r="B93" t="str">
            <v>TW</v>
          </cell>
          <cell r="C93" t="str">
            <v>TWN</v>
          </cell>
        </row>
        <row r="94">
          <cell r="B94" t="str">
            <v>CD</v>
          </cell>
          <cell r="C94" t="str">
            <v>COD</v>
          </cell>
        </row>
        <row r="95">
          <cell r="B95" t="str">
            <v>MP</v>
          </cell>
          <cell r="C95" t="str">
            <v>MNP</v>
          </cell>
        </row>
        <row r="96">
          <cell r="B96" t="str">
            <v>ET</v>
          </cell>
          <cell r="C96" t="str">
            <v>ETH</v>
          </cell>
        </row>
        <row r="97">
          <cell r="B97" t="str">
            <v>AT</v>
          </cell>
          <cell r="C97" t="str">
            <v>AUT</v>
          </cell>
        </row>
        <row r="98">
          <cell r="B98" t="str">
            <v>CN</v>
          </cell>
          <cell r="C98" t="str">
            <v>CHN</v>
          </cell>
        </row>
        <row r="99">
          <cell r="B99" t="str">
            <v>SN</v>
          </cell>
          <cell r="C99" t="str">
            <v>SEN</v>
          </cell>
        </row>
        <row r="100">
          <cell r="B100" t="str">
            <v>NF</v>
          </cell>
          <cell r="C100" t="str">
            <v>NFK</v>
          </cell>
        </row>
        <row r="101">
          <cell r="B101" t="str">
            <v>KN</v>
          </cell>
          <cell r="C101" t="str">
            <v>KNA</v>
          </cell>
        </row>
        <row r="102">
          <cell r="B102" t="str">
            <v>BT</v>
          </cell>
          <cell r="C102" t="str">
            <v>BTN</v>
          </cell>
        </row>
        <row r="103">
          <cell r="B103" t="str">
            <v>PW</v>
          </cell>
          <cell r="C103" t="str">
            <v>PLW</v>
          </cell>
        </row>
        <row r="104">
          <cell r="B104" t="str">
            <v>KZ</v>
          </cell>
          <cell r="C104" t="str">
            <v>KAZ</v>
          </cell>
        </row>
        <row r="105">
          <cell r="B105" t="str">
            <v>BJ</v>
          </cell>
          <cell r="C105" t="str">
            <v>BEN</v>
          </cell>
        </row>
        <row r="106">
          <cell r="B106" t="str">
            <v>AW</v>
          </cell>
          <cell r="C106" t="str">
            <v>ABW</v>
          </cell>
        </row>
        <row r="107">
          <cell r="B107" t="str">
            <v>CS</v>
          </cell>
          <cell r="C107" t="str">
            <v>SCG</v>
          </cell>
        </row>
        <row r="108">
          <cell r="B108" t="str">
            <v>DO</v>
          </cell>
          <cell r="C108" t="str">
            <v>DOM</v>
          </cell>
        </row>
        <row r="109">
          <cell r="B109" t="str">
            <v>Y1</v>
          </cell>
          <cell r="C109" t="str">
            <v>YE1</v>
          </cell>
        </row>
        <row r="110">
          <cell r="B110" t="str">
            <v>YE</v>
          </cell>
          <cell r="C110" t="str">
            <v>YEM</v>
          </cell>
        </row>
        <row r="111">
          <cell r="B111" t="str">
            <v>M2</v>
          </cell>
          <cell r="C111" t="str">
            <v>MY2</v>
          </cell>
        </row>
        <row r="112">
          <cell r="B112" t="str">
            <v>IM</v>
          </cell>
          <cell r="C112" t="str">
            <v>IMN</v>
          </cell>
        </row>
        <row r="113">
          <cell r="B113" t="str">
            <v>TC</v>
          </cell>
          <cell r="C113" t="str">
            <v>TCA</v>
          </cell>
        </row>
        <row r="114">
          <cell r="B114" t="str">
            <v>LY</v>
          </cell>
          <cell r="C114" t="str">
            <v>LBY</v>
          </cell>
        </row>
        <row r="115">
          <cell r="B115" t="str">
            <v>HR</v>
          </cell>
          <cell r="C115" t="str">
            <v>HRV</v>
          </cell>
        </row>
        <row r="116">
          <cell r="B116" t="str">
            <v>TG</v>
          </cell>
          <cell r="C116" t="str">
            <v>TGO</v>
          </cell>
        </row>
        <row r="117">
          <cell r="B117" t="str">
            <v>EC</v>
          </cell>
          <cell r="C117" t="str">
            <v>ECU</v>
          </cell>
        </row>
        <row r="118">
          <cell r="B118" t="str">
            <v>NI</v>
          </cell>
          <cell r="C118" t="str">
            <v>NIC</v>
          </cell>
        </row>
        <row r="119">
          <cell r="B119" t="str">
            <v>CU</v>
          </cell>
          <cell r="C119" t="str">
            <v>CUB</v>
          </cell>
        </row>
        <row r="120">
          <cell r="B120" t="str">
            <v>KW</v>
          </cell>
          <cell r="C120" t="str">
            <v>KWT</v>
          </cell>
        </row>
        <row r="121">
          <cell r="B121" t="str">
            <v>PT</v>
          </cell>
          <cell r="C121" t="str">
            <v>PRT</v>
          </cell>
        </row>
        <row r="122">
          <cell r="B122" t="str">
            <v>Y2</v>
          </cell>
          <cell r="C122" t="str">
            <v>YE2</v>
          </cell>
        </row>
        <row r="123">
          <cell r="B123" t="str">
            <v>GR</v>
          </cell>
          <cell r="C123" t="str">
            <v>GRC</v>
          </cell>
        </row>
        <row r="124">
          <cell r="B124" t="str">
            <v>LB</v>
          </cell>
          <cell r="C124" t="str">
            <v>LBN</v>
          </cell>
        </row>
        <row r="125">
          <cell r="B125" t="str">
            <v>LR</v>
          </cell>
          <cell r="C125" t="str">
            <v>LBR</v>
          </cell>
        </row>
        <row r="126">
          <cell r="B126" t="str">
            <v>AZ</v>
          </cell>
          <cell r="C126" t="str">
            <v>AZE</v>
          </cell>
        </row>
        <row r="127">
          <cell r="B127" t="str">
            <v>ES</v>
          </cell>
          <cell r="C127" t="str">
            <v>ESP</v>
          </cell>
        </row>
        <row r="128">
          <cell r="B128" t="str">
            <v>QA</v>
          </cell>
          <cell r="C128" t="str">
            <v>QAT</v>
          </cell>
        </row>
        <row r="129">
          <cell r="B129" t="str">
            <v>OM</v>
          </cell>
          <cell r="C129" t="str">
            <v>OMN</v>
          </cell>
        </row>
        <row r="130">
          <cell r="B130" t="str">
            <v>SK</v>
          </cell>
          <cell r="C130" t="str">
            <v>SVK</v>
          </cell>
        </row>
        <row r="131">
          <cell r="B131" t="str">
            <v>CV</v>
          </cell>
          <cell r="C131" t="str">
            <v>CPV</v>
          </cell>
        </row>
        <row r="132">
          <cell r="B132" t="str">
            <v>GB</v>
          </cell>
          <cell r="C132" t="str">
            <v>GBR</v>
          </cell>
        </row>
        <row r="133">
          <cell r="B133" t="str">
            <v>SZ</v>
          </cell>
          <cell r="C133" t="str">
            <v>SWZ</v>
          </cell>
        </row>
        <row r="134">
          <cell r="B134" t="str">
            <v>WF</v>
          </cell>
          <cell r="C134" t="str">
            <v>WLF</v>
          </cell>
        </row>
        <row r="135">
          <cell r="B135" t="str">
            <v>TH</v>
          </cell>
          <cell r="C135" t="str">
            <v>THA</v>
          </cell>
        </row>
        <row r="136">
          <cell r="B136" t="str">
            <v>TL</v>
          </cell>
          <cell r="C136" t="str">
            <v>TLS</v>
          </cell>
        </row>
        <row r="137">
          <cell r="B137" t="str">
            <v>BE</v>
          </cell>
          <cell r="C137" t="str">
            <v>BEL</v>
          </cell>
        </row>
        <row r="138">
          <cell r="B138" t="str">
            <v>IS</v>
          </cell>
          <cell r="C138" t="str">
            <v>ISL</v>
          </cell>
        </row>
        <row r="139">
          <cell r="B139" t="str">
            <v>BG</v>
          </cell>
          <cell r="C139" t="str">
            <v>BGR</v>
          </cell>
        </row>
        <row r="140">
          <cell r="B140" t="str">
            <v>SS</v>
          </cell>
          <cell r="C140" t="str">
            <v>SSD</v>
          </cell>
        </row>
        <row r="141">
          <cell r="B141" t="str">
            <v>TR</v>
          </cell>
          <cell r="C141" t="str">
            <v>TUR</v>
          </cell>
        </row>
        <row r="142">
          <cell r="B142" t="str">
            <v>MW</v>
          </cell>
          <cell r="C142" t="str">
            <v>MWI</v>
          </cell>
        </row>
        <row r="143">
          <cell r="B143" t="str">
            <v>GN</v>
          </cell>
          <cell r="C143" t="str">
            <v>GIN</v>
          </cell>
        </row>
        <row r="144">
          <cell r="B144" t="str">
            <v>MY</v>
          </cell>
          <cell r="C144" t="str">
            <v>MYS</v>
          </cell>
        </row>
        <row r="145">
          <cell r="B145" t="str">
            <v>BW</v>
          </cell>
          <cell r="C145" t="str">
            <v>BWA</v>
          </cell>
        </row>
        <row r="146">
          <cell r="B146" t="str">
            <v>TK</v>
          </cell>
          <cell r="C146" t="str">
            <v>TKL</v>
          </cell>
        </row>
        <row r="147">
          <cell r="B147" t="str">
            <v>HK</v>
          </cell>
          <cell r="C147" t="str">
            <v>HKG</v>
          </cell>
        </row>
        <row r="148">
          <cell r="B148" t="str">
            <v>SG</v>
          </cell>
          <cell r="C148" t="str">
            <v>SGP</v>
          </cell>
        </row>
        <row r="149">
          <cell r="B149" t="str">
            <v>KR</v>
          </cell>
          <cell r="C149" t="str">
            <v>KOR</v>
          </cell>
        </row>
        <row r="150">
          <cell r="B150" t="str">
            <v>ML</v>
          </cell>
          <cell r="C150" t="str">
            <v>MLI</v>
          </cell>
        </row>
        <row r="151">
          <cell r="B151" t="str">
            <v>AS</v>
          </cell>
          <cell r="C151" t="str">
            <v>ASM</v>
          </cell>
        </row>
        <row r="152">
          <cell r="B152" t="str">
            <v>LT</v>
          </cell>
          <cell r="C152" t="str">
            <v>LTU</v>
          </cell>
        </row>
        <row r="153">
          <cell r="B153" t="str">
            <v>ZA</v>
          </cell>
          <cell r="C153" t="str">
            <v>ZAF</v>
          </cell>
        </row>
        <row r="154">
          <cell r="B154" t="str">
            <v>SH</v>
          </cell>
          <cell r="C154" t="str">
            <v>SHN</v>
          </cell>
        </row>
        <row r="155">
          <cell r="B155" t="str">
            <v>NA</v>
          </cell>
          <cell r="C155" t="str">
            <v>NAM</v>
          </cell>
        </row>
        <row r="156">
          <cell r="B156" t="str">
            <v>AD</v>
          </cell>
          <cell r="C156" t="str">
            <v>AND</v>
          </cell>
        </row>
        <row r="157">
          <cell r="B157" t="str">
            <v>NP</v>
          </cell>
          <cell r="C157" t="str">
            <v>NPL</v>
          </cell>
        </row>
        <row r="158">
          <cell r="B158" t="str">
            <v>UY</v>
          </cell>
          <cell r="C158" t="str">
            <v>URY</v>
          </cell>
        </row>
        <row r="159">
          <cell r="B159" t="str">
            <v>LC</v>
          </cell>
          <cell r="C159" t="str">
            <v>LCA</v>
          </cell>
        </row>
        <row r="160">
          <cell r="B160" t="str">
            <v>VU</v>
          </cell>
          <cell r="C160" t="str">
            <v>VUT</v>
          </cell>
        </row>
        <row r="161">
          <cell r="B161" t="str">
            <v>ST</v>
          </cell>
          <cell r="C161" t="str">
            <v>STP</v>
          </cell>
        </row>
        <row r="162">
          <cell r="B162" t="str">
            <v>TD</v>
          </cell>
          <cell r="C162" t="str">
            <v>TCD</v>
          </cell>
        </row>
        <row r="163">
          <cell r="B163" t="str">
            <v>NZ</v>
          </cell>
          <cell r="C163" t="str">
            <v>NZL</v>
          </cell>
        </row>
        <row r="164">
          <cell r="B164" t="str">
            <v>CA</v>
          </cell>
          <cell r="C164" t="str">
            <v>CAN</v>
          </cell>
        </row>
        <row r="165">
          <cell r="B165" t="str">
            <v>KG</v>
          </cell>
          <cell r="C165" t="str">
            <v>KGZ</v>
          </cell>
        </row>
        <row r="166">
          <cell r="B166" t="str">
            <v>JG</v>
          </cell>
          <cell r="C166" t="str">
            <v>CHA</v>
          </cell>
        </row>
        <row r="167">
          <cell r="B167" t="str">
            <v>TT</v>
          </cell>
          <cell r="C167" t="str">
            <v>TTO</v>
          </cell>
        </row>
        <row r="168">
          <cell r="B168" t="str">
            <v>GQ</v>
          </cell>
          <cell r="C168" t="str">
            <v>GNQ</v>
          </cell>
        </row>
        <row r="169">
          <cell r="B169" t="str">
            <v>SR</v>
          </cell>
          <cell r="C169" t="str">
            <v>SUR</v>
          </cell>
        </row>
        <row r="170">
          <cell r="B170" t="str">
            <v>ZM</v>
          </cell>
          <cell r="C170" t="str">
            <v>ZMB</v>
          </cell>
        </row>
        <row r="171">
          <cell r="B171" t="str">
            <v>AN</v>
          </cell>
          <cell r="C171" t="str">
            <v>ANT</v>
          </cell>
        </row>
        <row r="172">
          <cell r="B172" t="str">
            <v>Y3</v>
          </cell>
          <cell r="C172" t="str">
            <v>YU1</v>
          </cell>
        </row>
        <row r="173">
          <cell r="B173" t="str">
            <v>MM</v>
          </cell>
          <cell r="C173" t="str">
            <v>MMR</v>
          </cell>
        </row>
        <row r="174">
          <cell r="B174" t="str">
            <v>GP</v>
          </cell>
          <cell r="C174" t="str">
            <v>GLP</v>
          </cell>
        </row>
        <row r="175">
          <cell r="B175" t="str">
            <v>MX</v>
          </cell>
          <cell r="C175" t="str">
            <v>MEX</v>
          </cell>
        </row>
        <row r="176">
          <cell r="B176" t="str">
            <v>MU</v>
          </cell>
          <cell r="C176" t="str">
            <v>MUS</v>
          </cell>
        </row>
        <row r="177">
          <cell r="B177" t="str">
            <v>SA</v>
          </cell>
          <cell r="C177" t="str">
            <v>SAU</v>
          </cell>
        </row>
        <row r="178">
          <cell r="B178" t="str">
            <v>LK</v>
          </cell>
          <cell r="C178" t="str">
            <v>LKA</v>
          </cell>
        </row>
        <row r="179">
          <cell r="B179" t="str">
            <v>NR</v>
          </cell>
          <cell r="C179" t="str">
            <v>NRU</v>
          </cell>
        </row>
        <row r="180">
          <cell r="B180" t="str">
            <v>MK</v>
          </cell>
          <cell r="C180" t="str">
            <v>MKD</v>
          </cell>
        </row>
        <row r="181">
          <cell r="B181" t="str">
            <v>BB</v>
          </cell>
          <cell r="C181" t="str">
            <v>BRB</v>
          </cell>
        </row>
        <row r="182">
          <cell r="B182" t="str">
            <v>IE</v>
          </cell>
          <cell r="C182" t="str">
            <v>IRL</v>
          </cell>
        </row>
        <row r="183">
          <cell r="B183" t="str">
            <v>CI</v>
          </cell>
          <cell r="C183" t="str">
            <v>CIV</v>
          </cell>
        </row>
        <row r="184">
          <cell r="B184" t="str">
            <v>RW</v>
          </cell>
          <cell r="C184" t="str">
            <v>RWA</v>
          </cell>
        </row>
        <row r="185">
          <cell r="B185" t="str">
            <v>TV</v>
          </cell>
          <cell r="C185" t="str">
            <v>TUV</v>
          </cell>
        </row>
        <row r="186">
          <cell r="B186" t="str">
            <v>SM</v>
          </cell>
          <cell r="C186" t="str">
            <v>SMR</v>
          </cell>
        </row>
        <row r="187">
          <cell r="B187" t="str">
            <v>ER</v>
          </cell>
          <cell r="C187" t="str">
            <v>ERI</v>
          </cell>
        </row>
        <row r="188">
          <cell r="B188" t="str">
            <v>GL</v>
          </cell>
          <cell r="C188" t="str">
            <v>GRL</v>
          </cell>
        </row>
        <row r="189">
          <cell r="B189" t="str">
            <v>TM</v>
          </cell>
          <cell r="C189" t="str">
            <v>TKM</v>
          </cell>
        </row>
        <row r="190">
          <cell r="B190" t="str">
            <v>KE</v>
          </cell>
          <cell r="C190" t="str">
            <v>KEN</v>
          </cell>
        </row>
        <row r="191">
          <cell r="B191" t="str">
            <v>TJ</v>
          </cell>
          <cell r="C191" t="str">
            <v>TJK</v>
          </cell>
        </row>
        <row r="192">
          <cell r="B192" t="str">
            <v>AI</v>
          </cell>
          <cell r="C192" t="str">
            <v>AIA</v>
          </cell>
        </row>
        <row r="193">
          <cell r="B193" t="str">
            <v>FO</v>
          </cell>
          <cell r="C193" t="str">
            <v>FRO</v>
          </cell>
        </row>
        <row r="194">
          <cell r="B194" t="str">
            <v>MG</v>
          </cell>
          <cell r="C194" t="str">
            <v>MDG</v>
          </cell>
        </row>
        <row r="195">
          <cell r="B195" t="str">
            <v>LI</v>
          </cell>
          <cell r="C195" t="str">
            <v>LIE</v>
          </cell>
        </row>
        <row r="196">
          <cell r="B196" t="str">
            <v>CF</v>
          </cell>
          <cell r="C196" t="str">
            <v>CAF</v>
          </cell>
        </row>
        <row r="197">
          <cell r="B197" t="str">
            <v>DZ</v>
          </cell>
          <cell r="C197" t="str">
            <v>DZA</v>
          </cell>
        </row>
        <row r="198">
          <cell r="B198" t="str">
            <v>GU</v>
          </cell>
          <cell r="C198" t="str">
            <v>GUM</v>
          </cell>
        </row>
        <row r="199">
          <cell r="B199" t="str">
            <v>GD</v>
          </cell>
          <cell r="C199" t="str">
            <v>GRD</v>
          </cell>
        </row>
        <row r="200">
          <cell r="B200" t="str">
            <v>FR</v>
          </cell>
          <cell r="C200" t="str">
            <v>FRA</v>
          </cell>
        </row>
        <row r="201">
          <cell r="B201" t="str">
            <v>MZ</v>
          </cell>
          <cell r="C201" t="str">
            <v>MOZ</v>
          </cell>
        </row>
        <row r="202">
          <cell r="B202" t="str">
            <v>EE</v>
          </cell>
          <cell r="C202" t="str">
            <v>EST</v>
          </cell>
        </row>
        <row r="203">
          <cell r="B203" t="str">
            <v>CL</v>
          </cell>
          <cell r="C203" t="str">
            <v>CHL</v>
          </cell>
        </row>
        <row r="204">
          <cell r="B204" t="str">
            <v>PR</v>
          </cell>
          <cell r="C204" t="str">
            <v>PRI</v>
          </cell>
        </row>
        <row r="205">
          <cell r="B205" t="str">
            <v>CR</v>
          </cell>
          <cell r="C205" t="str">
            <v>CRI</v>
          </cell>
        </row>
        <row r="206">
          <cell r="B206" t="str">
            <v>AM</v>
          </cell>
          <cell r="C206" t="str">
            <v>ARM</v>
          </cell>
        </row>
        <row r="207">
          <cell r="B207" t="str">
            <v>GG</v>
          </cell>
          <cell r="C207" t="str">
            <v>GGY</v>
          </cell>
        </row>
        <row r="208">
          <cell r="B208" t="str">
            <v>FK</v>
          </cell>
          <cell r="C208" t="str">
            <v>FLK</v>
          </cell>
        </row>
        <row r="209">
          <cell r="B209" t="str">
            <v>MD</v>
          </cell>
          <cell r="C209" t="str">
            <v>MDA</v>
          </cell>
        </row>
        <row r="210">
          <cell r="B210" t="str">
            <v>GT</v>
          </cell>
          <cell r="C210" t="str">
            <v>GTM</v>
          </cell>
        </row>
        <row r="211">
          <cell r="B211" t="str">
            <v>AO</v>
          </cell>
          <cell r="C211" t="str">
            <v>AGO</v>
          </cell>
        </row>
        <row r="212">
          <cell r="B212" t="str">
            <v>VN</v>
          </cell>
          <cell r="C212" t="str">
            <v>VNM</v>
          </cell>
        </row>
        <row r="213">
          <cell r="B213" t="str">
            <v>RS</v>
          </cell>
          <cell r="C213" t="str">
            <v>SRB</v>
          </cell>
        </row>
        <row r="214">
          <cell r="B214" t="str">
            <v>KM</v>
          </cell>
          <cell r="C214" t="str">
            <v>COM</v>
          </cell>
        </row>
        <row r="215">
          <cell r="B215" t="str">
            <v>GH</v>
          </cell>
          <cell r="C215" t="str">
            <v>GHA</v>
          </cell>
        </row>
        <row r="216">
          <cell r="B216" t="str">
            <v>TZ</v>
          </cell>
          <cell r="C216" t="str">
            <v>TZA</v>
          </cell>
        </row>
        <row r="217">
          <cell r="B217" t="str">
            <v>MQ</v>
          </cell>
          <cell r="C217" t="str">
            <v>MTQ</v>
          </cell>
        </row>
        <row r="218">
          <cell r="B218" t="str">
            <v>PF</v>
          </cell>
          <cell r="C218" t="str">
            <v>PYF</v>
          </cell>
        </row>
        <row r="219">
          <cell r="B219" t="str">
            <v>EG</v>
          </cell>
          <cell r="C219" t="str">
            <v>EGY</v>
          </cell>
        </row>
        <row r="220">
          <cell r="B220" t="str">
            <v>WS</v>
          </cell>
          <cell r="C220" t="str">
            <v>WSM</v>
          </cell>
        </row>
        <row r="221">
          <cell r="B221" t="str">
            <v>BY</v>
          </cell>
          <cell r="C221" t="str">
            <v>BLR</v>
          </cell>
        </row>
        <row r="222">
          <cell r="B222" t="str">
            <v>PA</v>
          </cell>
          <cell r="C222" t="str">
            <v>PAN</v>
          </cell>
        </row>
        <row r="223">
          <cell r="B223" t="str">
            <v>HT</v>
          </cell>
          <cell r="C223" t="str">
            <v>HTI</v>
          </cell>
        </row>
        <row r="224">
          <cell r="B224" t="str">
            <v>BD</v>
          </cell>
          <cell r="C224" t="str">
            <v>BGD</v>
          </cell>
        </row>
        <row r="225">
          <cell r="B225" t="str">
            <v>SC</v>
          </cell>
          <cell r="C225" t="str">
            <v>SYC</v>
          </cell>
        </row>
        <row r="226">
          <cell r="B226" t="str">
            <v>MO</v>
          </cell>
          <cell r="C226" t="str">
            <v>MAC</v>
          </cell>
        </row>
        <row r="227">
          <cell r="B227" t="str">
            <v>UG</v>
          </cell>
          <cell r="C227" t="str">
            <v>UGA</v>
          </cell>
        </row>
        <row r="228">
          <cell r="B228" t="str">
            <v>MA</v>
          </cell>
          <cell r="C228" t="str">
            <v>MAR</v>
          </cell>
        </row>
        <row r="229">
          <cell r="B229" t="str">
            <v>MT</v>
          </cell>
          <cell r="C229" t="str">
            <v>MLT</v>
          </cell>
        </row>
        <row r="230">
          <cell r="B230" t="str">
            <v>IL</v>
          </cell>
          <cell r="C230" t="str">
            <v>ISR</v>
          </cell>
        </row>
        <row r="231">
          <cell r="B231" t="str">
            <v>LS</v>
          </cell>
          <cell r="C231" t="str">
            <v>LSO</v>
          </cell>
        </row>
        <row r="232">
          <cell r="B232" t="str">
            <v>LA</v>
          </cell>
          <cell r="C232" t="str">
            <v>LAO</v>
          </cell>
        </row>
        <row r="233">
          <cell r="B233" t="str">
            <v>BF</v>
          </cell>
          <cell r="C233" t="str">
            <v>BFA</v>
          </cell>
        </row>
        <row r="234">
          <cell r="B234" t="str">
            <v>VC</v>
          </cell>
          <cell r="C234" t="str">
            <v>VCT</v>
          </cell>
        </row>
        <row r="235">
          <cell r="B235" t="str">
            <v>PM</v>
          </cell>
          <cell r="C235" t="str">
            <v>SPM</v>
          </cell>
        </row>
        <row r="236">
          <cell r="B236" t="str">
            <v>SI</v>
          </cell>
          <cell r="C236" t="str">
            <v>SVN</v>
          </cell>
        </row>
        <row r="237">
          <cell r="B237" t="str">
            <v>IN</v>
          </cell>
          <cell r="C237" t="str">
            <v>IND</v>
          </cell>
        </row>
        <row r="238">
          <cell r="B238" t="str">
            <v>JE</v>
          </cell>
          <cell r="C238" t="str">
            <v>JEY</v>
          </cell>
        </row>
        <row r="239">
          <cell r="B239" t="str">
            <v>MS</v>
          </cell>
          <cell r="C239" t="str">
            <v>MSR</v>
          </cell>
        </row>
        <row r="240">
          <cell r="B240" t="str">
            <v>MN</v>
          </cell>
          <cell r="C240" t="str">
            <v>MNG</v>
          </cell>
        </row>
        <row r="241">
          <cell r="B241" t="str">
            <v>HU</v>
          </cell>
          <cell r="C241" t="str">
            <v>HUN</v>
          </cell>
        </row>
        <row r="242">
          <cell r="B242" t="str">
            <v>ID</v>
          </cell>
          <cell r="C242" t="str">
            <v>IDN</v>
          </cell>
        </row>
        <row r="243">
          <cell r="B243" t="str">
            <v>BM</v>
          </cell>
          <cell r="C243" t="str">
            <v>BMU</v>
          </cell>
        </row>
        <row r="244">
          <cell r="B244" t="str">
            <v>DM</v>
          </cell>
          <cell r="C244" t="str">
            <v>DMA</v>
          </cell>
        </row>
        <row r="245">
          <cell r="B245" t="str">
            <v>NE</v>
          </cell>
          <cell r="C245" t="str">
            <v>NER</v>
          </cell>
        </row>
        <row r="246">
          <cell r="B246" t="str">
            <v>FJ</v>
          </cell>
          <cell r="C246" t="str">
            <v>FJI</v>
          </cell>
        </row>
        <row r="247">
          <cell r="B247" t="str">
            <v>CM</v>
          </cell>
          <cell r="C247" t="str">
            <v>CMR</v>
          </cell>
        </row>
        <row r="248">
          <cell r="B248" t="str">
            <v>DK</v>
          </cell>
          <cell r="C248" t="str">
            <v>DNK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D0AC-3AE5-4303-9AA1-1701D863980F}">
  <dimension ref="A1:AM200"/>
  <sheetViews>
    <sheetView showGridLines="0" workbookViewId="0">
      <pane ySplit="1" topLeftCell="A2" activePane="bottomLeft" state="frozen"/>
      <selection pane="bottomLeft" activeCell="E200" sqref="E2:E200"/>
    </sheetView>
  </sheetViews>
  <sheetFormatPr defaultRowHeight="15" x14ac:dyDescent="0.25"/>
  <cols>
    <col min="7" max="7" width="13.57031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255</v>
      </c>
      <c r="E1" t="s">
        <v>446</v>
      </c>
      <c r="F1" t="s">
        <v>3</v>
      </c>
      <c r="G1" t="s">
        <v>235</v>
      </c>
      <c r="H1" t="s">
        <v>4</v>
      </c>
      <c r="I1">
        <v>1950</v>
      </c>
      <c r="J1">
        <v>1955</v>
      </c>
      <c r="K1">
        <v>1960</v>
      </c>
      <c r="L1">
        <v>1965</v>
      </c>
      <c r="M1">
        <v>1970</v>
      </c>
      <c r="N1">
        <v>1975</v>
      </c>
      <c r="O1">
        <v>1980</v>
      </c>
      <c r="P1">
        <v>1985</v>
      </c>
      <c r="Q1">
        <v>1990</v>
      </c>
      <c r="R1">
        <v>1995</v>
      </c>
      <c r="S1">
        <v>2000</v>
      </c>
      <c r="T1">
        <v>2005</v>
      </c>
      <c r="U1">
        <v>2010</v>
      </c>
      <c r="V1">
        <v>2015</v>
      </c>
      <c r="W1">
        <v>2020</v>
      </c>
      <c r="X1">
        <v>2025</v>
      </c>
      <c r="Y1">
        <v>2030</v>
      </c>
      <c r="Z1">
        <v>2035</v>
      </c>
      <c r="AA1">
        <v>2040</v>
      </c>
      <c r="AB1">
        <v>2045</v>
      </c>
      <c r="AC1">
        <v>2050</v>
      </c>
      <c r="AD1">
        <v>2055</v>
      </c>
      <c r="AE1">
        <v>2060</v>
      </c>
      <c r="AF1">
        <v>2065</v>
      </c>
      <c r="AG1">
        <v>2070</v>
      </c>
      <c r="AH1">
        <v>2075</v>
      </c>
      <c r="AI1">
        <v>2080</v>
      </c>
      <c r="AJ1">
        <v>2085</v>
      </c>
      <c r="AK1">
        <v>2090</v>
      </c>
      <c r="AL1">
        <v>2095</v>
      </c>
      <c r="AM1">
        <v>2100</v>
      </c>
    </row>
    <row r="2" spans="1:39" x14ac:dyDescent="0.25">
      <c r="A2" t="s">
        <v>30</v>
      </c>
      <c r="B2" t="s">
        <v>31</v>
      </c>
      <c r="C2" t="s">
        <v>32</v>
      </c>
      <c r="D2" t="s">
        <v>275</v>
      </c>
      <c r="E2" t="str">
        <f>_xlfn.XLOOKUP(D2,[6]Feuil1!$C$2:$C$248,[6]Feuil1!$B$2:$B$248)</f>
        <v>AW</v>
      </c>
      <c r="F2" t="s">
        <v>33</v>
      </c>
      <c r="G2" t="s">
        <v>236</v>
      </c>
      <c r="H2" t="s">
        <v>34</v>
      </c>
      <c r="I2">
        <f>[1]data!F2*(_xlfn.XLOOKUP([1]data!$C2,[2]data!$B$2:$B$218,[2]data!E$2:E$218)/100)</f>
        <v>1.9404606999999997E-2</v>
      </c>
      <c r="J2">
        <f>[1]data!G2*(_xlfn.XLOOKUP([1]data!$C2,[2]data!$B$2:$B$218,[2]data!F$2:F$218)/100)</f>
        <v>2.3237886000000003E-2</v>
      </c>
      <c r="K2">
        <f>[1]data!H2*(_xlfn.XLOOKUP([1]data!$C2,[2]data!$B$2:$B$218,[2]data!G$2:G$218)/100)</f>
        <v>2.7360880000000001E-2</v>
      </c>
      <c r="L2">
        <f>[1]data!I2*(_xlfn.XLOOKUP([1]data!$C2,[2]data!$B$2:$B$218,[2]data!H$2:H$218)/100)</f>
        <v>2.9661528E-2</v>
      </c>
      <c r="M2">
        <f>[1]data!J2*(_xlfn.XLOOKUP([1]data!$C2,[2]data!$B$2:$B$218,[2]data!I$2:I$218)/100)</f>
        <v>2.9975440000000002E-2</v>
      </c>
      <c r="N2">
        <f>[1]data!K2*(_xlfn.XLOOKUP([1]data!$C2,[2]data!$B$2:$B$218,[2]data!J$2:J$218)/100)</f>
        <v>3.0489374999999999E-2</v>
      </c>
      <c r="O2">
        <f>[1]data!L2*(_xlfn.XLOOKUP([1]data!$C2,[2]data!$B$2:$B$218,[2]data!K$2:K$218)/100)</f>
        <v>3.1379690000000002E-2</v>
      </c>
      <c r="P2">
        <f>[1]data!M2*(_xlfn.XLOOKUP([1]data!$C2,[2]data!$B$2:$B$218,[2]data!L$2:L$218)/100)</f>
        <v>3.2449031999999996E-2</v>
      </c>
      <c r="Q2">
        <f>[1]data!N2*(_xlfn.XLOOKUP([1]data!$C2,[2]data!$B$2:$B$218,[2]data!M$2:M$218)/100)</f>
        <v>3.2642184999999997E-2</v>
      </c>
      <c r="R2">
        <f>[1]data!O2*(_xlfn.XLOOKUP([1]data!$C2,[2]data!$B$2:$B$218,[2]data!N$2:N$218)/100)</f>
        <v>3.7031392000000003E-2</v>
      </c>
      <c r="S2">
        <f>[1]data!P2*(_xlfn.XLOOKUP([1]data!$C2,[2]data!$B$2:$B$218,[2]data!O$2:O$218)/100)</f>
        <v>4.1152974000000002E-2</v>
      </c>
      <c r="T2">
        <f>[1]data!Q2*(_xlfn.XLOOKUP([1]data!$C2,[2]data!$B$2:$B$218,[2]data!P$2:P$218)/100)</f>
        <v>4.2178162000000005E-2</v>
      </c>
      <c r="U2">
        <f>[1]data!R2*(_xlfn.XLOOKUP([1]data!$C2,[2]data!$B$2:$B$218,[2]data!Q$2:Q$218)/100)</f>
        <v>4.3022851000000001E-2</v>
      </c>
      <c r="V2">
        <f>[1]data!S2*(_xlfn.XLOOKUP([1]data!$C2,[2]data!$B$2:$B$218,[2]data!R$2:R$218)/100)</f>
        <v>4.4796847000000001E-2</v>
      </c>
      <c r="W2">
        <f>[1]data!T2*(_xlfn.XLOOKUP([1]data!$C2,[2]data!$B$2:$B$218,[2]data!S$2:S$218)/100)</f>
        <v>4.6612168000000009E-2</v>
      </c>
      <c r="X2">
        <f>[1]data!U2*(_xlfn.XLOOKUP([1]data!$C2,[2]data!$B$2:$B$218,[2]data!T$2:T$218)/100)</f>
        <v>5.063165604E-2</v>
      </c>
      <c r="Y2">
        <f>[1]data!V2*(_xlfn.XLOOKUP([1]data!$C2,[2]data!$B$2:$B$218,[2]data!U$2:U$218)/100)</f>
        <v>5.4792431600000004E-2</v>
      </c>
      <c r="Z2">
        <f>[1]data!W2*(_xlfn.XLOOKUP([1]data!$C2,[2]data!$B$2:$B$218,[2]data!V$2:V$218)/100)</f>
        <v>5.8923909679999997E-2</v>
      </c>
      <c r="AA2">
        <f>[1]data!X2*(_xlfn.XLOOKUP([1]data!$C2,[2]data!$B$2:$B$218,[2]data!W$2:W$218)/100)</f>
        <v>6.3028193430000004E-2</v>
      </c>
      <c r="AB2">
        <f>[1]data!Y2*(_xlfn.XLOOKUP([1]data!$C2,[2]data!$B$2:$B$218,[2]data!X$2:X$218)/100)</f>
        <v>6.7043265119999987E-2</v>
      </c>
      <c r="AC2">
        <f>[1]data!Z2*(_xlfn.XLOOKUP([1]data!$C2,[2]data!$B$2:$B$218,[2]data!Y$2:Y$218)/100)</f>
        <v>7.0929862319999995E-2</v>
      </c>
      <c r="AD2">
        <f>[1]data!AA2*(_xlfn.XLOOKUP([1]data!$C2,[2]data!$B$2:$B$218,[2]data!Z$2:Z$218)/100)</f>
        <v>7.4765069900000009E-2</v>
      </c>
      <c r="AE2">
        <f>[1]data!AB2*(_xlfn.XLOOKUP([1]data!$C2,[2]data!$B$2:$B$218,[2]data!AA$2:AA$218)/100)</f>
        <v>7.8679351600000003E-2</v>
      </c>
      <c r="AF2">
        <f>[1]data!AC2*(_xlfn.XLOOKUP([1]data!$C2,[2]data!$B$2:$B$218,[2]data!AB$2:AB$218)/100)</f>
        <v>8.2460546480000008E-2</v>
      </c>
      <c r="AG2">
        <f>[1]data!AD2*(_xlfn.XLOOKUP([1]data!$C2,[2]data!$B$2:$B$218,[2]data!AC$2:AC$218)/100)</f>
        <v>8.6076352500000008E-2</v>
      </c>
      <c r="AH2">
        <f>[1]data!AE2*(_xlfn.XLOOKUP([1]data!$C2,[2]data!$B$2:$B$218,[2]data!AD$2:AD$218)/100)</f>
        <v>8.9399810639999994E-2</v>
      </c>
      <c r="AI2">
        <f>[1]data!AF2*(_xlfn.XLOOKUP([1]data!$C2,[2]data!$B$2:$B$218,[2]data!AE$2:AE$218)/100)</f>
        <v>9.2264381540000009E-2</v>
      </c>
      <c r="AJ2">
        <f>[1]data!AG2*(_xlfn.XLOOKUP([1]data!$C2,[2]data!$B$2:$B$218,[2]data!AF$2:AF$218)/100)</f>
        <v>9.4622582570000016E-2</v>
      </c>
      <c r="AK2">
        <f>[1]data!AH2*(_xlfn.XLOOKUP([1]data!$C2,[2]data!$B$2:$B$218,[2]data!AG$2:AG$218)/100)</f>
        <v>9.643468203000001E-2</v>
      </c>
      <c r="AL2">
        <f>[1]data!AI2*(_xlfn.XLOOKUP([1]data!$C2,[2]data!$B$2:$B$218,[2]data!AH$2:AH$218)/100)</f>
        <v>9.7673512709999993E-2</v>
      </c>
      <c r="AM2">
        <f>[1]data!AJ2*(_xlfn.XLOOKUP([1]data!$C2,[2]data!$B$2:$B$218,[2]data!AI$2:AI$218)/100)</f>
        <v>9.8279520749999988E-2</v>
      </c>
    </row>
    <row r="3" spans="1:39" x14ac:dyDescent="0.25">
      <c r="A3" t="s">
        <v>30</v>
      </c>
      <c r="B3" t="s">
        <v>31</v>
      </c>
      <c r="C3" t="s">
        <v>35</v>
      </c>
      <c r="D3" t="s">
        <v>276</v>
      </c>
      <c r="E3" t="str">
        <f>_xlfn.XLOOKUP(D3,[6]Feuil1!$C$2:$C$248,[6]Feuil1!$B$2:$B$248)</f>
        <v>AO</v>
      </c>
      <c r="F3" t="s">
        <v>33</v>
      </c>
      <c r="G3" t="str">
        <f>_xlfn.XLOOKUP(C3,[3]Sheet1!$B$2:$B$172,[3]Sheet1!$D$2:$D$172)</f>
        <v>Rest of Southern Africa</v>
      </c>
      <c r="H3" t="s">
        <v>34</v>
      </c>
      <c r="I3">
        <f>[1]data!F4*(_xlfn.XLOOKUP([1]data!$C4,[2]data!$B$2:$B$218,[2]data!E$2:E$218)/100)</f>
        <v>0.33690131200000001</v>
      </c>
      <c r="J3">
        <f>[1]data!G4*(_xlfn.XLOOKUP([1]data!$C4,[2]data!$B$2:$B$218,[2]data!F$2:F$218)/100)</f>
        <v>0.435687396</v>
      </c>
      <c r="K3">
        <f>[1]data!H4*(_xlfn.XLOOKUP([1]data!$C4,[2]data!$B$2:$B$218,[2]data!G$2:G$218)/100)</f>
        <v>0.55260659999999995</v>
      </c>
      <c r="L3">
        <f>[1]data!I4*(_xlfn.XLOOKUP([1]data!$C4,[2]data!$B$2:$B$218,[2]data!H$2:H$218)/100)</f>
        <v>0.71346799999999999</v>
      </c>
      <c r="M3">
        <f>[1]data!J4*(_xlfn.XLOOKUP([1]data!$C4,[2]data!$B$2:$B$218,[2]data!I$2:I$218)/100)</f>
        <v>0.89500500000000005</v>
      </c>
      <c r="N3">
        <f>[1]data!K4*(_xlfn.XLOOKUP([1]data!$C4,[2]data!$B$2:$B$218,[2]data!J$2:J$218)/100)</f>
        <v>1.3210698359999999</v>
      </c>
      <c r="O3">
        <f>[1]data!L4*(_xlfn.XLOOKUP([1]data!$C4,[2]data!$B$2:$B$218,[2]data!K$2:K$218)/100)</f>
        <v>1.9883023019999999</v>
      </c>
      <c r="P3">
        <f>[1]data!M4*(_xlfn.XLOOKUP([1]data!$C4,[2]data!$B$2:$B$218,[2]data!L$2:L$218)/100)</f>
        <v>2.9667217830000001</v>
      </c>
      <c r="Q3">
        <f>[1]data!N4*(_xlfn.XLOOKUP([1]data!$C4,[2]data!$B$2:$B$218,[2]data!M$2:M$218)/100)</f>
        <v>4.3152950329999999</v>
      </c>
      <c r="R3">
        <f>[1]data!O4*(_xlfn.XLOOKUP([1]data!$C4,[2]data!$B$2:$B$218,[2]data!N$2:N$218)/100)</f>
        <v>6.0469613359999999</v>
      </c>
      <c r="S3">
        <f>[1]data!P4*(_xlfn.XLOOKUP([1]data!$C4,[2]data!$B$2:$B$218,[2]data!O$2:O$218)/100)</f>
        <v>8.0796104670000002</v>
      </c>
      <c r="T3">
        <f>[1]data!Q4*(_xlfn.XLOOKUP([1]data!$C4,[2]data!$B$2:$B$218,[2]data!P$2:P$218)/100)</f>
        <v>10.698142560000003</v>
      </c>
      <c r="U3">
        <f>[1]data!R4*(_xlfn.XLOOKUP([1]data!$C4,[2]data!$B$2:$B$218,[2]data!Q$2:Q$218)/100)</f>
        <v>13.709199035999999</v>
      </c>
      <c r="V3">
        <f>[1]data!S4*(_xlfn.XLOOKUP([1]data!$C4,[2]data!$B$2:$B$218,[2]data!R$2:R$218)/100)</f>
        <v>17.513818880000002</v>
      </c>
      <c r="W3">
        <f>[1]data!T4*(_xlfn.XLOOKUP([1]data!$C4,[2]data!$B$2:$B$218,[2]data!S$2:S$218)/100)</f>
        <v>21.976533335999999</v>
      </c>
      <c r="X3">
        <f>[1]data!U4*(_xlfn.XLOOKUP([1]data!$C4,[2]data!$B$2:$B$218,[2]data!T$2:T$218)/100)</f>
        <v>26.236039422960001</v>
      </c>
      <c r="Y3">
        <f>[1]data!V4*(_xlfn.XLOOKUP([1]data!$C4,[2]data!$B$2:$B$218,[2]data!U$2:U$218)/100)</f>
        <v>30.849861876599999</v>
      </c>
      <c r="Z3">
        <f>[1]data!W4*(_xlfn.XLOOKUP([1]data!$C4,[2]data!$B$2:$B$218,[2]data!V$2:V$218)/100)</f>
        <v>35.83413014976</v>
      </c>
      <c r="AA3">
        <f>[1]data!X4*(_xlfn.XLOOKUP([1]data!$C4,[2]data!$B$2:$B$218,[2]data!W$2:W$218)/100)</f>
        <v>41.134723890079997</v>
      </c>
      <c r="AB3">
        <f>[1]data!Y4*(_xlfn.XLOOKUP([1]data!$C4,[2]data!$B$2:$B$218,[2]data!X$2:X$218)/100)</f>
        <v>46.602757561800004</v>
      </c>
      <c r="AC3">
        <f>[1]data!Z4*(_xlfn.XLOOKUP([1]data!$C4,[2]data!$B$2:$B$218,[2]data!Y$2:Y$218)/100)</f>
        <v>52.153616230560004</v>
      </c>
      <c r="AD3">
        <f>[1]data!AA4*(_xlfn.XLOOKUP([1]data!$C4,[2]data!$B$2:$B$218,[2]data!Z$2:Z$218)/100)</f>
        <v>57.673536088980079</v>
      </c>
      <c r="AE3">
        <f>[1]data!AB4*(_xlfn.XLOOKUP([1]data!$C4,[2]data!$B$2:$B$218,[2]data!AA$2:AA$218)/100)</f>
        <v>63.133354014639998</v>
      </c>
      <c r="AF3">
        <f>[1]data!AC4*(_xlfn.XLOOKUP([1]data!$C4,[2]data!$B$2:$B$218,[2]data!AB$2:AB$218)/100)</f>
        <v>68.369154480960006</v>
      </c>
      <c r="AG3">
        <f>[1]data!AD4*(_xlfn.XLOOKUP([1]data!$C4,[2]data!$B$2:$B$218,[2]data!AC$2:AC$218)/100)</f>
        <v>73.24128553125</v>
      </c>
      <c r="AH3">
        <f>[1]data!AE4*(_xlfn.XLOOKUP([1]data!$C4,[2]data!$B$2:$B$218,[2]data!AD$2:AD$218)/100)</f>
        <v>77.710759437419995</v>
      </c>
      <c r="AI3">
        <f>[1]data!AF4*(_xlfn.XLOOKUP([1]data!$C4,[2]data!$B$2:$B$218,[2]data!AE$2:AE$218)/100)</f>
        <v>81.625083571640005</v>
      </c>
      <c r="AJ3">
        <f>[1]data!AG4*(_xlfn.XLOOKUP([1]data!$C4,[2]data!$B$2:$B$218,[2]data!AF$2:AF$218)/100)</f>
        <v>84.887427845879998</v>
      </c>
      <c r="AK3">
        <f>[1]data!AH4*(_xlfn.XLOOKUP([1]data!$C4,[2]data!$B$2:$B$218,[2]data!AG$2:AG$218)/100)</f>
        <v>87.423613534400005</v>
      </c>
      <c r="AL3">
        <f>[1]data!AI4*(_xlfn.XLOOKUP([1]data!$C4,[2]data!$B$2:$B$218,[2]data!AH$2:AH$218)/100)</f>
        <v>89.433690977139989</v>
      </c>
      <c r="AM3">
        <f>[1]data!AJ4*(_xlfn.XLOOKUP([1]data!$C4,[2]data!$B$2:$B$218,[2]data!AI$2:AI$218)/100)</f>
        <v>90.952646762120011</v>
      </c>
    </row>
    <row r="4" spans="1:39" x14ac:dyDescent="0.25">
      <c r="A4" t="s">
        <v>30</v>
      </c>
      <c r="B4" t="s">
        <v>31</v>
      </c>
      <c r="C4" t="s">
        <v>36</v>
      </c>
      <c r="D4" t="s">
        <v>277</v>
      </c>
      <c r="E4" t="str">
        <f>_xlfn.XLOOKUP(D4,[6]Feuil1!$C$2:$C$248,[6]Feuil1!$B$2:$B$248)</f>
        <v>AL</v>
      </c>
      <c r="F4" t="s">
        <v>33</v>
      </c>
      <c r="G4" t="str">
        <f>_xlfn.XLOOKUP(C4,[3]Sheet1!$B$2:$B$172,[3]Sheet1!$D$2:$D$172)</f>
        <v>Central Europe</v>
      </c>
      <c r="H4" t="s">
        <v>34</v>
      </c>
      <c r="I4">
        <f>[1]data!F5*(_xlfn.XLOOKUP([1]data!$C5,[2]data!$B$2:$B$218,[2]data!E$2:E$218)/100)</f>
        <v>0.25306716999999995</v>
      </c>
      <c r="J4">
        <f>[1]data!G5*(_xlfn.XLOOKUP([1]data!$C5,[2]data!$B$2:$B$218,[2]data!F$2:F$218)/100)</f>
        <v>0.38487793699999989</v>
      </c>
      <c r="K4">
        <f>[1]data!H5*(_xlfn.XLOOKUP([1]data!$C5,[2]data!$B$2:$B$218,[2]data!G$2:G$218)/100)</f>
        <v>0.516575699</v>
      </c>
      <c r="L4">
        <f>[1]data!I5*(_xlfn.XLOOKUP([1]data!$C5,[2]data!$B$2:$B$218,[2]data!H$2:H$218)/100)</f>
        <v>0.61758840000000004</v>
      </c>
      <c r="M4">
        <f>[1]data!J5*(_xlfn.XLOOKUP([1]data!$C5,[2]data!$B$2:$B$218,[2]data!I$2:I$218)/100)</f>
        <v>0.72665941700000003</v>
      </c>
      <c r="N4">
        <f>[1]data!K5*(_xlfn.XLOOKUP([1]data!$C5,[2]data!$B$2:$B$218,[2]data!J$2:J$218)/100)</f>
        <v>0.85605656999999991</v>
      </c>
      <c r="O4">
        <f>[1]data!L5*(_xlfn.XLOOKUP([1]data!$C5,[2]data!$B$2:$B$218,[2]data!K$2:K$218)/100)</f>
        <v>0.98550761399999998</v>
      </c>
      <c r="P4">
        <f>[1]data!M5*(_xlfn.XLOOKUP([1]data!$C5,[2]data!$B$2:$B$218,[2]data!L$2:L$218)/100)</f>
        <v>1.1066363100000001</v>
      </c>
      <c r="Q4">
        <f>[1]data!N5*(_xlfn.XLOOKUP([1]data!$C5,[2]data!$B$2:$B$218,[2]data!M$2:M$218)/100)</f>
        <v>1.1975825679999998</v>
      </c>
      <c r="R4">
        <f>[1]data!O5*(_xlfn.XLOOKUP([1]data!$C5,[2]data!$B$2:$B$218,[2]data!N$2:N$218)/100)</f>
        <v>1.2797944400000001</v>
      </c>
      <c r="S4">
        <f>[1]data!P5*(_xlfn.XLOOKUP([1]data!$C5,[2]data!$B$2:$B$218,[2]data!O$2:O$218)/100)</f>
        <v>1.3326123210000003</v>
      </c>
      <c r="T4">
        <f>[1]data!Q5*(_xlfn.XLOOKUP([1]data!$C5,[2]data!$B$2:$B$218,[2]data!P$2:P$218)/100)</f>
        <v>1.4231680230000001</v>
      </c>
      <c r="U4">
        <f>[1]data!R5*(_xlfn.XLOOKUP([1]data!$C5,[2]data!$B$2:$B$218,[2]data!Q$2:Q$218)/100)</f>
        <v>1.524708234</v>
      </c>
      <c r="V4">
        <f>[1]data!S5*(_xlfn.XLOOKUP([1]data!$C5,[2]data!$B$2:$B$218,[2]data!R$2:R$218)/100)</f>
        <v>1.6549315439999999</v>
      </c>
      <c r="W4">
        <f>[1]data!T5*(_xlfn.XLOOKUP([1]data!$C5,[2]data!$B$2:$B$218,[2]data!S$2:S$218)/100)</f>
        <v>1.7835927300000001</v>
      </c>
      <c r="X4">
        <f>[1]data!U5*(_xlfn.XLOOKUP([1]data!$C5,[2]data!$B$2:$B$218,[2]data!T$2:T$218)/100)</f>
        <v>1.8033424354799994</v>
      </c>
      <c r="Y4">
        <f>[1]data!V5*(_xlfn.XLOOKUP([1]data!$C5,[2]data!$B$2:$B$218,[2]data!U$2:U$218)/100)</f>
        <v>1.8153071295000003</v>
      </c>
      <c r="Z4">
        <f>[1]data!W5*(_xlfn.XLOOKUP([1]data!$C5,[2]data!$B$2:$B$218,[2]data!V$2:V$218)/100)</f>
        <v>1.8038586764699998</v>
      </c>
      <c r="AA4">
        <f>[1]data!X5*(_xlfn.XLOOKUP([1]data!$C5,[2]data!$B$2:$B$218,[2]data!W$2:W$218)/100)</f>
        <v>1.7751391550100004</v>
      </c>
      <c r="AB4">
        <f>[1]data!Y5*(_xlfn.XLOOKUP([1]data!$C5,[2]data!$B$2:$B$218,[2]data!X$2:X$218)/100)</f>
        <v>1.7347520395399991</v>
      </c>
      <c r="AC4">
        <f>[1]data!Z5*(_xlfn.XLOOKUP([1]data!$C5,[2]data!$B$2:$B$218,[2]data!Y$2:Y$218)/100)</f>
        <v>1.6869640257000003</v>
      </c>
      <c r="AD4">
        <f>[1]data!AA5*(_xlfn.XLOOKUP([1]data!$C5,[2]data!$B$2:$B$218,[2]data!Z$2:Z$218)/100)</f>
        <v>1.6345404102900001</v>
      </c>
      <c r="AE4">
        <f>[1]data!AB5*(_xlfn.XLOOKUP([1]data!$C5,[2]data!$B$2:$B$218,[2]data!AA$2:AA$218)/100)</f>
        <v>1.57946655496</v>
      </c>
      <c r="AF4">
        <f>[1]data!AC5*(_xlfn.XLOOKUP([1]data!$C5,[2]data!$B$2:$B$218,[2]data!AB$2:AB$218)/100)</f>
        <v>1.5282644349599999</v>
      </c>
      <c r="AG4">
        <f>[1]data!AD5*(_xlfn.XLOOKUP([1]data!$C5,[2]data!$B$2:$B$218,[2]data!AC$2:AC$218)/100)</f>
        <v>1.4807010932499998</v>
      </c>
      <c r="AH4">
        <f>[1]data!AE5*(_xlfn.XLOOKUP([1]data!$C5,[2]data!$B$2:$B$218,[2]data!AD$2:AD$218)/100)</f>
        <v>1.4354173560999992</v>
      </c>
      <c r="AI4">
        <f>[1]data!AF5*(_xlfn.XLOOKUP([1]data!$C5,[2]data!$B$2:$B$218,[2]data!AE$2:AE$218)/100)</f>
        <v>1.3910128023600001</v>
      </c>
      <c r="AJ4">
        <f>[1]data!AG5*(_xlfn.XLOOKUP([1]data!$C5,[2]data!$B$2:$B$218,[2]data!AF$2:AF$218)/100)</f>
        <v>1.3468693862399994</v>
      </c>
      <c r="AK4">
        <f>[1]data!AH5*(_xlfn.XLOOKUP([1]data!$C5,[2]data!$B$2:$B$218,[2]data!AG$2:AG$218)/100)</f>
        <v>1.3029443897200002</v>
      </c>
      <c r="AL4">
        <f>[1]data!AI5*(_xlfn.XLOOKUP([1]data!$C5,[2]data!$B$2:$B$218,[2]data!AH$2:AH$218)/100)</f>
        <v>1.2619128553799999</v>
      </c>
      <c r="AM4">
        <f>[1]data!AJ5*(_xlfn.XLOOKUP([1]data!$C5,[2]data!$B$2:$B$218,[2]data!AI$2:AI$218)/100)</f>
        <v>1.22674159171</v>
      </c>
    </row>
    <row r="5" spans="1:39" x14ac:dyDescent="0.25">
      <c r="A5" t="s">
        <v>30</v>
      </c>
      <c r="B5" t="s">
        <v>31</v>
      </c>
      <c r="C5" t="s">
        <v>37</v>
      </c>
      <c r="D5" t="s">
        <v>278</v>
      </c>
      <c r="E5" t="str">
        <f>_xlfn.XLOOKUP(D5,[6]Feuil1!$C$2:$C$248,[6]Feuil1!$B$2:$B$248)</f>
        <v>AE</v>
      </c>
      <c r="F5" t="s">
        <v>33</v>
      </c>
      <c r="G5" t="str">
        <f>_xlfn.XLOOKUP(C5,[3]Sheet1!$B$2:$B$172,[3]Sheet1!$D$2:$D$172)</f>
        <v>Middle East</v>
      </c>
      <c r="H5" t="s">
        <v>34</v>
      </c>
      <c r="I5">
        <f>[1]data!F6*(_xlfn.XLOOKUP([1]data!$C6,[2]data!$B$2:$B$218,[2]data!E$2:E$218)/100)</f>
        <v>3.9266160000000001E-2</v>
      </c>
      <c r="J5">
        <f>[1]data!G6*(_xlfn.XLOOKUP([1]data!$C6,[2]data!$B$2:$B$218,[2]data!F$2:F$218)/100)</f>
        <v>6.3919761999999991E-2</v>
      </c>
      <c r="K5">
        <f>[1]data!H6*(_xlfn.XLOOKUP([1]data!$C6,[2]data!$B$2:$B$218,[2]data!G$2:G$218)/100)</f>
        <v>9.5359635000000012E-2</v>
      </c>
      <c r="L5">
        <f>[1]data!I6*(_xlfn.XLOOKUP([1]data!$C6,[2]data!$B$2:$B$218,[2]data!H$2:H$218)/100)</f>
        <v>0.131698392</v>
      </c>
      <c r="M5">
        <f>[1]data!J6*(_xlfn.XLOOKUP([1]data!$C6,[2]data!$B$2:$B$218,[2]data!I$2:I$218)/100)</f>
        <v>0.21964471200000002</v>
      </c>
      <c r="N5">
        <f>[1]data!K6*(_xlfn.XLOOKUP([1]data!$C6,[2]data!$B$2:$B$218,[2]data!J$2:J$218)/100)</f>
        <v>0.41292908999999994</v>
      </c>
      <c r="O5">
        <f>[1]data!L6*(_xlfn.XLOOKUP([1]data!$C6,[2]data!$B$2:$B$218,[2]data!K$2:K$218)/100)</f>
        <v>0.77564078700000005</v>
      </c>
      <c r="P5">
        <f>[1]data!M6*(_xlfn.XLOOKUP([1]data!$C6,[2]data!$B$2:$B$218,[2]data!L$2:L$218)/100)</f>
        <v>1.0723731479999998</v>
      </c>
      <c r="Q5">
        <f>[1]data!N6*(_xlfn.XLOOKUP([1]data!$C6,[2]data!$B$2:$B$218,[2]data!M$2:M$218)/100)</f>
        <v>1.4601749259999999</v>
      </c>
      <c r="R5">
        <f>[1]data!O6*(_xlfn.XLOOKUP([1]data!$C6,[2]data!$B$2:$B$218,[2]data!N$2:N$218)/100)</f>
        <v>1.864708236</v>
      </c>
      <c r="S5">
        <f>[1]data!P6*(_xlfn.XLOOKUP([1]data!$C6,[2]data!$B$2:$B$218,[2]data!O$2:O$218)/100)</f>
        <v>2.5552666360000003</v>
      </c>
      <c r="T5">
        <f>[1]data!Q6*(_xlfn.XLOOKUP([1]data!$C6,[2]data!$B$2:$B$218,[2]data!P$2:P$218)/100)</f>
        <v>3.3605180419999998</v>
      </c>
      <c r="U5">
        <f>[1]data!R6*(_xlfn.XLOOKUP([1]data!$C6,[2]data!$B$2:$B$218,[2]data!Q$2:Q$218)/100)</f>
        <v>7.0929864309999999</v>
      </c>
      <c r="V5">
        <f>[1]data!S6*(_xlfn.XLOOKUP([1]data!$C6,[2]data!$B$2:$B$218,[2]data!R$2:R$218)/100)</f>
        <v>7.6078358159999997</v>
      </c>
      <c r="W5">
        <f>[1]data!T6*(_xlfn.XLOOKUP([1]data!$C6,[2]data!$B$2:$B$218,[2]data!S$2:S$218)/100)</f>
        <v>8.0453719800000005</v>
      </c>
      <c r="X5">
        <f>[1]data!U6*(_xlfn.XLOOKUP([1]data!$C6,[2]data!$B$2:$B$218,[2]data!T$2:T$218)/100)</f>
        <v>8.6208422680800005</v>
      </c>
      <c r="Y5">
        <f>[1]data!V6*(_xlfn.XLOOKUP([1]data!$C6,[2]data!$B$2:$B$218,[2]data!U$2:U$218)/100)</f>
        <v>9.1582853165999989</v>
      </c>
      <c r="Z5">
        <f>[1]data!W6*(_xlfn.XLOOKUP([1]data!$C6,[2]data!$B$2:$B$218,[2]data!V$2:V$218)/100)</f>
        <v>9.6259154227200003</v>
      </c>
      <c r="AA5">
        <f>[1]data!X6*(_xlfn.XLOOKUP([1]data!$C6,[2]data!$B$2:$B$218,[2]data!W$2:W$218)/100)</f>
        <v>10.0323037444</v>
      </c>
      <c r="AB5">
        <f>[1]data!Y6*(_xlfn.XLOOKUP([1]data!$C6,[2]data!$B$2:$B$218,[2]data!X$2:X$218)/100)</f>
        <v>10.403772835400002</v>
      </c>
      <c r="AC5">
        <f>[1]data!Z6*(_xlfn.XLOOKUP([1]data!$C6,[2]data!$B$2:$B$218,[2]data!Y$2:Y$218)/100)</f>
        <v>10.743977343749998</v>
      </c>
      <c r="AD5">
        <f>[1]data!AA6*(_xlfn.XLOOKUP([1]data!$C6,[2]data!$B$2:$B$218,[2]data!Z$2:Z$218)/100)</f>
        <v>11.01627061668</v>
      </c>
      <c r="AE5">
        <f>[1]data!AB6*(_xlfn.XLOOKUP([1]data!$C6,[2]data!$B$2:$B$218,[2]data!AA$2:AA$218)/100)</f>
        <v>11.186752902929999</v>
      </c>
      <c r="AF5">
        <f>[1]data!AC6*(_xlfn.XLOOKUP([1]data!$C6,[2]data!$B$2:$B$218,[2]data!AB$2:AB$218)/100)</f>
        <v>11.206989130050001</v>
      </c>
      <c r="AG5">
        <f>[1]data!AD6*(_xlfn.XLOOKUP([1]data!$C6,[2]data!$B$2:$B$218,[2]data!AC$2:AC$218)/100)</f>
        <v>11.078711998200001</v>
      </c>
      <c r="AH5">
        <f>[1]data!AE6*(_xlfn.XLOOKUP([1]data!$C6,[2]data!$B$2:$B$218,[2]data!AD$2:AD$218)/100)</f>
        <v>10.825124789350001</v>
      </c>
      <c r="AI5">
        <f>[1]data!AF6*(_xlfn.XLOOKUP([1]data!$C6,[2]data!$B$2:$B$218,[2]data!AE$2:AE$218)/100)</f>
        <v>10.49222939259</v>
      </c>
      <c r="AJ5">
        <f>[1]data!AG6*(_xlfn.XLOOKUP([1]data!$C6,[2]data!$B$2:$B$218,[2]data!AF$2:AF$218)/100)</f>
        <v>10.136503653769999</v>
      </c>
      <c r="AK5">
        <f>[1]data!AH6*(_xlfn.XLOOKUP([1]data!$C6,[2]data!$B$2:$B$218,[2]data!AG$2:AG$218)/100)</f>
        <v>9.8016511462399993</v>
      </c>
      <c r="AL5">
        <f>[1]data!AI6*(_xlfn.XLOOKUP([1]data!$C6,[2]data!$B$2:$B$218,[2]data!AH$2:AH$218)/100)</f>
        <v>9.5121651712499915</v>
      </c>
      <c r="AM5">
        <f>[1]data!AJ6*(_xlfn.XLOOKUP([1]data!$C6,[2]data!$B$2:$B$218,[2]data!AI$2:AI$218)/100)</f>
        <v>9.2473714875000077</v>
      </c>
    </row>
    <row r="6" spans="1:39" x14ac:dyDescent="0.25">
      <c r="A6" t="s">
        <v>30</v>
      </c>
      <c r="B6" t="s">
        <v>31</v>
      </c>
      <c r="C6" t="s">
        <v>38</v>
      </c>
      <c r="D6" t="s">
        <v>279</v>
      </c>
      <c r="E6" t="str">
        <f>_xlfn.XLOOKUP(D6,[6]Feuil1!$C$2:$C$248,[6]Feuil1!$B$2:$B$248)</f>
        <v>AR</v>
      </c>
      <c r="F6" t="s">
        <v>33</v>
      </c>
      <c r="G6" t="str">
        <f>_xlfn.XLOOKUP(C6,[3]Sheet1!$B$2:$B$172,[3]Sheet1!$D$2:$D$172)</f>
        <v>Rest of South America</v>
      </c>
      <c r="H6" t="s">
        <v>34</v>
      </c>
      <c r="I6">
        <f>[1]data!F7*(_xlfn.XLOOKUP([1]data!$C7,[2]data!$B$2:$B$218,[2]data!E$2:E$218)/100)</f>
        <v>11.002842346000001</v>
      </c>
      <c r="J6">
        <f>[1]data!G7*(_xlfn.XLOOKUP([1]data!$C7,[2]data!$B$2:$B$218,[2]data!F$2:F$218)/100)</f>
        <v>12.901960799999998</v>
      </c>
      <c r="K6">
        <f>[1]data!H7*(_xlfn.XLOOKUP([1]data!$C7,[2]data!$B$2:$B$218,[2]data!G$2:G$218)/100)</f>
        <v>14.858078751999999</v>
      </c>
      <c r="L6">
        <f>[1]data!I7*(_xlfn.XLOOKUP([1]data!$C7,[2]data!$B$2:$B$218,[2]data!H$2:H$218)/100)</f>
        <v>16.716498776000002</v>
      </c>
      <c r="M6">
        <f>[1]data!J7*(_xlfn.XLOOKUP([1]data!$C7,[2]data!$B$2:$B$218,[2]data!I$2:I$218)/100)</f>
        <v>18.662214633000001</v>
      </c>
      <c r="N6">
        <f>[1]data!K7*(_xlfn.XLOOKUP([1]data!$C7,[2]data!$B$2:$B$218,[2]data!J$2:J$218)/100)</f>
        <v>20.792515320000003</v>
      </c>
      <c r="O6">
        <f>[1]data!L7*(_xlfn.XLOOKUP([1]data!$C7,[2]data!$B$2:$B$218,[2]data!K$2:K$218)/100)</f>
        <v>23.049861693000004</v>
      </c>
      <c r="P6">
        <f>[1]data!M7*(_xlfn.XLOOKUP([1]data!$C7,[2]data!$B$2:$B$218,[2]data!L$2:L$218)/100)</f>
        <v>25.549522699999997</v>
      </c>
      <c r="Q6">
        <f>[1]data!N7*(_xlfn.XLOOKUP([1]data!$C7,[2]data!$B$2:$B$218,[2]data!M$2:M$218)/100)</f>
        <v>28.189880940000002</v>
      </c>
      <c r="R6">
        <f>[1]data!O7*(_xlfn.XLOOKUP([1]data!$C7,[2]data!$B$2:$B$218,[2]data!N$2:N$218)/100)</f>
        <v>30.624018138</v>
      </c>
      <c r="S6">
        <f>[1]data!P7*(_xlfn.XLOOKUP([1]data!$C7,[2]data!$B$2:$B$218,[2]data!O$2:O$218)/100)</f>
        <v>32.845824</v>
      </c>
      <c r="T6">
        <f>[1]data!Q7*(_xlfn.XLOOKUP([1]data!$C7,[2]data!$B$2:$B$218,[2]data!P$2:P$218)/100)</f>
        <v>34.981095599999996</v>
      </c>
      <c r="U6">
        <f>[1]data!R7*(_xlfn.XLOOKUP([1]data!$C7,[2]data!$B$2:$B$218,[2]data!Q$2:Q$218)/100)</f>
        <v>37.130642423999994</v>
      </c>
      <c r="V6">
        <f>[1]data!S7*(_xlfn.XLOOKUP([1]data!$C7,[2]data!$B$2:$B$218,[2]data!R$2:R$218)/100)</f>
        <v>39.383692604999993</v>
      </c>
      <c r="W6">
        <f>[1]data!T7*(_xlfn.XLOOKUP([1]data!$C7,[2]data!$B$2:$B$218,[2]data!S$2:S$218)/100)</f>
        <v>41.360674160999991</v>
      </c>
      <c r="X6">
        <f>[1]data!U7*(_xlfn.XLOOKUP([1]data!$C7,[2]data!$B$2:$B$218,[2]data!T$2:T$218)/100)</f>
        <v>42.626802707820005</v>
      </c>
      <c r="Y6">
        <f>[1]data!V7*(_xlfn.XLOOKUP([1]data!$C7,[2]data!$B$2:$B$218,[2]data!U$2:U$218)/100)</f>
        <v>43.868493726339999</v>
      </c>
      <c r="Z6">
        <f>[1]data!W7*(_xlfn.XLOOKUP([1]data!$C7,[2]data!$B$2:$B$218,[2]data!V$2:V$218)/100)</f>
        <v>44.98988708772</v>
      </c>
      <c r="AA6">
        <f>[1]data!X7*(_xlfn.XLOOKUP([1]data!$C7,[2]data!$B$2:$B$218,[2]data!W$2:W$218)/100)</f>
        <v>45.976913491339999</v>
      </c>
      <c r="AB6">
        <f>[1]data!Y7*(_xlfn.XLOOKUP([1]data!$C7,[2]data!$B$2:$B$218,[2]data!X$2:X$218)/100)</f>
        <v>46.798576545630006</v>
      </c>
      <c r="AC6">
        <f>[1]data!Z7*(_xlfn.XLOOKUP([1]data!$C7,[2]data!$B$2:$B$218,[2]data!Y$2:Y$218)/100)</f>
        <v>47.440268588320002</v>
      </c>
      <c r="AD6">
        <f>[1]data!AA7*(_xlfn.XLOOKUP([1]data!$C7,[2]data!$B$2:$B$218,[2]data!Z$2:Z$218)/100)</f>
        <v>47.900519752360005</v>
      </c>
      <c r="AE6">
        <f>[1]data!AB7*(_xlfn.XLOOKUP([1]data!$C7,[2]data!$B$2:$B$218,[2]data!AA$2:AA$218)/100)</f>
        <v>48.139467130220005</v>
      </c>
      <c r="AF6">
        <f>[1]data!AC7*(_xlfn.XLOOKUP([1]data!$C7,[2]data!$B$2:$B$218,[2]data!AB$2:AB$218)/100)</f>
        <v>48.190674154900002</v>
      </c>
      <c r="AG6">
        <f>[1]data!AD7*(_xlfn.XLOOKUP([1]data!$C7,[2]data!$B$2:$B$218,[2]data!AC$2:AC$218)/100)</f>
        <v>48.08180697417</v>
      </c>
      <c r="AH6">
        <f>[1]data!AE7*(_xlfn.XLOOKUP([1]data!$C7,[2]data!$B$2:$B$218,[2]data!AD$2:AD$218)/100)</f>
        <v>47.827574036999998</v>
      </c>
      <c r="AI6">
        <f>[1]data!AF7*(_xlfn.XLOOKUP([1]data!$C7,[2]data!$B$2:$B$218,[2]data!AE$2:AE$218)/100)</f>
        <v>47.434147304000007</v>
      </c>
      <c r="AJ6">
        <f>[1]data!AG7*(_xlfn.XLOOKUP([1]data!$C7,[2]data!$B$2:$B$218,[2]data!AF$2:AF$218)/100)</f>
        <v>46.911981183500011</v>
      </c>
      <c r="AK6">
        <f>[1]data!AH7*(_xlfn.XLOOKUP([1]data!$C7,[2]data!$B$2:$B$218,[2]data!AG$2:AG$218)/100)</f>
        <v>46.279064955780001</v>
      </c>
      <c r="AL6">
        <f>[1]data!AI7*(_xlfn.XLOOKUP([1]data!$C7,[2]data!$B$2:$B$218,[2]data!AH$2:AH$218)/100)</f>
        <v>45.555229898</v>
      </c>
      <c r="AM6">
        <f>[1]data!AJ7*(_xlfn.XLOOKUP([1]data!$C7,[2]data!$B$2:$B$218,[2]data!AI$2:AI$218)/100)</f>
        <v>44.770689175139999</v>
      </c>
    </row>
    <row r="7" spans="1:39" x14ac:dyDescent="0.25">
      <c r="A7" t="s">
        <v>30</v>
      </c>
      <c r="B7" t="s">
        <v>31</v>
      </c>
      <c r="C7" t="s">
        <v>39</v>
      </c>
      <c r="D7" t="s">
        <v>280</v>
      </c>
      <c r="E7" t="str">
        <f>_xlfn.XLOOKUP(D7,[6]Feuil1!$C$2:$C$248,[6]Feuil1!$B$2:$B$248)</f>
        <v>AM</v>
      </c>
      <c r="F7" t="s">
        <v>33</v>
      </c>
      <c r="G7" t="str">
        <f>_xlfn.XLOOKUP(C7,[3]Sheet1!$B$2:$B$172,[3]Sheet1!$D$2:$D$172)</f>
        <v>Russia region</v>
      </c>
      <c r="H7" t="s">
        <v>34</v>
      </c>
      <c r="I7">
        <f>[1]data!F8*(_xlfn.XLOOKUP([1]data!$C8,[2]data!$B$2:$B$218,[2]data!E$2:E$218)/100)</f>
        <v>0.55053064299999988</v>
      </c>
      <c r="J7">
        <f>[1]data!G8*(_xlfn.XLOOKUP([1]data!$C8,[2]data!$B$2:$B$218,[2]data!F$2:F$218)/100)</f>
        <v>0.72626915999999997</v>
      </c>
      <c r="K7">
        <f>[1]data!H8*(_xlfn.XLOOKUP([1]data!$C8,[2]data!$B$2:$B$218,[2]data!G$2:G$218)/100)</f>
        <v>0.95970808800000018</v>
      </c>
      <c r="L7">
        <f>[1]data!I8*(_xlfn.XLOOKUP([1]data!$C8,[2]data!$B$2:$B$218,[2]data!H$2:H$218)/100)</f>
        <v>1.2248274120000002</v>
      </c>
      <c r="M7">
        <f>[1]data!J8*(_xlfn.XLOOKUP([1]data!$C8,[2]data!$B$2:$B$218,[2]data!I$2:I$218)/100)</f>
        <v>1.501077827</v>
      </c>
      <c r="N7">
        <f>[1]data!K8*(_xlfn.XLOOKUP([1]data!$C8,[2]data!$B$2:$B$218,[2]data!J$2:J$218)/100)</f>
        <v>1.7799235920000001</v>
      </c>
      <c r="O7">
        <f>[1]data!L8*(_xlfn.XLOOKUP([1]data!$C8,[2]data!$B$2:$B$218,[2]data!K$2:K$218)/100)</f>
        <v>2.061704609</v>
      </c>
      <c r="P7">
        <f>[1]data!M8*(_xlfn.XLOOKUP([1]data!$C8,[2]data!$B$2:$B$218,[2]data!L$2:L$218)/100)</f>
        <v>2.205623299</v>
      </c>
      <c r="Q7">
        <f>[1]data!N8*(_xlfn.XLOOKUP([1]data!$C8,[2]data!$B$2:$B$218,[2]data!M$2:M$218)/100)</f>
        <v>2.3763777420000003</v>
      </c>
      <c r="R7">
        <f>[1]data!O8*(_xlfn.XLOOKUP([1]data!$C8,[2]data!$B$2:$B$218,[2]data!N$2:N$218)/100)</f>
        <v>2.2036900529999999</v>
      </c>
      <c r="S7">
        <f>[1]data!P8*(_xlfn.XLOOKUP([1]data!$C8,[2]data!$B$2:$B$218,[2]data!O$2:O$218)/100)</f>
        <v>2.0624367240000003</v>
      </c>
      <c r="T7">
        <f>[1]data!Q8*(_xlfn.XLOOKUP([1]data!$C8,[2]data!$B$2:$B$218,[2]data!P$2:P$218)/100)</f>
        <v>1.9530709110000002</v>
      </c>
      <c r="U7">
        <f>[1]data!R8*(_xlfn.XLOOKUP([1]data!$C8,[2]data!$B$2:$B$218,[2]data!Q$2:Q$218)/100)</f>
        <v>1.8738554720000002</v>
      </c>
      <c r="V7">
        <f>[1]data!S8*(_xlfn.XLOOKUP([1]data!$C8,[2]data!$B$2:$B$218,[2]data!R$2:R$218)/100)</f>
        <v>1.8204084980000002</v>
      </c>
      <c r="W7">
        <f>[1]data!T8*(_xlfn.XLOOKUP([1]data!$C8,[2]data!$B$2:$B$218,[2]data!S$2:S$218)/100)</f>
        <v>1.7803087020000001</v>
      </c>
      <c r="X7">
        <f>[1]data!U8*(_xlfn.XLOOKUP([1]data!$C8,[2]data!$B$2:$B$218,[2]data!T$2:T$218)/100)</f>
        <v>1.7981909853</v>
      </c>
      <c r="Y7">
        <f>[1]data!V8*(_xlfn.XLOOKUP([1]data!$C8,[2]data!$B$2:$B$218,[2]data!U$2:U$218)/100)</f>
        <v>1.8179345385599999</v>
      </c>
      <c r="Z7">
        <f>[1]data!W8*(_xlfn.XLOOKUP([1]data!$C8,[2]data!$B$2:$B$218,[2]data!V$2:V$218)/100)</f>
        <v>1.8277737191999996</v>
      </c>
      <c r="AA7">
        <f>[1]data!X8*(_xlfn.XLOOKUP([1]data!$C8,[2]data!$B$2:$B$218,[2]data!W$2:W$218)/100)</f>
        <v>1.8341099984999998</v>
      </c>
      <c r="AB7">
        <f>[1]data!Y8*(_xlfn.XLOOKUP([1]data!$C8,[2]data!$B$2:$B$218,[2]data!X$2:X$218)/100)</f>
        <v>1.8395007377500001</v>
      </c>
      <c r="AC7">
        <f>[1]data!Z8*(_xlfn.XLOOKUP([1]data!$C8,[2]data!$B$2:$B$218,[2]data!Y$2:Y$218)/100)</f>
        <v>1.8424847145600001</v>
      </c>
      <c r="AD7">
        <f>[1]data!AA8*(_xlfn.XLOOKUP([1]data!$C8,[2]data!$B$2:$B$218,[2]data!Z$2:Z$218)/100)</f>
        <v>1.84210706232</v>
      </c>
      <c r="AE7">
        <f>[1]data!AB8*(_xlfn.XLOOKUP([1]data!$C8,[2]data!$B$2:$B$218,[2]data!AA$2:AA$218)/100)</f>
        <v>1.838480428</v>
      </c>
      <c r="AF7">
        <f>[1]data!AC8*(_xlfn.XLOOKUP([1]data!$C8,[2]data!$B$2:$B$218,[2]data!AB$2:AB$218)/100)</f>
        <v>1.8355799814900002</v>
      </c>
      <c r="AG7">
        <f>[1]data!AD8*(_xlfn.XLOOKUP([1]data!$C8,[2]data!$B$2:$B$218,[2]data!AC$2:AC$218)/100)</f>
        <v>1.8330479634599999</v>
      </c>
      <c r="AH7">
        <f>[1]data!AE8*(_xlfn.XLOOKUP([1]data!$C8,[2]data!$B$2:$B$218,[2]data!AD$2:AD$218)/100)</f>
        <v>1.8299309190399999</v>
      </c>
      <c r="AI7">
        <f>[1]data!AF8*(_xlfn.XLOOKUP([1]data!$C8,[2]data!$B$2:$B$218,[2]data!AE$2:AE$218)/100)</f>
        <v>1.8253997865999998</v>
      </c>
      <c r="AJ7">
        <f>[1]data!AG8*(_xlfn.XLOOKUP([1]data!$C8,[2]data!$B$2:$B$218,[2]data!AF$2:AF$218)/100)</f>
        <v>1.82042989569</v>
      </c>
      <c r="AK7">
        <f>[1]data!AH8*(_xlfn.XLOOKUP([1]data!$C8,[2]data!$B$2:$B$218,[2]data!AG$2:AG$218)/100)</f>
        <v>1.8182628876799998</v>
      </c>
      <c r="AL7">
        <f>[1]data!AI8*(_xlfn.XLOOKUP([1]data!$C8,[2]data!$B$2:$B$218,[2]data!AH$2:AH$218)/100)</f>
        <v>1.8208635660000001</v>
      </c>
      <c r="AM7">
        <f>[1]data!AJ8*(_xlfn.XLOOKUP([1]data!$C8,[2]data!$B$2:$B$218,[2]data!AI$2:AI$218)/100)</f>
        <v>1.82697194004</v>
      </c>
    </row>
    <row r="8" spans="1:39" x14ac:dyDescent="0.25">
      <c r="A8" t="s">
        <v>30</v>
      </c>
      <c r="B8" t="s">
        <v>31</v>
      </c>
      <c r="C8" t="s">
        <v>40</v>
      </c>
      <c r="D8" t="s">
        <v>281</v>
      </c>
      <c r="E8" t="str">
        <f>_xlfn.XLOOKUP(D8,[6]Feuil1!$C$2:$C$248,[6]Feuil1!$B$2:$B$248)</f>
        <v>AG</v>
      </c>
      <c r="F8" t="s">
        <v>33</v>
      </c>
      <c r="G8" t="e">
        <f>_xlfn.XLOOKUP(C8,[3]Sheet1!$B$2:$B$172,[3]Sheet1!$D$2:$D$172)</f>
        <v>#N/A</v>
      </c>
      <c r="H8" t="s">
        <v>34</v>
      </c>
      <c r="I8">
        <f>[1]data!F9*(_xlfn.XLOOKUP([1]data!$C9,[2]data!$B$2:$B$218,[2]data!E$2:E$218)/100)</f>
        <v>1.3529348E-2</v>
      </c>
      <c r="J8">
        <f>[1]data!G9*(_xlfn.XLOOKUP([1]data!$C9,[2]data!$B$2:$B$218,[2]data!F$2:F$218)/100)</f>
        <v>1.736973E-2</v>
      </c>
      <c r="K8">
        <f>[1]data!H9*(_xlfn.XLOOKUP([1]data!$C9,[2]data!$B$2:$B$218,[2]data!G$2:G$218)/100)</f>
        <v>2.1763540000000001E-2</v>
      </c>
      <c r="L8">
        <f>[1]data!I9*(_xlfn.XLOOKUP([1]data!$C9,[2]data!$B$2:$B$218,[2]data!H$2:H$218)/100)</f>
        <v>2.1653291999999998E-2</v>
      </c>
      <c r="M8">
        <f>[1]data!J9*(_xlfn.XLOOKUP([1]data!$C9,[2]data!$B$2:$B$218,[2]data!I$2:I$218)/100)</f>
        <v>2.1732048E-2</v>
      </c>
      <c r="N8">
        <f>[1]data!K9*(_xlfn.XLOOKUP([1]data!$C9,[2]data!$B$2:$B$218,[2]data!J$2:J$218)/100)</f>
        <v>2.1922542000000003E-2</v>
      </c>
      <c r="O8">
        <f>[1]data!L9*(_xlfn.XLOOKUP([1]data!$C9,[2]data!$B$2:$B$218,[2]data!K$2:K$218)/100)</f>
        <v>2.2414572000000001E-2</v>
      </c>
      <c r="P8">
        <f>[1]data!M9*(_xlfn.XLOOKUP([1]data!$C9,[2]data!$B$2:$B$218,[2]data!L$2:L$218)/100)</f>
        <v>2.2824199999999999E-2</v>
      </c>
      <c r="Q8">
        <f>[1]data!N9*(_xlfn.XLOOKUP([1]data!$C9,[2]data!$B$2:$B$218,[2]data!M$2:M$218)/100)</f>
        <v>2.2469441999999999E-2</v>
      </c>
      <c r="R8">
        <f>[1]data!O9*(_xlfn.XLOOKUP([1]data!$C9,[2]data!$B$2:$B$218,[2]data!N$2:N$218)/100)</f>
        <v>2.3021399999999997E-2</v>
      </c>
      <c r="S8">
        <f>[1]data!P9*(_xlfn.XLOOKUP([1]data!$C9,[2]data!$B$2:$B$218,[2]data!O$2:O$218)/100)</f>
        <v>2.3889783000000001E-2</v>
      </c>
      <c r="T8">
        <f>[1]data!Q9*(_xlfn.XLOOKUP([1]data!$C9,[2]data!$B$2:$B$218,[2]data!P$2:P$218)/100)</f>
        <v>2.3178959999999995E-2</v>
      </c>
      <c r="U8">
        <f>[1]data!R9*(_xlfn.XLOOKUP([1]data!$C9,[2]data!$B$2:$B$218,[2]data!Q$2:Q$218)/100)</f>
        <v>2.2312706000000002E-2</v>
      </c>
      <c r="V8">
        <f>[1]data!S9*(_xlfn.XLOOKUP([1]data!$C9,[2]data!$B$2:$B$218,[2]data!R$2:R$218)/100)</f>
        <v>2.2398749999999999E-2</v>
      </c>
      <c r="W8">
        <f>[1]data!T9*(_xlfn.XLOOKUP([1]data!$C9,[2]data!$B$2:$B$218,[2]data!S$2:S$218)/100)</f>
        <v>2.2539500000000001E-2</v>
      </c>
      <c r="X8">
        <f>[1]data!U9*(_xlfn.XLOOKUP([1]data!$C9,[2]data!$B$2:$B$218,[2]data!T$2:T$218)/100)</f>
        <v>2.5508592480000002E-2</v>
      </c>
      <c r="Y8">
        <f>[1]data!V9*(_xlfn.XLOOKUP([1]data!$C9,[2]data!$B$2:$B$218,[2]data!U$2:U$218)/100)</f>
        <v>2.8586203679999998E-2</v>
      </c>
      <c r="Z8">
        <f>[1]data!W9*(_xlfn.XLOOKUP([1]data!$C9,[2]data!$B$2:$B$218,[2]data!V$2:V$218)/100)</f>
        <v>3.1719341310000003E-2</v>
      </c>
      <c r="AA8">
        <f>[1]data!X9*(_xlfn.XLOOKUP([1]data!$C9,[2]data!$B$2:$B$218,[2]data!W$2:W$218)/100)</f>
        <v>3.4837734399999654E-2</v>
      </c>
      <c r="AB8">
        <f>[1]data!Y9*(_xlfn.XLOOKUP([1]data!$C9,[2]data!$B$2:$B$218,[2]data!X$2:X$218)/100)</f>
        <v>3.786827475E-2</v>
      </c>
      <c r="AC8">
        <f>[1]data!Z9*(_xlfn.XLOOKUP([1]data!$C9,[2]data!$B$2:$B$218,[2]data!Y$2:Y$218)/100)</f>
        <v>4.0798080639999998E-2</v>
      </c>
      <c r="AD8">
        <f>[1]data!AA9*(_xlfn.XLOOKUP([1]data!$C9,[2]data!$B$2:$B$218,[2]data!Z$2:Z$218)/100)</f>
        <v>4.3600572800000001E-2</v>
      </c>
      <c r="AE8">
        <f>[1]data!AB9*(_xlfn.XLOOKUP([1]data!$C9,[2]data!$B$2:$B$218,[2]data!AA$2:AA$218)/100)</f>
        <v>4.6299121580000005E-2</v>
      </c>
      <c r="AF8">
        <f>[1]data!AC9*(_xlfn.XLOOKUP([1]data!$C9,[2]data!$B$2:$B$218,[2]data!AB$2:AB$218)/100)</f>
        <v>4.8818567200000003E-2</v>
      </c>
      <c r="AG8">
        <f>[1]data!AD9*(_xlfn.XLOOKUP([1]data!$C9,[2]data!$B$2:$B$218,[2]data!AC$2:AC$218)/100)</f>
        <v>5.1124287439999999E-2</v>
      </c>
      <c r="AH8">
        <f>[1]data!AE9*(_xlfn.XLOOKUP([1]data!$C9,[2]data!$B$2:$B$218,[2]data!AD$2:AD$218)/100)</f>
        <v>5.3183610870000009E-2</v>
      </c>
      <c r="AI8">
        <f>[1]data!AF9*(_xlfn.XLOOKUP([1]data!$C9,[2]data!$B$2:$B$218,[2]data!AE$2:AE$218)/100)</f>
        <v>5.4932051900000008E-2</v>
      </c>
      <c r="AJ8">
        <f>[1]data!AG9*(_xlfn.XLOOKUP([1]data!$C9,[2]data!$B$2:$B$218,[2]data!AF$2:AF$218)/100)</f>
        <v>5.6321321680000008E-2</v>
      </c>
      <c r="AK8">
        <f>[1]data!AH9*(_xlfn.XLOOKUP([1]data!$C9,[2]data!$B$2:$B$218,[2]data!AG$2:AG$218)/100)</f>
        <v>5.7328693919999993E-2</v>
      </c>
      <c r="AL8">
        <f>[1]data!AI9*(_xlfn.XLOOKUP([1]data!$C9,[2]data!$B$2:$B$218,[2]data!AH$2:AH$218)/100)</f>
        <v>5.797237056E-2</v>
      </c>
      <c r="AM8">
        <f>[1]data!AJ9*(_xlfn.XLOOKUP([1]data!$C9,[2]data!$B$2:$B$218,[2]data!AI$2:AI$218)/100)</f>
        <v>5.8231723000000006E-2</v>
      </c>
    </row>
    <row r="9" spans="1:39" x14ac:dyDescent="0.25">
      <c r="A9" t="s">
        <v>30</v>
      </c>
      <c r="B9" t="s">
        <v>31</v>
      </c>
      <c r="C9" t="s">
        <v>41</v>
      </c>
      <c r="D9" t="s">
        <v>282</v>
      </c>
      <c r="E9" t="str">
        <f>_xlfn.XLOOKUP(D9,[6]Feuil1!$C$2:$C$248,[6]Feuil1!$B$2:$B$248)</f>
        <v>AU</v>
      </c>
      <c r="F9" t="s">
        <v>33</v>
      </c>
      <c r="G9" t="str">
        <f>_xlfn.XLOOKUP(C9,[3]Sheet1!$B$2:$B$172,[3]Sheet1!$D$2:$D$172)</f>
        <v>Oceania</v>
      </c>
      <c r="H9" t="s">
        <v>34</v>
      </c>
      <c r="I9">
        <f>[1]data!F10*(_xlfn.XLOOKUP([1]data!$C10,[2]data!$B$2:$B$218,[2]data!E$2:E$218)/100)</f>
        <v>6.1976529999999999</v>
      </c>
      <c r="J9">
        <f>[1]data!G10*(_xlfn.XLOOKUP([1]data!$C10,[2]data!$B$2:$B$218,[2]data!F$2:F$218)/100)</f>
        <v>7.225218174000001</v>
      </c>
      <c r="K9">
        <f>[1]data!H10*(_xlfn.XLOOKUP([1]data!$C10,[2]data!$B$2:$B$218,[2]data!G$2:G$218)/100)</f>
        <v>8.2916103249999988</v>
      </c>
      <c r="L9">
        <f>[1]data!I10*(_xlfn.XLOOKUP([1]data!$C10,[2]data!$B$2:$B$218,[2]data!H$2:H$218)/100)</f>
        <v>9.340449972</v>
      </c>
      <c r="M9">
        <f>[1]data!J10*(_xlfn.XLOOKUP([1]data!$C10,[2]data!$B$2:$B$218,[2]data!I$2:I$218)/100)</f>
        <v>10.410889439999998</v>
      </c>
      <c r="N9">
        <f>[1]data!K10*(_xlfn.XLOOKUP([1]data!$C10,[2]data!$B$2:$B$218,[2]data!J$2:J$218)/100)</f>
        <v>11.710236368</v>
      </c>
      <c r="O9">
        <f>[1]data!L10*(_xlfn.XLOOKUP([1]data!$C10,[2]data!$B$2:$B$218,[2]data!K$2:K$218)/100)</f>
        <v>12.501435735999999</v>
      </c>
      <c r="P9">
        <f>[1]data!M10*(_xlfn.XLOOKUP([1]data!$C10,[2]data!$B$2:$B$218,[2]data!L$2:L$218)/100)</f>
        <v>13.420151431999999</v>
      </c>
      <c r="Q9">
        <f>[1]data!N10*(_xlfn.XLOOKUP([1]data!$C10,[2]data!$B$2:$B$218,[2]data!M$2:M$218)/100)</f>
        <v>14.457268644000001</v>
      </c>
      <c r="R9">
        <f>[1]data!O10*(_xlfn.XLOOKUP([1]data!$C10,[2]data!$B$2:$B$218,[2]data!N$2:N$218)/100)</f>
        <v>15.195354456</v>
      </c>
      <c r="S9">
        <f>[1]data!P10*(_xlfn.XLOOKUP([1]data!$C10,[2]data!$B$2:$B$218,[2]data!O$2:O$218)/100)</f>
        <v>15.916589545999999</v>
      </c>
      <c r="T9">
        <f>[1]data!Q10*(_xlfn.XLOOKUP([1]data!$C10,[2]data!$B$2:$B$218,[2]data!P$2:P$218)/100)</f>
        <v>16.953949980000001</v>
      </c>
      <c r="U9">
        <f>[1]data!R10*(_xlfn.XLOOKUP([1]data!$C10,[2]data!$B$2:$B$218,[2]data!Q$2:Q$218)/100)</f>
        <v>18.62213418</v>
      </c>
      <c r="V9">
        <f>[1]data!S10*(_xlfn.XLOOKUP([1]data!$C10,[2]data!$B$2:$B$218,[2]data!R$2:R$218)/100)</f>
        <v>20.260712365999996</v>
      </c>
      <c r="W9">
        <f>[1]data!T10*(_xlfn.XLOOKUP([1]data!$C10,[2]data!$B$2:$B$218,[2]data!S$2:S$218)/100)</f>
        <v>22.019085745999998</v>
      </c>
      <c r="X9">
        <f>[1]data!U10*(_xlfn.XLOOKUP([1]data!$C10,[2]data!$B$2:$B$218,[2]data!T$2:T$218)/100)</f>
        <v>23.114303689980002</v>
      </c>
      <c r="Y9">
        <f>[1]data!V10*(_xlfn.XLOOKUP([1]data!$C10,[2]data!$B$2:$B$218,[2]data!U$2:U$218)/100)</f>
        <v>24.191637269800001</v>
      </c>
      <c r="Z9">
        <f>[1]data!W10*(_xlfn.XLOOKUP([1]data!$C10,[2]data!$B$2:$B$218,[2]data!V$2:V$218)/100)</f>
        <v>25.219941518639999</v>
      </c>
      <c r="AA9">
        <f>[1]data!X10*(_xlfn.XLOOKUP([1]data!$C10,[2]data!$B$2:$B$218,[2]data!W$2:W$218)/100)</f>
        <v>26.213190775440001</v>
      </c>
      <c r="AB9">
        <f>[1]data!Y10*(_xlfn.XLOOKUP([1]data!$C10,[2]data!$B$2:$B$218,[2]data!X$2:X$218)/100)</f>
        <v>27.203188520250006</v>
      </c>
      <c r="AC9">
        <f>[1]data!Z10*(_xlfn.XLOOKUP([1]data!$C10,[2]data!$B$2:$B$218,[2]data!Y$2:Y$218)/100)</f>
        <v>28.21138248734</v>
      </c>
      <c r="AD9">
        <f>[1]data!AA10*(_xlfn.XLOOKUP([1]data!$C10,[2]data!$B$2:$B$218,[2]data!Z$2:Z$218)/100)</f>
        <v>29.169630401800003</v>
      </c>
      <c r="AE9">
        <f>[1]data!AB10*(_xlfn.XLOOKUP([1]data!$C10,[2]data!$B$2:$B$218,[2]data!AA$2:AA$218)/100)</f>
        <v>30.075014085660001</v>
      </c>
      <c r="AF9">
        <f>[1]data!AC10*(_xlfn.XLOOKUP([1]data!$C10,[2]data!$B$2:$B$218,[2]data!AB$2:AB$218)/100)</f>
        <v>30.886088450700001</v>
      </c>
      <c r="AG9">
        <f>[1]data!AD10*(_xlfn.XLOOKUP([1]data!$C10,[2]data!$B$2:$B$218,[2]data!AC$2:AC$218)/100)</f>
        <v>31.611071925600005</v>
      </c>
      <c r="AH9">
        <f>[1]data!AE10*(_xlfn.XLOOKUP([1]data!$C10,[2]data!$B$2:$B$218,[2]data!AD$2:AD$218)/100)</f>
        <v>32.246497220489999</v>
      </c>
      <c r="AI9">
        <f>[1]data!AF10*(_xlfn.XLOOKUP([1]data!$C10,[2]data!$B$2:$B$218,[2]data!AE$2:AE$218)/100)</f>
        <v>32.774361465299997</v>
      </c>
      <c r="AJ9">
        <f>[1]data!AG10*(_xlfn.XLOOKUP([1]data!$C10,[2]data!$B$2:$B$218,[2]data!AF$2:AF$218)/100)</f>
        <v>33.166602800999996</v>
      </c>
      <c r="AK9">
        <f>[1]data!AH10*(_xlfn.XLOOKUP([1]data!$C10,[2]data!$B$2:$B$218,[2]data!AG$2:AG$218)/100)</f>
        <v>33.418047698100004</v>
      </c>
      <c r="AL9">
        <f>[1]data!AI10*(_xlfn.XLOOKUP([1]data!$C10,[2]data!$B$2:$B$218,[2]data!AH$2:AH$218)/100)</f>
        <v>33.553826475709997</v>
      </c>
      <c r="AM9">
        <f>[1]data!AJ10*(_xlfn.XLOOKUP([1]data!$C10,[2]data!$B$2:$B$218,[2]data!AI$2:AI$218)/100)</f>
        <v>33.602497624860007</v>
      </c>
    </row>
    <row r="10" spans="1:39" x14ac:dyDescent="0.25">
      <c r="A10" t="s">
        <v>30</v>
      </c>
      <c r="B10" t="s">
        <v>31</v>
      </c>
      <c r="C10" t="s">
        <v>42</v>
      </c>
      <c r="D10" t="s">
        <v>283</v>
      </c>
      <c r="E10" t="str">
        <f>_xlfn.XLOOKUP(D10,[6]Feuil1!$C$2:$C$248,[6]Feuil1!$B$2:$B$248)</f>
        <v>AT</v>
      </c>
      <c r="F10" t="s">
        <v>33</v>
      </c>
      <c r="G10" t="str">
        <f>_xlfn.XLOOKUP(C10,[3]Sheet1!$B$2:$B$172,[3]Sheet1!$D$2:$D$172)</f>
        <v>Western Europe</v>
      </c>
      <c r="H10" t="s">
        <v>34</v>
      </c>
      <c r="I10">
        <f>[1]data!F11*(_xlfn.XLOOKUP([1]data!$C11,[2]data!$B$2:$B$218,[2]data!E$2:E$218)/100)</f>
        <v>4.4124465240000008</v>
      </c>
      <c r="J10">
        <f>[1]data!G11*(_xlfn.XLOOKUP([1]data!$C11,[2]data!$B$2:$B$218,[2]data!F$2:F$218)/100)</f>
        <v>4.4580043439999999</v>
      </c>
      <c r="K10">
        <f>[1]data!H11*(_xlfn.XLOOKUP([1]data!$C11,[2]data!$B$2:$B$218,[2]data!G$2:G$218)/100)</f>
        <v>4.5479998020000005</v>
      </c>
      <c r="L10">
        <f>[1]data!I11*(_xlfn.XLOOKUP([1]data!$C11,[2]data!$B$2:$B$218,[2]data!H$2:H$218)/100)</f>
        <v>4.7104661500000002</v>
      </c>
      <c r="M10">
        <f>[1]data!J11*(_xlfn.XLOOKUP([1]data!$C11,[2]data!$B$2:$B$218,[2]data!I$2:I$218)/100)</f>
        <v>4.867049304</v>
      </c>
      <c r="N10">
        <f>[1]data!K11*(_xlfn.XLOOKUP([1]data!$C11,[2]data!$B$2:$B$218,[2]data!J$2:J$218)/100)</f>
        <v>4.9564802660000007</v>
      </c>
      <c r="O10">
        <f>[1]data!L11*(_xlfn.XLOOKUP([1]data!$C11,[2]data!$B$2:$B$218,[2]data!K$2:K$218)/100)</f>
        <v>4.9335712980000004</v>
      </c>
      <c r="P10">
        <f>[1]data!M11*(_xlfn.XLOOKUP([1]data!$C11,[2]data!$B$2:$B$218,[2]data!L$2:L$218)/100)</f>
        <v>4.8612638980000007</v>
      </c>
      <c r="Q10">
        <f>[1]data!N11*(_xlfn.XLOOKUP([1]data!$C11,[2]data!$B$2:$B$218,[2]data!M$2:M$218)/100)</f>
        <v>4.81664169</v>
      </c>
      <c r="R10">
        <f>[1]data!O11*(_xlfn.XLOOKUP([1]data!$C11,[2]data!$B$2:$B$218,[2]data!N$2:N$218)/100)</f>
        <v>4.8925966320000001</v>
      </c>
      <c r="S10">
        <f>[1]data!P11*(_xlfn.XLOOKUP([1]data!$C11,[2]data!$B$2:$B$218,[2]data!O$2:O$218)/100)</f>
        <v>4.8167205939999995</v>
      </c>
      <c r="T10">
        <f>[1]data!Q11*(_xlfn.XLOOKUP([1]data!$C11,[2]data!$B$2:$B$218,[2]data!P$2:P$218)/100)</f>
        <v>4.821963384</v>
      </c>
      <c r="U10">
        <f>[1]data!R11*(_xlfn.XLOOKUP([1]data!$C11,[2]data!$B$2:$B$218,[2]data!Q$2:Q$218)/100)</f>
        <v>4.7934602240000004</v>
      </c>
      <c r="V10">
        <f>[1]data!S11*(_xlfn.XLOOKUP([1]data!$C11,[2]data!$B$2:$B$218,[2]data!R$2:R$218)/100)</f>
        <v>4.953319393000001</v>
      </c>
      <c r="W10">
        <f>[1]data!T11*(_xlfn.XLOOKUP([1]data!$C11,[2]data!$B$2:$B$218,[2]data!S$2:S$218)/100)</f>
        <v>5.2249456999999939</v>
      </c>
      <c r="X10">
        <f>[1]data!U11*(_xlfn.XLOOKUP([1]data!$C11,[2]data!$B$2:$B$218,[2]data!T$2:T$218)/100)</f>
        <v>5.4840188832000054</v>
      </c>
      <c r="Y10">
        <f>[1]data!V11*(_xlfn.XLOOKUP([1]data!$C11,[2]data!$B$2:$B$218,[2]data!U$2:U$218)/100)</f>
        <v>5.6882703428099992</v>
      </c>
      <c r="Z10">
        <f>[1]data!W11*(_xlfn.XLOOKUP([1]data!$C11,[2]data!$B$2:$B$218,[2]data!V$2:V$218)/100)</f>
        <v>5.8766553002199995</v>
      </c>
      <c r="AA10">
        <f>[1]data!X11*(_xlfn.XLOOKUP([1]data!$C11,[2]data!$B$2:$B$218,[2]data!W$2:W$218)/100)</f>
        <v>6.0530123147999992</v>
      </c>
      <c r="AB10">
        <f>[1]data!Y11*(_xlfn.XLOOKUP([1]data!$C11,[2]data!$B$2:$B$218,[2]data!X$2:X$218)/100)</f>
        <v>6.2242666843999999</v>
      </c>
      <c r="AC10">
        <f>[1]data!Z11*(_xlfn.XLOOKUP([1]data!$C11,[2]data!$B$2:$B$218,[2]data!Y$2:Y$218)/100)</f>
        <v>6.3859067318199996</v>
      </c>
      <c r="AD10">
        <f>[1]data!AA11*(_xlfn.XLOOKUP([1]data!$C11,[2]data!$B$2:$B$218,[2]data!Z$2:Z$218)/100)</f>
        <v>6.5261727696000067</v>
      </c>
      <c r="AE10">
        <f>[1]data!AB11*(_xlfn.XLOOKUP([1]data!$C11,[2]data!$B$2:$B$218,[2]data!AA$2:AA$218)/100)</f>
        <v>6.6468605604500013</v>
      </c>
      <c r="AF10">
        <f>[1]data!AC11*(_xlfn.XLOOKUP([1]data!$C11,[2]data!$B$2:$B$218,[2]data!AB$2:AB$218)/100)</f>
        <v>6.7482574854199999</v>
      </c>
      <c r="AG10">
        <f>[1]data!AD11*(_xlfn.XLOOKUP([1]data!$C11,[2]data!$B$2:$B$218,[2]data!AC$2:AC$218)/100)</f>
        <v>6.840867597199999</v>
      </c>
      <c r="AH10">
        <f>[1]data!AE11*(_xlfn.XLOOKUP([1]data!$C11,[2]data!$B$2:$B$218,[2]data!AD$2:AD$218)/100)</f>
        <v>6.9218510088000009</v>
      </c>
      <c r="AI10">
        <f>[1]data!AF11*(_xlfn.XLOOKUP([1]data!$C11,[2]data!$B$2:$B$218,[2]data!AE$2:AE$218)/100)</f>
        <v>6.9804698874600088</v>
      </c>
      <c r="AJ10">
        <f>[1]data!AG11*(_xlfn.XLOOKUP([1]data!$C11,[2]data!$B$2:$B$218,[2]data!AF$2:AF$218)/100)</f>
        <v>7.0106490168000022</v>
      </c>
      <c r="AK10">
        <f>[1]data!AH11*(_xlfn.XLOOKUP([1]data!$C11,[2]data!$B$2:$B$218,[2]data!AG$2:AG$218)/100)</f>
        <v>7.0158234819599992</v>
      </c>
      <c r="AL10">
        <f>[1]data!AI11*(_xlfn.XLOOKUP([1]data!$C11,[2]data!$B$2:$B$218,[2]data!AH$2:AH$218)/100)</f>
        <v>7.0023935288399999</v>
      </c>
      <c r="AM10">
        <f>[1]data!AJ11*(_xlfn.XLOOKUP([1]data!$C11,[2]data!$B$2:$B$218,[2]data!AI$2:AI$218)/100)</f>
        <v>6.9746205114000013</v>
      </c>
    </row>
    <row r="11" spans="1:39" x14ac:dyDescent="0.25">
      <c r="A11" t="s">
        <v>30</v>
      </c>
      <c r="B11" t="s">
        <v>31</v>
      </c>
      <c r="C11" t="s">
        <v>43</v>
      </c>
      <c r="D11" t="s">
        <v>284</v>
      </c>
      <c r="E11" t="str">
        <f>_xlfn.XLOOKUP(D11,[6]Feuil1!$C$2:$C$248,[6]Feuil1!$B$2:$B$248)</f>
        <v>AZ</v>
      </c>
      <c r="F11" t="s">
        <v>33</v>
      </c>
      <c r="G11" t="str">
        <f>_xlfn.XLOOKUP(C11,[3]Sheet1!$B$2:$B$172,[3]Sheet1!$D$2:$D$172)</f>
        <v>Russia region</v>
      </c>
      <c r="H11" t="s">
        <v>34</v>
      </c>
      <c r="I11">
        <f>[1]data!F12*(_xlfn.XLOOKUP([1]data!$C12,[2]data!$B$2:$B$218,[2]data!E$2:E$218)/100)</f>
        <v>1.4290307740000001</v>
      </c>
      <c r="J11">
        <f>[1]data!G12*(_xlfn.XLOOKUP([1]data!$C12,[2]data!$B$2:$B$218,[2]data!F$2:F$218)/100)</f>
        <v>1.7510560000000002</v>
      </c>
      <c r="K11">
        <f>[1]data!H12*(_xlfn.XLOOKUP([1]data!$C12,[2]data!$B$2:$B$218,[2]data!G$2:G$218)/100)</f>
        <v>2.1415477660000004</v>
      </c>
      <c r="L11">
        <f>[1]data!I12*(_xlfn.XLOOKUP([1]data!$C12,[2]data!$B$2:$B$218,[2]data!H$2:H$218)/100)</f>
        <v>2.4424371200000001</v>
      </c>
      <c r="M11">
        <f>[1]data!J12*(_xlfn.XLOOKUP([1]data!$C12,[2]data!$B$2:$B$218,[2]data!I$2:I$218)/100)</f>
        <v>2.6863245000000004</v>
      </c>
      <c r="N11">
        <f>[1]data!K12*(_xlfn.XLOOKUP([1]data!$C12,[2]data!$B$2:$B$218,[2]data!J$2:J$218)/100)</f>
        <v>3.0496907100000001</v>
      </c>
      <c r="O11">
        <f>[1]data!L12*(_xlfn.XLOOKUP([1]data!$C12,[2]data!$B$2:$B$218,[2]data!K$2:K$218)/100)</f>
        <v>3.3473573760000002</v>
      </c>
      <c r="P11">
        <f>[1]data!M12*(_xlfn.XLOOKUP([1]data!$C12,[2]data!$B$2:$B$218,[2]data!L$2:L$218)/100)</f>
        <v>3.6555795650000005</v>
      </c>
      <c r="Q11">
        <f>[1]data!N12*(_xlfn.XLOOKUP([1]data!$C12,[2]data!$B$2:$B$218,[2]data!M$2:M$218)/100)</f>
        <v>3.9587559450000001</v>
      </c>
      <c r="R11">
        <f>[1]data!O12*(_xlfn.XLOOKUP([1]data!$C12,[2]data!$B$2:$B$218,[2]data!N$2:N$218)/100)</f>
        <v>4.1015492280000005</v>
      </c>
      <c r="S11">
        <f>[1]data!P12*(_xlfn.XLOOKUP([1]data!$C12,[2]data!$B$2:$B$218,[2]data!O$2:O$218)/100)</f>
        <v>4.1859717960000005</v>
      </c>
      <c r="T11">
        <f>[1]data!Q12*(_xlfn.XLOOKUP([1]data!$C12,[2]data!$B$2:$B$218,[2]data!P$2:P$218)/100)</f>
        <v>4.5088381720000008</v>
      </c>
      <c r="U11">
        <f>[1]data!R12*(_xlfn.XLOOKUP([1]data!$C12,[2]data!$B$2:$B$218,[2]data!Q$2:Q$218)/100)</f>
        <v>4.900944666</v>
      </c>
      <c r="V11">
        <f>[1]data!S12*(_xlfn.XLOOKUP([1]data!$C12,[2]data!$B$2:$B$218,[2]data!R$2:R$218)/100)</f>
        <v>5.3630795510000002</v>
      </c>
      <c r="W11">
        <f>[1]data!T12*(_xlfn.XLOOKUP([1]data!$C12,[2]data!$B$2:$B$218,[2]data!S$2:S$218)/100)</f>
        <v>5.7942692279999992</v>
      </c>
      <c r="X11">
        <f>[1]data!U12*(_xlfn.XLOOKUP([1]data!$C12,[2]data!$B$2:$B$218,[2]data!T$2:T$218)/100)</f>
        <v>6.1362623418800002</v>
      </c>
      <c r="Y11">
        <f>[1]data!V12*(_xlfn.XLOOKUP([1]data!$C12,[2]data!$B$2:$B$218,[2]data!U$2:U$218)/100)</f>
        <v>6.4879954217999991</v>
      </c>
      <c r="Z11">
        <f>[1]data!W12*(_xlfn.XLOOKUP([1]data!$C12,[2]data!$B$2:$B$218,[2]data!V$2:V$218)/100)</f>
        <v>6.8248565846999991</v>
      </c>
      <c r="AA11">
        <f>[1]data!X12*(_xlfn.XLOOKUP([1]data!$C12,[2]data!$B$2:$B$218,[2]data!W$2:W$218)/100)</f>
        <v>7.1241662367300007</v>
      </c>
      <c r="AB11">
        <f>[1]data!Y12*(_xlfn.XLOOKUP([1]data!$C12,[2]data!$B$2:$B$218,[2]data!X$2:X$218)/100)</f>
        <v>7.3606860358500015</v>
      </c>
      <c r="AC11">
        <f>[1]data!Z12*(_xlfn.XLOOKUP([1]data!$C12,[2]data!$B$2:$B$218,[2]data!Y$2:Y$218)/100)</f>
        <v>7.5376120809599989</v>
      </c>
      <c r="AD11">
        <f>[1]data!AA12*(_xlfn.XLOOKUP([1]data!$C12,[2]data!$B$2:$B$218,[2]data!Z$2:Z$218)/100)</f>
        <v>7.6718521605600003</v>
      </c>
      <c r="AE11">
        <f>[1]data!AB12*(_xlfn.XLOOKUP([1]data!$C12,[2]data!$B$2:$B$218,[2]data!AA$2:AA$218)/100)</f>
        <v>7.7785617868000001</v>
      </c>
      <c r="AF11">
        <f>[1]data!AC12*(_xlfn.XLOOKUP([1]data!$C12,[2]data!$B$2:$B$218,[2]data!AB$2:AB$218)/100)</f>
        <v>7.85804248048</v>
      </c>
      <c r="AG11">
        <f>[1]data!AD12*(_xlfn.XLOOKUP([1]data!$C12,[2]data!$B$2:$B$218,[2]data!AC$2:AC$218)/100)</f>
        <v>7.9050042887200007</v>
      </c>
      <c r="AH11">
        <f>[1]data!AE12*(_xlfn.XLOOKUP([1]data!$C12,[2]data!$B$2:$B$218,[2]data!AD$2:AD$218)/100)</f>
        <v>7.9175527594500004</v>
      </c>
      <c r="AI11">
        <f>[1]data!AF12*(_xlfn.XLOOKUP([1]data!$C12,[2]data!$B$2:$B$218,[2]data!AE$2:AE$218)/100)</f>
        <v>7.8993475340999995</v>
      </c>
      <c r="AJ11">
        <f>[1]data!AG12*(_xlfn.XLOOKUP([1]data!$C12,[2]data!$B$2:$B$218,[2]data!AF$2:AF$218)/100)</f>
        <v>7.8638868198799994</v>
      </c>
      <c r="AK11">
        <f>[1]data!AH12*(_xlfn.XLOOKUP([1]data!$C12,[2]data!$B$2:$B$218,[2]data!AG$2:AG$218)/100)</f>
        <v>7.8190265840399995</v>
      </c>
      <c r="AL11">
        <f>[1]data!AI12*(_xlfn.XLOOKUP([1]data!$C12,[2]data!$B$2:$B$218,[2]data!AH$2:AH$218)/100)</f>
        <v>7.7682795325599994</v>
      </c>
      <c r="AM11">
        <f>[1]data!AJ12*(_xlfn.XLOOKUP([1]data!$C12,[2]data!$B$2:$B$218,[2]data!AI$2:AI$218)/100)</f>
        <v>7.7051155104800078</v>
      </c>
    </row>
    <row r="12" spans="1:39" x14ac:dyDescent="0.25">
      <c r="A12" t="s">
        <v>30</v>
      </c>
      <c r="B12" t="s">
        <v>31</v>
      </c>
      <c r="C12" t="s">
        <v>44</v>
      </c>
      <c r="D12" t="s">
        <v>285</v>
      </c>
      <c r="E12" t="str">
        <f>_xlfn.XLOOKUP(D12,[6]Feuil1!$C$2:$C$248,[6]Feuil1!$B$2:$B$248)</f>
        <v>BI</v>
      </c>
      <c r="F12" t="s">
        <v>33</v>
      </c>
      <c r="G12" t="str">
        <f>_xlfn.XLOOKUP(C12,[3]Sheet1!$B$2:$B$172,[3]Sheet1!$D$2:$D$172)</f>
        <v>Eastern Africa</v>
      </c>
      <c r="H12" t="s">
        <v>34</v>
      </c>
      <c r="I12">
        <f>[1]data!F13*(_xlfn.XLOOKUP([1]data!$C13,[2]data!$B$2:$B$218,[2]data!E$2:E$218)/100)</f>
        <v>3.7898474000000008E-2</v>
      </c>
      <c r="J12">
        <f>[1]data!G13*(_xlfn.XLOOKUP([1]data!$C13,[2]data!$B$2:$B$218,[2]data!F$2:F$218)/100)</f>
        <v>4.694508599999999E-2</v>
      </c>
      <c r="K12">
        <f>[1]data!H13*(_xlfn.XLOOKUP([1]data!$C13,[2]data!$B$2:$B$218,[2]data!G$2:G$218)/100)</f>
        <v>5.7114393000000006E-2</v>
      </c>
      <c r="L12">
        <f>[1]data!I13*(_xlfn.XLOOKUP([1]data!$C13,[2]data!$B$2:$B$218,[2]data!H$2:H$218)/100)</f>
        <v>7.0990673000000004E-2</v>
      </c>
      <c r="M12">
        <f>[1]data!J13*(_xlfn.XLOOKUP([1]data!$C13,[2]data!$B$2:$B$218,[2]data!I$2:I$218)/100)</f>
        <v>9.6768279999999998E-2</v>
      </c>
      <c r="N12">
        <f>[1]data!K13*(_xlfn.XLOOKUP([1]data!$C13,[2]data!$B$2:$B$218,[2]data!J$2:J$218)/100)</f>
        <v>0.12988748500000002</v>
      </c>
      <c r="O12">
        <f>[1]data!L13*(_xlfn.XLOOKUP([1]data!$C13,[2]data!$B$2:$B$218,[2]data!K$2:K$218)/100)</f>
        <v>0.17959061799999998</v>
      </c>
      <c r="P12">
        <f>[1]data!M13*(_xlfn.XLOOKUP([1]data!$C13,[2]data!$B$2:$B$218,[2]data!L$2:L$218)/100)</f>
        <v>0.25499364800000002</v>
      </c>
      <c r="Q12">
        <f>[1]data!N13*(_xlfn.XLOOKUP([1]data!$C13,[2]data!$B$2:$B$218,[2]data!M$2:M$218)/100)</f>
        <v>0.34197439499999999</v>
      </c>
      <c r="R12">
        <f>[1]data!O13*(_xlfn.XLOOKUP([1]data!$C13,[2]data!$B$2:$B$218,[2]data!N$2:N$218)/100)</f>
        <v>0.42467846400000003</v>
      </c>
      <c r="S12">
        <f>[1]data!P13*(_xlfn.XLOOKUP([1]data!$C13,[2]data!$B$2:$B$218,[2]data!O$2:O$218)/100)</f>
        <v>0.51197888999999996</v>
      </c>
      <c r="T12">
        <f>[1]data!Q13*(_xlfn.XLOOKUP([1]data!$C13,[2]data!$B$2:$B$218,[2]data!P$2:P$218)/100)</f>
        <v>0.68219484800000008</v>
      </c>
      <c r="U12">
        <f>[1]data!R13*(_xlfn.XLOOKUP([1]data!$C13,[2]data!$B$2:$B$218,[2]data!Q$2:Q$218)/100)</f>
        <v>0.94930536599999993</v>
      </c>
      <c r="V12">
        <f>[1]data!S13*(_xlfn.XLOOKUP([1]data!$C13,[2]data!$B$2:$B$218,[2]data!R$2:R$218)/100)</f>
        <v>1.2907871019999999</v>
      </c>
      <c r="W12">
        <f>[1]data!T13*(_xlfn.XLOOKUP([1]data!$C13,[2]data!$B$2:$B$218,[2]data!S$2:S$218)/100)</f>
        <v>1.6513836149999999</v>
      </c>
      <c r="X12">
        <f>[1]data!U13*(_xlfn.XLOOKUP([1]data!$C13,[2]data!$B$2:$B$218,[2]data!T$2:T$218)/100)</f>
        <v>2.1234097452</v>
      </c>
      <c r="Y12">
        <f>[1]data!V13*(_xlfn.XLOOKUP([1]data!$C13,[2]data!$B$2:$B$218,[2]data!U$2:U$218)/100)</f>
        <v>2.6882253907200004</v>
      </c>
      <c r="Z12">
        <f>[1]data!W13*(_xlfn.XLOOKUP([1]data!$C13,[2]data!$B$2:$B$218,[2]data!V$2:V$218)/100)</f>
        <v>3.36165179285</v>
      </c>
      <c r="AA12">
        <f>[1]data!X13*(_xlfn.XLOOKUP([1]data!$C13,[2]data!$B$2:$B$218,[2]data!W$2:W$218)/100)</f>
        <v>4.1482639434600008</v>
      </c>
      <c r="AB12">
        <f>[1]data!Y13*(_xlfn.XLOOKUP([1]data!$C13,[2]data!$B$2:$B$218,[2]data!X$2:X$218)/100)</f>
        <v>5.03749299417</v>
      </c>
      <c r="AC12">
        <f>[1]data!Z13*(_xlfn.XLOOKUP([1]data!$C13,[2]data!$B$2:$B$218,[2]data!Y$2:Y$218)/100)</f>
        <v>6.0142376065499992</v>
      </c>
      <c r="AD12">
        <f>[1]data!AA13*(_xlfn.XLOOKUP([1]data!$C13,[2]data!$B$2:$B$218,[2]data!Z$2:Z$218)/100)</f>
        <v>7.0559680075600006</v>
      </c>
      <c r="AE12">
        <f>[1]data!AB13*(_xlfn.XLOOKUP([1]data!$C13,[2]data!$B$2:$B$218,[2]data!AA$2:AA$218)/100)</f>
        <v>8.1447572051999995</v>
      </c>
      <c r="AF12">
        <f>[1]data!AC13*(_xlfn.XLOOKUP([1]data!$C13,[2]data!$B$2:$B$218,[2]data!AB$2:AB$218)/100)</f>
        <v>9.2723312782199994</v>
      </c>
      <c r="AG12">
        <f>[1]data!AD13*(_xlfn.XLOOKUP([1]data!$C13,[2]data!$B$2:$B$218,[2]data!AC$2:AC$218)/100)</f>
        <v>10.416900254160002</v>
      </c>
      <c r="AH12">
        <f>[1]data!AE13*(_xlfn.XLOOKUP([1]data!$C13,[2]data!$B$2:$B$218,[2]data!AD$2:AD$218)/100)</f>
        <v>11.558161764160001</v>
      </c>
      <c r="AI12">
        <f>[1]data!AF13*(_xlfn.XLOOKUP([1]data!$C13,[2]data!$B$2:$B$218,[2]data!AE$2:AE$218)/100)</f>
        <v>12.661627127239999</v>
      </c>
      <c r="AJ12">
        <f>[1]data!AG13*(_xlfn.XLOOKUP([1]data!$C13,[2]data!$B$2:$B$218,[2]data!AF$2:AF$218)/100)</f>
        <v>13.696508108799998</v>
      </c>
      <c r="AK12">
        <f>[1]data!AH13*(_xlfn.XLOOKUP([1]data!$C13,[2]data!$B$2:$B$218,[2]data!AG$2:AG$218)/100)</f>
        <v>14.66256765915</v>
      </c>
      <c r="AL12">
        <f>[1]data!AI13*(_xlfn.XLOOKUP([1]data!$C13,[2]data!$B$2:$B$218,[2]data!AH$2:AH$218)/100)</f>
        <v>15.555569748000002</v>
      </c>
      <c r="AM12">
        <f>[1]data!AJ13*(_xlfn.XLOOKUP([1]data!$C13,[2]data!$B$2:$B$218,[2]data!AI$2:AI$218)/100)</f>
        <v>16.372278298560001</v>
      </c>
    </row>
    <row r="13" spans="1:39" x14ac:dyDescent="0.25">
      <c r="A13" t="s">
        <v>30</v>
      </c>
      <c r="B13" t="s">
        <v>31</v>
      </c>
      <c r="C13" t="s">
        <v>45</v>
      </c>
      <c r="D13" t="s">
        <v>286</v>
      </c>
      <c r="E13" t="str">
        <f>_xlfn.XLOOKUP(D13,[6]Feuil1!$C$2:$C$248,[6]Feuil1!$B$2:$B$248)</f>
        <v>BE</v>
      </c>
      <c r="F13" t="s">
        <v>33</v>
      </c>
      <c r="G13" t="str">
        <f>_xlfn.XLOOKUP(C13,[3]Sheet1!$B$2:$B$172,[3]Sheet1!$D$2:$D$172)</f>
        <v>Western Europe</v>
      </c>
      <c r="H13" t="s">
        <v>34</v>
      </c>
      <c r="I13">
        <f>[1]data!F14*(_xlfn.XLOOKUP([1]data!$C14,[2]data!$B$2:$B$218,[2]data!E$2:E$218)/100)</f>
        <v>7.8663867600000001</v>
      </c>
      <c r="J13">
        <f>[1]data!G14*(_xlfn.XLOOKUP([1]data!$C14,[2]data!$B$2:$B$218,[2]data!F$2:F$218)/100)</f>
        <v>8.1066131200000004</v>
      </c>
      <c r="K13">
        <f>[1]data!H14*(_xlfn.XLOOKUP([1]data!$C14,[2]data!$B$2:$B$218,[2]data!G$2:G$218)/100)</f>
        <v>8.4007482499999995</v>
      </c>
      <c r="L13">
        <f>[1]data!I14*(_xlfn.XLOOKUP([1]data!$C14,[2]data!$B$2:$B$218,[2]data!H$2:H$218)/100)</f>
        <v>8.7362889389999996</v>
      </c>
      <c r="M13">
        <f>[1]data!J14*(_xlfn.XLOOKUP([1]data!$C14,[2]data!$B$2:$B$218,[2]data!I$2:I$218)/100)</f>
        <v>9.0144867259999995</v>
      </c>
      <c r="N13">
        <f>[1]data!K14*(_xlfn.XLOOKUP([1]data!$C14,[2]data!$B$2:$B$218,[2]data!J$2:J$218)/100)</f>
        <v>9.2216880000000003</v>
      </c>
      <c r="O13">
        <f>[1]data!L14*(_xlfn.XLOOKUP([1]data!$C14,[2]data!$B$2:$B$218,[2]data!K$2:K$218)/100)</f>
        <v>9.3701822760000013</v>
      </c>
      <c r="P13">
        <f>[1]data!M14*(_xlfn.XLOOKUP([1]data!$C14,[2]data!$B$2:$B$218,[2]data!L$2:L$218)/100)</f>
        <v>9.4726318260000006</v>
      </c>
      <c r="Q13">
        <f>[1]data!N14*(_xlfn.XLOOKUP([1]data!$C14,[2]data!$B$2:$B$218,[2]data!M$2:M$218)/100)</f>
        <v>9.5885397520000009</v>
      </c>
      <c r="R13">
        <f>[1]data!O14*(_xlfn.XLOOKUP([1]data!$C14,[2]data!$B$2:$B$218,[2]data!N$2:N$218)/100)</f>
        <v>9.7595308799999998</v>
      </c>
      <c r="S13">
        <f>[1]data!P14*(_xlfn.XLOOKUP([1]data!$C14,[2]data!$B$2:$B$218,[2]data!O$2:O$218)/100)</f>
        <v>9.9458442480000002</v>
      </c>
      <c r="T13">
        <f>[1]data!Q14*(_xlfn.XLOOKUP([1]data!$C14,[2]data!$B$2:$B$218,[2]data!P$2:P$218)/100)</f>
        <v>10.213020178000003</v>
      </c>
      <c r="U13">
        <f>[1]data!R14*(_xlfn.XLOOKUP([1]data!$C14,[2]data!$B$2:$B$218,[2]data!Q$2:Q$218)/100)</f>
        <v>10.589735240999998</v>
      </c>
      <c r="V13">
        <f>[1]data!S14*(_xlfn.XLOOKUP([1]data!$C14,[2]data!$B$2:$B$218,[2]data!R$2:R$218)/100)</f>
        <v>10.979079693999999</v>
      </c>
      <c r="W13">
        <f>[1]data!T14*(_xlfn.XLOOKUP([1]data!$C14,[2]data!$B$2:$B$218,[2]data!S$2:S$218)/100)</f>
        <v>11.321985870000001</v>
      </c>
      <c r="X13">
        <f>[1]data!U14*(_xlfn.XLOOKUP([1]data!$C14,[2]data!$B$2:$B$218,[2]data!T$2:T$218)/100)</f>
        <v>11.47420320544</v>
      </c>
      <c r="Y13">
        <f>[1]data!V14*(_xlfn.XLOOKUP([1]data!$C14,[2]data!$B$2:$B$218,[2]data!U$2:U$218)/100)</f>
        <v>11.594580325560001</v>
      </c>
      <c r="Z13">
        <f>[1]data!W14*(_xlfn.XLOOKUP([1]data!$C14,[2]data!$B$2:$B$218,[2]data!V$2:V$218)/100)</f>
        <v>11.72191677216</v>
      </c>
      <c r="AA13">
        <f>[1]data!X14*(_xlfn.XLOOKUP([1]data!$C14,[2]data!$B$2:$B$218,[2]data!W$2:W$218)/100)</f>
        <v>11.857454931119999</v>
      </c>
      <c r="AB13">
        <f>[1]data!Y14*(_xlfn.XLOOKUP([1]data!$C14,[2]data!$B$2:$B$218,[2]data!X$2:X$218)/100)</f>
        <v>11.994395689599999</v>
      </c>
      <c r="AC13">
        <f>[1]data!Z14*(_xlfn.XLOOKUP([1]data!$C14,[2]data!$B$2:$B$218,[2]data!Y$2:Y$218)/100)</f>
        <v>12.129022313060002</v>
      </c>
      <c r="AD13">
        <f>[1]data!AA14*(_xlfn.XLOOKUP([1]data!$C14,[2]data!$B$2:$B$218,[2]data!Z$2:Z$218)/100)</f>
        <v>12.23254853966</v>
      </c>
      <c r="AE13">
        <f>[1]data!AB14*(_xlfn.XLOOKUP([1]data!$C14,[2]data!$B$2:$B$218,[2]data!AA$2:AA$218)/100)</f>
        <v>12.31961949686</v>
      </c>
      <c r="AF13">
        <f>[1]data!AC14*(_xlfn.XLOOKUP([1]data!$C14,[2]data!$B$2:$B$218,[2]data!AB$2:AB$218)/100)</f>
        <v>12.393506020950001</v>
      </c>
      <c r="AG13">
        <f>[1]data!AD14*(_xlfn.XLOOKUP([1]data!$C14,[2]data!$B$2:$B$218,[2]data!AC$2:AC$218)/100)</f>
        <v>12.46294790038</v>
      </c>
      <c r="AH13">
        <f>[1]data!AE14*(_xlfn.XLOOKUP([1]data!$C14,[2]data!$B$2:$B$218,[2]data!AD$2:AD$218)/100)</f>
        <v>12.525835074600002</v>
      </c>
      <c r="AI13">
        <f>[1]data!AF14*(_xlfn.XLOOKUP([1]data!$C14,[2]data!$B$2:$B$218,[2]data!AE$2:AE$218)/100)</f>
        <v>12.567667147</v>
      </c>
      <c r="AJ13">
        <f>[1]data!AG14*(_xlfn.XLOOKUP([1]data!$C14,[2]data!$B$2:$B$218,[2]data!AF$2:AF$218)/100)</f>
        <v>12.57640061391</v>
      </c>
      <c r="AK13">
        <f>[1]data!AH14*(_xlfn.XLOOKUP([1]data!$C14,[2]data!$B$2:$B$218,[2]data!AG$2:AG$218)/100)</f>
        <v>12.550919518819999</v>
      </c>
      <c r="AL13">
        <f>[1]data!AI14*(_xlfn.XLOOKUP([1]data!$C14,[2]data!$B$2:$B$218,[2]data!AH$2:AH$218)/100)</f>
        <v>12.4990526967</v>
      </c>
      <c r="AM13">
        <f>[1]data!AJ14*(_xlfn.XLOOKUP([1]data!$C14,[2]data!$B$2:$B$218,[2]data!AI$2:AI$218)/100)</f>
        <v>12.425616304450003</v>
      </c>
    </row>
    <row r="14" spans="1:39" x14ac:dyDescent="0.25">
      <c r="A14" t="s">
        <v>30</v>
      </c>
      <c r="B14" t="s">
        <v>31</v>
      </c>
      <c r="C14" t="s">
        <v>46</v>
      </c>
      <c r="D14" t="s">
        <v>287</v>
      </c>
      <c r="E14" t="str">
        <f>_xlfn.XLOOKUP(D14,[6]Feuil1!$C$2:$C$248,[6]Feuil1!$B$2:$B$248)</f>
        <v>BJ</v>
      </c>
      <c r="F14" t="s">
        <v>33</v>
      </c>
      <c r="G14" t="str">
        <f>_xlfn.XLOOKUP(C14,[3]Sheet1!$B$2:$B$172,[3]Sheet1!$D$2:$D$172)</f>
        <v>Western Africa</v>
      </c>
      <c r="H14" t="s">
        <v>34</v>
      </c>
      <c r="I14">
        <f>[1]data!F15*(_xlfn.XLOOKUP([1]data!$C15,[2]data!$B$2:$B$218,[2]data!E$2:E$218)/100)</f>
        <v>0.11282185</v>
      </c>
      <c r="J14">
        <f>[1]data!G15*(_xlfn.XLOOKUP([1]data!$C15,[2]data!$B$2:$B$218,[2]data!F$2:F$218)/100)</f>
        <v>0.15967426800000001</v>
      </c>
      <c r="K14">
        <f>[1]data!H15*(_xlfn.XLOOKUP([1]data!$C15,[2]data!$B$2:$B$218,[2]data!G$2:G$218)/100)</f>
        <v>0.23191735500000005</v>
      </c>
      <c r="L14">
        <f>[1]data!I15*(_xlfn.XLOOKUP([1]data!$C15,[2]data!$B$2:$B$218,[2]data!H$2:H$218)/100)</f>
        <v>0.33875962500000001</v>
      </c>
      <c r="M14">
        <f>[1]data!J15*(_xlfn.XLOOKUP([1]data!$C15,[2]data!$B$2:$B$218,[2]data!I$2:I$218)/100)</f>
        <v>0.49961389999999989</v>
      </c>
      <c r="N14">
        <f>[1]data!K15*(_xlfn.XLOOKUP([1]data!$C15,[2]data!$B$2:$B$218,[2]data!J$2:J$218)/100)</f>
        <v>0.73124866499999985</v>
      </c>
      <c r="O14">
        <f>[1]data!L15*(_xlfn.XLOOKUP([1]data!$C15,[2]data!$B$2:$B$218,[2]data!K$2:K$218)/100)</f>
        <v>1.032364515</v>
      </c>
      <c r="P14">
        <f>[1]data!M15*(_xlfn.XLOOKUP([1]data!$C15,[2]data!$B$2:$B$218,[2]data!L$2:L$218)/100)</f>
        <v>1.3413526279999999</v>
      </c>
      <c r="Q14">
        <f>[1]data!N15*(_xlfn.XLOOKUP([1]data!$C15,[2]data!$B$2:$B$218,[2]data!M$2:M$218)/100)</f>
        <v>1.7439698249999998</v>
      </c>
      <c r="R14">
        <f>[1]data!O15*(_xlfn.XLOOKUP([1]data!$C15,[2]data!$B$2:$B$218,[2]data!N$2:N$218)/100)</f>
        <v>2.1990741599999999</v>
      </c>
      <c r="S14">
        <f>[1]data!P15*(_xlfn.XLOOKUP([1]data!$C15,[2]data!$B$2:$B$218,[2]data!O$2:O$218)/100)</f>
        <v>2.6397968599999997</v>
      </c>
      <c r="T14">
        <f>[1]data!Q15*(_xlfn.XLOOKUP([1]data!$C15,[2]data!$B$2:$B$218,[2]data!P$2:P$218)/100)</f>
        <v>3.2455906200000002</v>
      </c>
      <c r="U14">
        <f>[1]data!R15*(_xlfn.XLOOKUP([1]data!$C15,[2]data!$B$2:$B$218,[2]data!Q$2:Q$218)/100)</f>
        <v>4.0114829350000001</v>
      </c>
      <c r="V14">
        <f>[1]data!S15*(_xlfn.XLOOKUP([1]data!$C15,[2]data!$B$2:$B$218,[2]data!R$2:R$218)/100)</f>
        <v>4.9226472489999997</v>
      </c>
      <c r="W14">
        <f>[1]data!T15*(_xlfn.XLOOKUP([1]data!$C15,[2]data!$B$2:$B$218,[2]data!S$2:S$218)/100)</f>
        <v>6.0339418480000004</v>
      </c>
      <c r="X14">
        <f>[1]data!U15*(_xlfn.XLOOKUP([1]data!$C15,[2]data!$B$2:$B$218,[2]data!T$2:T$218)/100)</f>
        <v>7.243748646360002</v>
      </c>
      <c r="Y14">
        <f>[1]data!V15*(_xlfn.XLOOKUP([1]data!$C15,[2]data!$B$2:$B$218,[2]data!U$2:U$218)/100)</f>
        <v>8.5742918000399992</v>
      </c>
      <c r="Z14">
        <f>[1]data!W15*(_xlfn.XLOOKUP([1]data!$C15,[2]data!$B$2:$B$218,[2]data!V$2:V$218)/100)</f>
        <v>10.00736725012</v>
      </c>
      <c r="AA14">
        <f>[1]data!X15*(_xlfn.XLOOKUP([1]data!$C15,[2]data!$B$2:$B$218,[2]data!W$2:W$218)/100)</f>
        <v>11.53215684413</v>
      </c>
      <c r="AB14">
        <f>[1]data!Y15*(_xlfn.XLOOKUP([1]data!$C15,[2]data!$B$2:$B$218,[2]data!X$2:X$218)/100)</f>
        <v>13.121101608450001</v>
      </c>
      <c r="AC14">
        <f>[1]data!Z15*(_xlfn.XLOOKUP([1]data!$C15,[2]data!$B$2:$B$218,[2]data!Y$2:Y$218)/100)</f>
        <v>14.75372232504</v>
      </c>
      <c r="AD14">
        <f>[1]data!AA15*(_xlfn.XLOOKUP([1]data!$C15,[2]data!$B$2:$B$218,[2]data!Z$2:Z$218)/100)</f>
        <v>16.389158377139999</v>
      </c>
      <c r="AE14">
        <f>[1]data!AB15*(_xlfn.XLOOKUP([1]data!$C15,[2]data!$B$2:$B$218,[2]data!AA$2:AA$218)/100)</f>
        <v>17.983639741020003</v>
      </c>
      <c r="AF14">
        <f>[1]data!AC15*(_xlfn.XLOOKUP([1]data!$C15,[2]data!$B$2:$B$218,[2]data!AB$2:AB$218)/100)</f>
        <v>19.548185234680005</v>
      </c>
      <c r="AG14">
        <f>[1]data!AD15*(_xlfn.XLOOKUP([1]data!$C15,[2]data!$B$2:$B$218,[2]data!AC$2:AC$218)/100)</f>
        <v>21.038826959799998</v>
      </c>
      <c r="AH14">
        <f>[1]data!AE15*(_xlfn.XLOOKUP([1]data!$C15,[2]data!$B$2:$B$218,[2]data!AD$2:AD$218)/100)</f>
        <v>22.448233897950001</v>
      </c>
      <c r="AI14">
        <f>[1]data!AF15*(_xlfn.XLOOKUP([1]data!$C15,[2]data!$B$2:$B$218,[2]data!AE$2:AE$218)/100)</f>
        <v>23.714346911729997</v>
      </c>
      <c r="AJ14">
        <f>[1]data!AG15*(_xlfn.XLOOKUP([1]data!$C15,[2]data!$B$2:$B$218,[2]data!AF$2:AF$218)/100)</f>
        <v>24.841029946620004</v>
      </c>
      <c r="AK14">
        <f>[1]data!AH15*(_xlfn.XLOOKUP([1]data!$C15,[2]data!$B$2:$B$218,[2]data!AG$2:AG$218)/100)</f>
        <v>25.803601678239922</v>
      </c>
      <c r="AL14">
        <f>[1]data!AI15*(_xlfn.XLOOKUP([1]data!$C15,[2]data!$B$2:$B$218,[2]data!AH$2:AH$218)/100)</f>
        <v>26.632273334799997</v>
      </c>
      <c r="AM14">
        <f>[1]data!AJ15*(_xlfn.XLOOKUP([1]data!$C15,[2]data!$B$2:$B$218,[2]data!AI$2:AI$218)/100)</f>
        <v>27.341430088900001</v>
      </c>
    </row>
    <row r="15" spans="1:39" x14ac:dyDescent="0.25">
      <c r="A15" t="s">
        <v>30</v>
      </c>
      <c r="B15" t="s">
        <v>31</v>
      </c>
      <c r="C15" t="s">
        <v>47</v>
      </c>
      <c r="D15" t="s">
        <v>288</v>
      </c>
      <c r="E15" t="str">
        <f>_xlfn.XLOOKUP(D15,[6]Feuil1!$C$2:$C$248,[6]Feuil1!$B$2:$B$248)</f>
        <v>BF</v>
      </c>
      <c r="F15" t="s">
        <v>33</v>
      </c>
      <c r="G15" t="str">
        <f>_xlfn.XLOOKUP(C15,[3]Sheet1!$B$2:$B$172,[3]Sheet1!$D$2:$D$172)</f>
        <v>Western Africa</v>
      </c>
      <c r="H15" t="s">
        <v>34</v>
      </c>
      <c r="I15">
        <f>[1]data!F16*(_xlfn.XLOOKUP([1]data!$C16,[2]data!$B$2:$B$218,[2]data!E$2:E$218)/100)</f>
        <v>0.15923869599999999</v>
      </c>
      <c r="J15">
        <f>[1]data!G16*(_xlfn.XLOOKUP([1]data!$C16,[2]data!$B$2:$B$218,[2]data!F$2:F$218)/100)</f>
        <v>0.18666194400000002</v>
      </c>
      <c r="K15">
        <f>[1]data!H16*(_xlfn.XLOOKUP([1]data!$C16,[2]data!$B$2:$B$218,[2]data!G$2:G$218)/100)</f>
        <v>0.22320093200000002</v>
      </c>
      <c r="L15">
        <f>[1]data!I16*(_xlfn.XLOOKUP([1]data!$C16,[2]data!$B$2:$B$218,[2]data!H$2:H$218)/100)</f>
        <v>0.26602014400000001</v>
      </c>
      <c r="M15">
        <f>[1]data!J16*(_xlfn.XLOOKUP([1]data!$C16,[2]data!$B$2:$B$218,[2]data!I$2:I$218)/100)</f>
        <v>0.31708940400000002</v>
      </c>
      <c r="N15">
        <f>[1]data!K16*(_xlfn.XLOOKUP([1]data!$C16,[2]data!$B$2:$B$218,[2]data!J$2:J$218)/100)</f>
        <v>0.38279675700000004</v>
      </c>
      <c r="O15">
        <f>[1]data!L16*(_xlfn.XLOOKUP([1]data!$C16,[2]data!$B$2:$B$218,[2]data!K$2:K$218)/100)</f>
        <v>0.60180357600000001</v>
      </c>
      <c r="P15">
        <f>[1]data!M16*(_xlfn.XLOOKUP([1]data!$C16,[2]data!$B$2:$B$218,[2]data!L$2:L$218)/100)</f>
        <v>0.96727359900000009</v>
      </c>
      <c r="Q15">
        <f>[1]data!N16*(_xlfn.XLOOKUP([1]data!$C16,[2]data!$B$2:$B$218,[2]data!M$2:M$218)/100)</f>
        <v>1.2436174980000001</v>
      </c>
      <c r="R15">
        <f>[1]data!O16*(_xlfn.XLOOKUP([1]data!$C16,[2]data!$B$2:$B$218,[2]data!N$2:N$218)/100)</f>
        <v>1.5432719439999998</v>
      </c>
      <c r="S15">
        <f>[1]data!P16*(_xlfn.XLOOKUP([1]data!$C16,[2]data!$B$2:$B$218,[2]data!O$2:O$218)/100)</f>
        <v>2.083213744</v>
      </c>
      <c r="T15">
        <f>[1]data!Q16*(_xlfn.XLOOKUP([1]data!$C16,[2]data!$B$2:$B$218,[2]data!P$2:P$218)/100)</f>
        <v>2.936493435</v>
      </c>
      <c r="U15">
        <f>[1]data!R16*(_xlfn.XLOOKUP([1]data!$C16,[2]data!$B$2:$B$218,[2]data!Q$2:Q$218)/100)</f>
        <v>3.9064856580000002</v>
      </c>
      <c r="V15">
        <f>[1]data!S16*(_xlfn.XLOOKUP([1]data!$C16,[2]data!$B$2:$B$218,[2]data!R$2:R$218)/100)</f>
        <v>5.0717422250000004</v>
      </c>
      <c r="W15">
        <f>[1]data!T16*(_xlfn.XLOOKUP([1]data!$C16,[2]data!$B$2:$B$218,[2]data!S$2:S$218)/100)</f>
        <v>6.4969583399999999</v>
      </c>
      <c r="X15">
        <f>[1]data!U16*(_xlfn.XLOOKUP([1]data!$C16,[2]data!$B$2:$B$218,[2]data!T$2:T$218)/100)</f>
        <v>8.0897385191000009</v>
      </c>
      <c r="Y15">
        <f>[1]data!V16*(_xlfn.XLOOKUP([1]data!$C16,[2]data!$B$2:$B$218,[2]data!U$2:U$218)/100)</f>
        <v>9.9315403679600003</v>
      </c>
      <c r="Z15">
        <f>[1]data!W16*(_xlfn.XLOOKUP([1]data!$C16,[2]data!$B$2:$B$218,[2]data!V$2:V$218)/100)</f>
        <v>12.01794962228</v>
      </c>
      <c r="AA15">
        <f>[1]data!X16*(_xlfn.XLOOKUP([1]data!$C16,[2]data!$B$2:$B$218,[2]data!W$2:W$218)/100)</f>
        <v>14.335037108900002</v>
      </c>
      <c r="AB15">
        <f>[1]data!Y16*(_xlfn.XLOOKUP([1]data!$C16,[2]data!$B$2:$B$218,[2]data!X$2:X$218)/100)</f>
        <v>16.837584463700001</v>
      </c>
      <c r="AC15">
        <f>[1]data!Z16*(_xlfn.XLOOKUP([1]data!$C16,[2]data!$B$2:$B$218,[2]data!Y$2:Y$218)/100)</f>
        <v>19.46764851084</v>
      </c>
      <c r="AD15">
        <f>[1]data!AA16*(_xlfn.XLOOKUP([1]data!$C16,[2]data!$B$2:$B$218,[2]data!Z$2:Z$218)/100)</f>
        <v>22.139881317099999</v>
      </c>
      <c r="AE15">
        <f>[1]data!AB16*(_xlfn.XLOOKUP([1]data!$C16,[2]data!$B$2:$B$218,[2]data!AA$2:AA$218)/100)</f>
        <v>24.823968829079941</v>
      </c>
      <c r="AF15">
        <f>[1]data!AC16*(_xlfn.XLOOKUP([1]data!$C16,[2]data!$B$2:$B$218,[2]data!AB$2:AB$218)/100)</f>
        <v>27.502303064450004</v>
      </c>
      <c r="AG15">
        <f>[1]data!AD16*(_xlfn.XLOOKUP([1]data!$C16,[2]data!$B$2:$B$218,[2]data!AC$2:AC$218)/100)</f>
        <v>30.139925868500004</v>
      </c>
      <c r="AH15">
        <f>[1]data!AE16*(_xlfn.XLOOKUP([1]data!$C16,[2]data!$B$2:$B$218,[2]data!AD$2:AD$218)/100)</f>
        <v>32.696300753880003</v>
      </c>
      <c r="AI15">
        <f>[1]data!AF16*(_xlfn.XLOOKUP([1]data!$C16,[2]data!$B$2:$B$218,[2]data!AE$2:AE$218)/100)</f>
        <v>35.099567662380004</v>
      </c>
      <c r="AJ15">
        <f>[1]data!AG16*(_xlfn.XLOOKUP([1]data!$C16,[2]data!$B$2:$B$218,[2]data!AF$2:AF$218)/100)</f>
        <v>37.284198923999995</v>
      </c>
      <c r="AK15">
        <f>[1]data!AH16*(_xlfn.XLOOKUP([1]data!$C16,[2]data!$B$2:$B$218,[2]data!AG$2:AG$218)/100)</f>
        <v>39.233367992280002</v>
      </c>
      <c r="AL15">
        <f>[1]data!AI16*(_xlfn.XLOOKUP([1]data!$C16,[2]data!$B$2:$B$218,[2]data!AH$2:AH$218)/100)</f>
        <v>40.988081744479999</v>
      </c>
      <c r="AM15">
        <f>[1]data!AJ16*(_xlfn.XLOOKUP([1]data!$C16,[2]data!$B$2:$B$218,[2]data!AI$2:AI$218)/100)</f>
        <v>42.596924165019999</v>
      </c>
    </row>
    <row r="16" spans="1:39" x14ac:dyDescent="0.25">
      <c r="A16" t="s">
        <v>30</v>
      </c>
      <c r="B16" t="s">
        <v>31</v>
      </c>
      <c r="C16" t="s">
        <v>48</v>
      </c>
      <c r="D16" t="s">
        <v>289</v>
      </c>
      <c r="E16" t="str">
        <f>_xlfn.XLOOKUP(D16,[6]Feuil1!$C$2:$C$248,[6]Feuil1!$B$2:$B$248)</f>
        <v>BD</v>
      </c>
      <c r="F16" t="s">
        <v>33</v>
      </c>
      <c r="G16" t="str">
        <f>_xlfn.XLOOKUP(C16,[3]Sheet1!$B$2:$B$172,[3]Sheet1!$D$2:$D$172)</f>
        <v>Rest of South Asia</v>
      </c>
      <c r="H16" t="s">
        <v>34</v>
      </c>
      <c r="I16">
        <f>[1]data!F17*(_xlfn.XLOOKUP([1]data!$C17,[2]data!$B$2:$B$218,[2]data!E$2:E$218)/100)</f>
        <v>1.6914564709999997</v>
      </c>
      <c r="J16">
        <f>[1]data!G17*(_xlfn.XLOOKUP([1]data!$C17,[2]data!$B$2:$B$218,[2]data!F$2:F$218)/100)</f>
        <v>2.0577995430000002</v>
      </c>
      <c r="K16">
        <f>[1]data!H17*(_xlfn.XLOOKUP([1]data!$C17,[2]data!$B$2:$B$218,[2]data!G$2:G$218)/100)</f>
        <v>2.5335872819999996</v>
      </c>
      <c r="L16">
        <f>[1]data!I17*(_xlfn.XLOOKUP([1]data!$C17,[2]data!$B$2:$B$218,[2]data!H$2:H$218)/100)</f>
        <v>3.5732559200000003</v>
      </c>
      <c r="M16">
        <f>[1]data!J17*(_xlfn.XLOOKUP([1]data!$C17,[2]data!$B$2:$B$218,[2]data!I$2:I$218)/100)</f>
        <v>5.0758976519999992</v>
      </c>
      <c r="N16">
        <f>[1]data!K17*(_xlfn.XLOOKUP([1]data!$C17,[2]data!$B$2:$B$218,[2]data!J$2:J$218)/100)</f>
        <v>7.2365723500000003</v>
      </c>
      <c r="O16">
        <f>[1]data!L17*(_xlfn.XLOOKUP([1]data!$C17,[2]data!$B$2:$B$218,[2]data!K$2:K$218)/100)</f>
        <v>12.348334918999999</v>
      </c>
      <c r="P16">
        <f>[1]data!M17*(_xlfn.XLOOKUP([1]data!$C17,[2]data!$B$2:$B$218,[2]data!L$2:L$218)/100)</f>
        <v>16.583580999999999</v>
      </c>
      <c r="Q16">
        <f>[1]data!N17*(_xlfn.XLOOKUP([1]data!$C17,[2]data!$B$2:$B$218,[2]data!M$2:M$218)/100)</f>
        <v>20.988312444000002</v>
      </c>
      <c r="R16">
        <f>[1]data!O17*(_xlfn.XLOOKUP([1]data!$C17,[2]data!$B$2:$B$218,[2]data!N$2:N$218)/100)</f>
        <v>25.333562792999999</v>
      </c>
      <c r="S16">
        <f>[1]data!P17*(_xlfn.XLOOKUP([1]data!$C17,[2]data!$B$2:$B$218,[2]data!O$2:O$218)/100)</f>
        <v>30.202234284000003</v>
      </c>
      <c r="T16">
        <f>[1]data!Q17*(_xlfn.XLOOKUP([1]data!$C17,[2]data!$B$2:$B$218,[2]data!P$2:P$218)/100)</f>
        <v>37.499312544000006</v>
      </c>
      <c r="U16">
        <f>[1]data!R17*(_xlfn.XLOOKUP([1]data!$C17,[2]data!$B$2:$B$218,[2]data!Q$2:Q$218)/100)</f>
        <v>44.983706104999996</v>
      </c>
      <c r="V16">
        <f>[1]data!S17*(_xlfn.XLOOKUP([1]data!$C17,[2]data!$B$2:$B$218,[2]data!R$2:R$218)/100)</f>
        <v>53.822299131999998</v>
      </c>
      <c r="W16">
        <f>[1]data!T17*(_xlfn.XLOOKUP([1]data!$C17,[2]data!$B$2:$B$218,[2]data!S$2:S$218)/100)</f>
        <v>63.575110562000006</v>
      </c>
      <c r="X16">
        <f>[1]data!U17*(_xlfn.XLOOKUP([1]data!$C17,[2]data!$B$2:$B$218,[2]data!T$2:T$218)/100)</f>
        <v>71.776910168919997</v>
      </c>
      <c r="Y16">
        <f>[1]data!V17*(_xlfn.XLOOKUP([1]data!$C17,[2]data!$B$2:$B$218,[2]data!U$2:U$218)/100)</f>
        <v>79.855464344760009</v>
      </c>
      <c r="Z16">
        <f>[1]data!W17*(_xlfn.XLOOKUP([1]data!$C17,[2]data!$B$2:$B$218,[2]data!V$2:V$218)/100)</f>
        <v>87.476330006000012</v>
      </c>
      <c r="AA16">
        <f>[1]data!X17*(_xlfn.XLOOKUP([1]data!$C17,[2]data!$B$2:$B$218,[2]data!W$2:W$218)/100)</f>
        <v>94.523651321109995</v>
      </c>
      <c r="AB16">
        <f>[1]data!Y17*(_xlfn.XLOOKUP([1]data!$C17,[2]data!$B$2:$B$218,[2]data!X$2:X$218)/100)</f>
        <v>100.91236504972001</v>
      </c>
      <c r="AC16">
        <f>[1]data!Z17*(_xlfn.XLOOKUP([1]data!$C17,[2]data!$B$2:$B$218,[2]data!Y$2:Y$218)/100)</f>
        <v>106.60666499404999</v>
      </c>
      <c r="AD16">
        <f>[1]data!AA17*(_xlfn.XLOOKUP([1]data!$C17,[2]data!$B$2:$B$218,[2]data!Z$2:Z$218)/100)</f>
        <v>111.57867248308001</v>
      </c>
      <c r="AE16">
        <f>[1]data!AB17*(_xlfn.XLOOKUP([1]data!$C17,[2]data!$B$2:$B$218,[2]data!AA$2:AA$218)/100)</f>
        <v>115.71375310255</v>
      </c>
      <c r="AF16">
        <f>[1]data!AC17*(_xlfn.XLOOKUP([1]data!$C17,[2]data!$B$2:$B$218,[2]data!AB$2:AB$218)/100)</f>
        <v>119.00819511135001</v>
      </c>
      <c r="AG16">
        <f>[1]data!AD17*(_xlfn.XLOOKUP([1]data!$C17,[2]data!$B$2:$B$218,[2]data!AC$2:AC$218)/100)</f>
        <v>121.46933373185003</v>
      </c>
      <c r="AH16">
        <f>[1]data!AE17*(_xlfn.XLOOKUP([1]data!$C17,[2]data!$B$2:$B$218,[2]data!AD$2:AD$218)/100)</f>
        <v>123.16071993612</v>
      </c>
      <c r="AI16">
        <f>[1]data!AF17*(_xlfn.XLOOKUP([1]data!$C17,[2]data!$B$2:$B$218,[2]data!AE$2:AE$218)/100)</f>
        <v>124.17210892162001</v>
      </c>
      <c r="AJ16">
        <f>[1]data!AG17*(_xlfn.XLOOKUP([1]data!$C17,[2]data!$B$2:$B$218,[2]data!AF$2:AF$218)/100)</f>
        <v>124.54651028691001</v>
      </c>
      <c r="AK16">
        <f>[1]data!AH17*(_xlfn.XLOOKUP([1]data!$C17,[2]data!$B$2:$B$218,[2]data!AG$2:AG$218)/100)</f>
        <v>124.35689423673003</v>
      </c>
      <c r="AL16">
        <f>[1]data!AI17*(_xlfn.XLOOKUP([1]data!$C17,[2]data!$B$2:$B$218,[2]data!AH$2:AH$218)/100)</f>
        <v>123.70163210282001</v>
      </c>
      <c r="AM16">
        <f>[1]data!AJ17*(_xlfn.XLOOKUP([1]data!$C17,[2]data!$B$2:$B$218,[2]data!AI$2:AI$218)/100)</f>
        <v>122.79275223095998</v>
      </c>
    </row>
    <row r="17" spans="1:39" x14ac:dyDescent="0.25">
      <c r="A17" t="s">
        <v>30</v>
      </c>
      <c r="B17" t="s">
        <v>31</v>
      </c>
      <c r="C17" t="s">
        <v>49</v>
      </c>
      <c r="D17" t="s">
        <v>290</v>
      </c>
      <c r="E17" t="str">
        <f>_xlfn.XLOOKUP(D17,[6]Feuil1!$C$2:$C$248,[6]Feuil1!$B$2:$B$248)</f>
        <v>BG</v>
      </c>
      <c r="F17" t="s">
        <v>33</v>
      </c>
      <c r="G17" t="str">
        <f>_xlfn.XLOOKUP(C17,[3]Sheet1!$B$2:$B$172,[3]Sheet1!$D$2:$D$172)</f>
        <v>Central Europe</v>
      </c>
      <c r="H17" t="s">
        <v>34</v>
      </c>
      <c r="I17">
        <f>[1]data!F18*(_xlfn.XLOOKUP([1]data!$C18,[2]data!$B$2:$B$218,[2]data!E$2:E$218)/100)</f>
        <v>1.9653256200000002</v>
      </c>
      <c r="J17">
        <f>[1]data!G18*(_xlfn.XLOOKUP([1]data!$C18,[2]data!$B$2:$B$218,[2]data!F$2:F$218)/100)</f>
        <v>2.407840974</v>
      </c>
      <c r="K17">
        <f>[1]data!H18*(_xlfn.XLOOKUP([1]data!$C18,[2]data!$B$2:$B$218,[2]data!G$2:G$218)/100)</f>
        <v>2.9133980749999999</v>
      </c>
      <c r="L17">
        <f>[1]data!I18*(_xlfn.XLOOKUP([1]data!$C18,[2]data!$B$2:$B$218,[2]data!H$2:H$218)/100)</f>
        <v>3.761408356</v>
      </c>
      <c r="M17">
        <f>[1]data!J18*(_xlfn.XLOOKUP([1]data!$C18,[2]data!$B$2:$B$218,[2]data!I$2:I$218)/100)</f>
        <v>4.4709162309999995</v>
      </c>
      <c r="N17">
        <f>[1]data!K18*(_xlfn.XLOOKUP([1]data!$C18,[2]data!$B$2:$B$218,[2]data!J$2:J$218)/100)</f>
        <v>5.0915301120000001</v>
      </c>
      <c r="O17">
        <f>[1]data!L18*(_xlfn.XLOOKUP([1]data!$C18,[2]data!$B$2:$B$218,[2]data!K$2:K$218)/100)</f>
        <v>5.577049476</v>
      </c>
      <c r="P17">
        <f>[1]data!M18*(_xlfn.XLOOKUP([1]data!$C18,[2]data!$B$2:$B$218,[2]data!L$2:L$218)/100)</f>
        <v>5.7692431820000003</v>
      </c>
      <c r="Q17">
        <f>[1]data!N18*(_xlfn.XLOOKUP([1]data!$C18,[2]data!$B$2:$B$218,[2]data!M$2:M$218)/100)</f>
        <v>5.8352167280000016</v>
      </c>
      <c r="R17">
        <f>[1]data!O18*(_xlfn.XLOOKUP([1]data!$C18,[2]data!$B$2:$B$218,[2]data!N$2:N$218)/100)</f>
        <v>5.7733049220000003</v>
      </c>
      <c r="S17">
        <f>[1]data!P18*(_xlfn.XLOOKUP([1]data!$C18,[2]data!$B$2:$B$218,[2]data!O$2:O$218)/100)</f>
        <v>5.6014921430000006</v>
      </c>
      <c r="T17">
        <f>[1]data!Q18*(_xlfn.XLOOKUP([1]data!$C18,[2]data!$B$2:$B$218,[2]data!P$2:P$218)/100)</f>
        <v>5.5354275939999997</v>
      </c>
      <c r="U17">
        <f>[1]data!R18*(_xlfn.XLOOKUP([1]data!$C18,[2]data!$B$2:$B$218,[2]data!Q$2:Q$218)/100)</f>
        <v>5.5060339740000002</v>
      </c>
      <c r="V17">
        <f>[1]data!S18*(_xlfn.XLOOKUP([1]data!$C18,[2]data!$B$2:$B$218,[2]data!R$2:R$218)/100)</f>
        <v>5.4326234199999996</v>
      </c>
      <c r="W17">
        <f>[1]data!T18*(_xlfn.XLOOKUP([1]data!$C18,[2]data!$B$2:$B$218,[2]data!S$2:S$218)/100)</f>
        <v>5.3143209230000075</v>
      </c>
      <c r="X17">
        <f>[1]data!U18*(_xlfn.XLOOKUP([1]data!$C18,[2]data!$B$2:$B$218,[2]data!T$2:T$218)/100)</f>
        <v>5.1702481279800008</v>
      </c>
      <c r="Y17">
        <f>[1]data!V18*(_xlfn.XLOOKUP([1]data!$C18,[2]data!$B$2:$B$218,[2]data!U$2:U$218)/100)</f>
        <v>5.0748620400000002</v>
      </c>
      <c r="Z17">
        <f>[1]data!W18*(_xlfn.XLOOKUP([1]data!$C18,[2]data!$B$2:$B$218,[2]data!V$2:V$218)/100)</f>
        <v>4.9739960620800083</v>
      </c>
      <c r="AA17">
        <f>[1]data!X18*(_xlfn.XLOOKUP([1]data!$C18,[2]data!$B$2:$B$218,[2]data!W$2:W$218)/100)</f>
        <v>4.8715661623599997</v>
      </c>
      <c r="AB17">
        <f>[1]data!Y18*(_xlfn.XLOOKUP([1]data!$C18,[2]data!$B$2:$B$218,[2]data!X$2:X$218)/100)</f>
        <v>4.7707343805800004</v>
      </c>
      <c r="AC17">
        <f>[1]data!Z18*(_xlfn.XLOOKUP([1]data!$C18,[2]data!$B$2:$B$218,[2]data!Y$2:Y$218)/100)</f>
        <v>4.6756724297399996</v>
      </c>
      <c r="AD17">
        <f>[1]data!AA18*(_xlfn.XLOOKUP([1]data!$C18,[2]data!$B$2:$B$218,[2]data!Z$2:Z$218)/100)</f>
        <v>4.5820719667200001</v>
      </c>
      <c r="AE17">
        <f>[1]data!AB18*(_xlfn.XLOOKUP([1]data!$C18,[2]data!$B$2:$B$218,[2]data!AA$2:AA$218)/100)</f>
        <v>4.4862965585199994</v>
      </c>
      <c r="AF17">
        <f>[1]data!AC18*(_xlfn.XLOOKUP([1]data!$C18,[2]data!$B$2:$B$218,[2]data!AB$2:AB$218)/100)</f>
        <v>4.3871264745600005</v>
      </c>
      <c r="AG17">
        <f>[1]data!AD18*(_xlfn.XLOOKUP([1]data!$C18,[2]data!$B$2:$B$218,[2]data!AC$2:AC$218)/100)</f>
        <v>4.28682202216</v>
      </c>
      <c r="AH17">
        <f>[1]data!AE18*(_xlfn.XLOOKUP([1]data!$C18,[2]data!$B$2:$B$218,[2]data!AD$2:AD$218)/100)</f>
        <v>4.1887243638400005</v>
      </c>
      <c r="AI17">
        <f>[1]data!AF18*(_xlfn.XLOOKUP([1]data!$C18,[2]data!$B$2:$B$218,[2]data!AE$2:AE$218)/100)</f>
        <v>4.0998435724800002</v>
      </c>
      <c r="AJ17">
        <f>[1]data!AG18*(_xlfn.XLOOKUP([1]data!$C18,[2]data!$B$2:$B$218,[2]data!AF$2:AF$218)/100)</f>
        <v>4.022783854480001</v>
      </c>
      <c r="AK17">
        <f>[1]data!AH18*(_xlfn.XLOOKUP([1]data!$C18,[2]data!$B$2:$B$218,[2]data!AG$2:AG$218)/100)</f>
        <v>3.9586456438200006</v>
      </c>
      <c r="AL17">
        <f>[1]data!AI18*(_xlfn.XLOOKUP([1]data!$C18,[2]data!$B$2:$B$218,[2]data!AH$2:AH$218)/100)</f>
        <v>3.902533146120009</v>
      </c>
      <c r="AM17">
        <f>[1]data!AJ18*(_xlfn.XLOOKUP([1]data!$C18,[2]data!$B$2:$B$218,[2]data!AI$2:AI$218)/100)</f>
        <v>3.8441785668000001</v>
      </c>
    </row>
    <row r="18" spans="1:39" x14ac:dyDescent="0.25">
      <c r="A18" t="s">
        <v>30</v>
      </c>
      <c r="B18" t="s">
        <v>31</v>
      </c>
      <c r="C18" t="s">
        <v>50</v>
      </c>
      <c r="D18" t="s">
        <v>291</v>
      </c>
      <c r="E18" t="str">
        <f>_xlfn.XLOOKUP(D18,[6]Feuil1!$C$2:$C$248,[6]Feuil1!$B$2:$B$248)</f>
        <v>BH</v>
      </c>
      <c r="F18" t="s">
        <v>33</v>
      </c>
      <c r="G18" t="str">
        <f>_xlfn.XLOOKUP(C18,[3]Sheet1!$B$2:$B$172,[3]Sheet1!$D$2:$D$172)</f>
        <v>Middle East</v>
      </c>
      <c r="H18" t="s">
        <v>34</v>
      </c>
      <c r="I18">
        <f>[1]data!F19*(_xlfn.XLOOKUP([1]data!$C19,[2]data!$B$2:$B$218,[2]data!E$2:E$218)/100)</f>
        <v>7.4427724000000001E-2</v>
      </c>
      <c r="J18">
        <f>[1]data!G19*(_xlfn.XLOOKUP([1]data!$C19,[2]data!$B$2:$B$218,[2]data!F$2:F$218)/100)</f>
        <v>0.10027003999999999</v>
      </c>
      <c r="K18">
        <f>[1]data!H19*(_xlfn.XLOOKUP([1]data!$C19,[2]data!$B$2:$B$218,[2]data!G$2:G$218)/100)</f>
        <v>0.12969903899999999</v>
      </c>
      <c r="L18">
        <f>[1]data!I19*(_xlfn.XLOOKUP([1]data!$C19,[2]data!$B$2:$B$218,[2]data!H$2:H$218)/100)</f>
        <v>0.156717</v>
      </c>
      <c r="M18">
        <f>[1]data!J19*(_xlfn.XLOOKUP([1]data!$C19,[2]data!$B$2:$B$218,[2]data!I$2:I$218)/100)</f>
        <v>0.18406418599999999</v>
      </c>
      <c r="N18">
        <f>[1]data!K19*(_xlfn.XLOOKUP([1]data!$C19,[2]data!$B$2:$B$218,[2]data!J$2:J$218)/100)</f>
        <v>0.23609259999999999</v>
      </c>
      <c r="O18">
        <f>[1]data!L19*(_xlfn.XLOOKUP([1]data!$C19,[2]data!$B$2:$B$218,[2]data!K$2:K$218)/100)</f>
        <v>0.30533901299999999</v>
      </c>
      <c r="P18">
        <f>[1]data!M19*(_xlfn.XLOOKUP([1]data!$C19,[2]data!$B$2:$B$218,[2]data!L$2:L$218)/100)</f>
        <v>0.37201438399999998</v>
      </c>
      <c r="Q18">
        <f>[1]data!N19*(_xlfn.XLOOKUP([1]data!$C19,[2]data!$B$2:$B$218,[2]data!M$2:M$218)/100)</f>
        <v>0.44833385199999998</v>
      </c>
      <c r="R18">
        <f>[1]data!O19*(_xlfn.XLOOKUP([1]data!$C19,[2]data!$B$2:$B$218,[2]data!N$2:N$218)/100)</f>
        <v>0.53309796800000009</v>
      </c>
      <c r="S18">
        <f>[1]data!P19*(_xlfn.XLOOKUP([1]data!$C19,[2]data!$B$2:$B$218,[2]data!O$2:O$218)/100)</f>
        <v>0.62046810799999996</v>
      </c>
      <c r="T18">
        <f>[1]data!Q19*(_xlfn.XLOOKUP([1]data!$C19,[2]data!$B$2:$B$218,[2]data!P$2:P$218)/100)</f>
        <v>0.76688856400000005</v>
      </c>
      <c r="U18">
        <f>[1]data!R19*(_xlfn.XLOOKUP([1]data!$C19,[2]data!$B$2:$B$218,[2]data!Q$2:Q$218)/100)</f>
        <v>1.0752868119999999</v>
      </c>
      <c r="V18">
        <f>[1]data!S19*(_xlfn.XLOOKUP([1]data!$C19,[2]data!$B$2:$B$218,[2]data!R$2:R$218)/100)</f>
        <v>1.19108255</v>
      </c>
      <c r="W18">
        <f>[1]data!T19*(_xlfn.XLOOKUP([1]data!$C19,[2]data!$B$2:$B$218,[2]data!S$2:S$218)/100)</f>
        <v>1.3371613250000001</v>
      </c>
      <c r="X18">
        <f>[1]data!U19*(_xlfn.XLOOKUP([1]data!$C19,[2]data!$B$2:$B$218,[2]data!T$2:T$218)/100)</f>
        <v>1.4661328202999999</v>
      </c>
      <c r="Y18">
        <f>[1]data!V19*(_xlfn.XLOOKUP([1]data!$C19,[2]data!$B$2:$B$218,[2]data!U$2:U$218)/100)</f>
        <v>1.5869226011199999</v>
      </c>
      <c r="Z18">
        <f>[1]data!W19*(_xlfn.XLOOKUP([1]data!$C19,[2]data!$B$2:$B$218,[2]data!V$2:V$218)/100)</f>
        <v>1.7007517811800001</v>
      </c>
      <c r="AA18">
        <f>[1]data!X19*(_xlfn.XLOOKUP([1]data!$C19,[2]data!$B$2:$B$218,[2]data!W$2:W$218)/100)</f>
        <v>1.80981160561</v>
      </c>
      <c r="AB18">
        <f>[1]data!Y19*(_xlfn.XLOOKUP([1]data!$C19,[2]data!$B$2:$B$218,[2]data!X$2:X$218)/100)</f>
        <v>1.9122997778499999</v>
      </c>
      <c r="AC18">
        <f>[1]data!Z19*(_xlfn.XLOOKUP([1]data!$C19,[2]data!$B$2:$B$218,[2]data!Y$2:Y$218)/100)</f>
        <v>2.0048722000199999</v>
      </c>
      <c r="AD18">
        <f>[1]data!AA19*(_xlfn.XLOOKUP([1]data!$C19,[2]data!$B$2:$B$218,[2]data!Z$2:Z$218)/100)</f>
        <v>2.0821983951999989</v>
      </c>
      <c r="AE18">
        <f>[1]data!AB19*(_xlfn.XLOOKUP([1]data!$C19,[2]data!$B$2:$B$218,[2]data!AA$2:AA$218)/100)</f>
        <v>2.14223005794</v>
      </c>
      <c r="AF18">
        <f>[1]data!AC19*(_xlfn.XLOOKUP([1]data!$C19,[2]data!$B$2:$B$218,[2]data!AB$2:AB$218)/100)</f>
        <v>2.1780792188400002</v>
      </c>
      <c r="AG18">
        <f>[1]data!AD19*(_xlfn.XLOOKUP([1]data!$C19,[2]data!$B$2:$B$218,[2]data!AC$2:AC$218)/100)</f>
        <v>2.1908332131699999</v>
      </c>
      <c r="AH18">
        <f>[1]data!AE19*(_xlfn.XLOOKUP([1]data!$C19,[2]data!$B$2:$B$218,[2]data!AD$2:AD$218)/100)</f>
        <v>2.18306992086</v>
      </c>
      <c r="AI18">
        <f>[1]data!AF19*(_xlfn.XLOOKUP([1]data!$C19,[2]data!$B$2:$B$218,[2]data!AE$2:AE$218)/100)</f>
        <v>2.1590314413899998</v>
      </c>
      <c r="AJ18">
        <f>[1]data!AG19*(_xlfn.XLOOKUP([1]data!$C19,[2]data!$B$2:$B$218,[2]data!AF$2:AF$218)/100)</f>
        <v>2.1253489263800001</v>
      </c>
      <c r="AK18">
        <f>[1]data!AH19*(_xlfn.XLOOKUP([1]data!$C19,[2]data!$B$2:$B$218,[2]data!AG$2:AG$218)/100)</f>
        <v>2.08811239</v>
      </c>
      <c r="AL18">
        <f>[1]data!AI19*(_xlfn.XLOOKUP([1]data!$C19,[2]data!$B$2:$B$218,[2]data!AH$2:AH$218)/100)</f>
        <v>2.04928582365</v>
      </c>
      <c r="AM18">
        <f>[1]data!AJ19*(_xlfn.XLOOKUP([1]data!$C19,[2]data!$B$2:$B$218,[2]data!AI$2:AI$218)/100)</f>
        <v>2.0053906781999999</v>
      </c>
    </row>
    <row r="19" spans="1:39" x14ac:dyDescent="0.25">
      <c r="A19" t="s">
        <v>30</v>
      </c>
      <c r="B19" t="s">
        <v>31</v>
      </c>
      <c r="C19" t="s">
        <v>51</v>
      </c>
      <c r="D19" t="s">
        <v>292</v>
      </c>
      <c r="E19" t="str">
        <f>_xlfn.XLOOKUP(D19,[6]Feuil1!$C$2:$C$248,[6]Feuil1!$B$2:$B$248)</f>
        <v>BS</v>
      </c>
      <c r="F19" t="s">
        <v>33</v>
      </c>
      <c r="G19" t="str">
        <f>_xlfn.XLOOKUP(C19,[3]Sheet1!$B$2:$B$172,[3]Sheet1!$D$2:$D$172)</f>
        <v>Central America</v>
      </c>
      <c r="H19" t="s">
        <v>34</v>
      </c>
      <c r="I19">
        <f>[1]data!F20*(_xlfn.XLOOKUP([1]data!$C20,[2]data!$B$2:$B$218,[2]data!E$2:E$218)/100)</f>
        <v>4.2263520000000006E-2</v>
      </c>
      <c r="J19">
        <f>[1]data!G20*(_xlfn.XLOOKUP([1]data!$C20,[2]data!$B$2:$B$218,[2]data!F$2:F$218)/100)</f>
        <v>5.0747137999999997E-2</v>
      </c>
      <c r="K19">
        <f>[1]data!H20*(_xlfn.XLOOKUP([1]data!$C20,[2]data!$B$2:$B$218,[2]data!G$2:G$218)/100)</f>
        <v>6.6718928999999996E-2</v>
      </c>
      <c r="L19">
        <f>[1]data!I20*(_xlfn.XLOOKUP([1]data!$C20,[2]data!$B$2:$B$218,[2]data!H$2:H$218)/100)</f>
        <v>8.9703063E-2</v>
      </c>
      <c r="M19">
        <f>[1]data!J20*(_xlfn.XLOOKUP([1]data!$C20,[2]data!$B$2:$B$218,[2]data!I$2:I$218)/100)</f>
        <v>0.11777775199999999</v>
      </c>
      <c r="N19">
        <f>[1]data!K20*(_xlfn.XLOOKUP([1]data!$C20,[2]data!$B$2:$B$218,[2]data!J$2:J$218)/100)</f>
        <v>0.13989079999999998</v>
      </c>
      <c r="O19">
        <f>[1]data!L20*(_xlfn.XLOOKUP([1]data!$C20,[2]data!$B$2:$B$218,[2]data!K$2:K$218)/100)</f>
        <v>0.16199983400000001</v>
      </c>
      <c r="P19">
        <f>[1]data!M20*(_xlfn.XLOOKUP([1]data!$C20,[2]data!$B$2:$B$218,[2]data!L$2:L$218)/100)</f>
        <v>0.18675913099999999</v>
      </c>
      <c r="Q19">
        <f>[1]data!N20*(_xlfn.XLOOKUP([1]data!$C20,[2]data!$B$2:$B$218,[2]data!M$2:M$218)/100)</f>
        <v>0.21393422400000003</v>
      </c>
      <c r="R19">
        <f>[1]data!O20*(_xlfn.XLOOKUP([1]data!$C20,[2]data!$B$2:$B$218,[2]data!N$2:N$218)/100)</f>
        <v>0.24037884000000004</v>
      </c>
      <c r="S19">
        <f>[1]data!P20*(_xlfn.XLOOKUP([1]data!$C20,[2]data!$B$2:$B$218,[2]data!O$2:O$218)/100)</f>
        <v>0.26450493999999997</v>
      </c>
      <c r="T19">
        <f>[1]data!Q20*(_xlfn.XLOOKUP([1]data!$C20,[2]data!$B$2:$B$218,[2]data!P$2:P$218)/100)</f>
        <v>0.28392784200000004</v>
      </c>
      <c r="U19">
        <f>[1]data!R20*(_xlfn.XLOOKUP([1]data!$C20,[2]data!$B$2:$B$218,[2]data!Q$2:Q$218)/100)</f>
        <v>0.305476576</v>
      </c>
      <c r="V19">
        <f>[1]data!S20*(_xlfn.XLOOKUP([1]data!$C20,[2]data!$B$2:$B$218,[2]data!R$2:R$218)/100)</f>
        <v>0.32336030800000004</v>
      </c>
      <c r="W19">
        <f>[1]data!T20*(_xlfn.XLOOKUP([1]data!$C20,[2]data!$B$2:$B$218,[2]data!S$2:S$218)/100)</f>
        <v>0.337599808</v>
      </c>
      <c r="X19">
        <f>[1]data!U20*(_xlfn.XLOOKUP([1]data!$C20,[2]data!$B$2:$B$218,[2]data!T$2:T$218)/100)</f>
        <v>0.35048062167999994</v>
      </c>
      <c r="Y19">
        <f>[1]data!V20*(_xlfn.XLOOKUP([1]data!$C20,[2]data!$B$2:$B$218,[2]data!U$2:U$218)/100)</f>
        <v>0.36337542737999995</v>
      </c>
      <c r="Z19">
        <f>[1]data!W20*(_xlfn.XLOOKUP([1]data!$C20,[2]data!$B$2:$B$218,[2]data!V$2:V$218)/100)</f>
        <v>0.37510410067999916</v>
      </c>
      <c r="AA19">
        <f>[1]data!X20*(_xlfn.XLOOKUP([1]data!$C20,[2]data!$B$2:$B$218,[2]data!W$2:W$218)/100)</f>
        <v>0.38495807739999999</v>
      </c>
      <c r="AB19">
        <f>[1]data!Y20*(_xlfn.XLOOKUP([1]data!$C20,[2]data!$B$2:$B$218,[2]data!X$2:X$218)/100)</f>
        <v>0.39280091712000004</v>
      </c>
      <c r="AC19">
        <f>[1]data!Z20*(_xlfn.XLOOKUP([1]data!$C20,[2]data!$B$2:$B$218,[2]data!Y$2:Y$218)/100)</f>
        <v>0.39865364469000003</v>
      </c>
      <c r="AD19">
        <f>[1]data!AA20*(_xlfn.XLOOKUP([1]data!$C20,[2]data!$B$2:$B$218,[2]data!Z$2:Z$218)/100)</f>
        <v>0.40269869675999992</v>
      </c>
      <c r="AE19">
        <f>[1]data!AB20*(_xlfn.XLOOKUP([1]data!$C20,[2]data!$B$2:$B$218,[2]data!AA$2:AA$218)/100)</f>
        <v>0.40532479816</v>
      </c>
      <c r="AF19">
        <f>[1]data!AC20*(_xlfn.XLOOKUP([1]data!$C20,[2]data!$B$2:$B$218,[2]data!AB$2:AB$218)/100)</f>
        <v>0.40660343997999998</v>
      </c>
      <c r="AG19">
        <f>[1]data!AD20*(_xlfn.XLOOKUP([1]data!$C20,[2]data!$B$2:$B$218,[2]data!AC$2:AC$218)/100)</f>
        <v>0.40674852864</v>
      </c>
      <c r="AH19">
        <f>[1]data!AE20*(_xlfn.XLOOKUP([1]data!$C20,[2]data!$B$2:$B$218,[2]data!AD$2:AD$218)/100)</f>
        <v>0.4057132300499991</v>
      </c>
      <c r="AI19">
        <f>[1]data!AF20*(_xlfn.XLOOKUP([1]data!$C20,[2]data!$B$2:$B$218,[2]data!AE$2:AE$218)/100)</f>
        <v>0.40330508004000004</v>
      </c>
      <c r="AJ19">
        <f>[1]data!AG20*(_xlfn.XLOOKUP([1]data!$C20,[2]data!$B$2:$B$218,[2]data!AF$2:AF$218)/100)</f>
        <v>0.39943691610999998</v>
      </c>
      <c r="AK19">
        <f>[1]data!AH20*(_xlfn.XLOOKUP([1]data!$C20,[2]data!$B$2:$B$218,[2]data!AG$2:AG$218)/100)</f>
        <v>0.39415748940000001</v>
      </c>
      <c r="AL19">
        <f>[1]data!AI20*(_xlfn.XLOOKUP([1]data!$C20,[2]data!$B$2:$B$218,[2]data!AH$2:AH$218)/100)</f>
        <v>0.38772939699999998</v>
      </c>
      <c r="AM19">
        <f>[1]data!AJ20*(_xlfn.XLOOKUP([1]data!$C20,[2]data!$B$2:$B$218,[2]data!AI$2:AI$218)/100)</f>
        <v>0.38049122790000001</v>
      </c>
    </row>
    <row r="20" spans="1:39" x14ac:dyDescent="0.25">
      <c r="A20" t="s">
        <v>30</v>
      </c>
      <c r="B20" t="s">
        <v>31</v>
      </c>
      <c r="C20" t="s">
        <v>52</v>
      </c>
      <c r="D20" t="s">
        <v>293</v>
      </c>
      <c r="E20" t="str">
        <f>_xlfn.XLOOKUP(D20,[6]Feuil1!$C$2:$C$248,[6]Feuil1!$B$2:$B$248)</f>
        <v>BA</v>
      </c>
      <c r="F20" t="s">
        <v>33</v>
      </c>
      <c r="G20" t="s">
        <v>237</v>
      </c>
      <c r="H20" t="s">
        <v>34</v>
      </c>
      <c r="I20">
        <f>[1]data!F21*(_xlfn.XLOOKUP([1]data!$C21,[2]data!$B$2:$B$218,[2]data!E$2:E$218)/100)</f>
        <v>0.36590562799999998</v>
      </c>
      <c r="J20">
        <f>[1]data!G21*(_xlfn.XLOOKUP([1]data!$C21,[2]data!$B$2:$B$218,[2]data!F$2:F$218)/100)</f>
        <v>0.47443222800000001</v>
      </c>
      <c r="K20">
        <f>[1]data!H21*(_xlfn.XLOOKUP([1]data!$C21,[2]data!$B$2:$B$218,[2]data!G$2:G$218)/100)</f>
        <v>0.61390690999999997</v>
      </c>
      <c r="L20">
        <f>[1]data!I21*(_xlfn.XLOOKUP([1]data!$C21,[2]data!$B$2:$B$218,[2]data!H$2:H$218)/100)</f>
        <v>0.80648137200000003</v>
      </c>
      <c r="M20">
        <f>[1]data!J21*(_xlfn.XLOOKUP([1]data!$C21,[2]data!$B$2:$B$218,[2]data!I$2:I$218)/100)</f>
        <v>1.0318298240000001</v>
      </c>
      <c r="N20">
        <f>[1]data!K21*(_xlfn.XLOOKUP([1]data!$C21,[2]data!$B$2:$B$218,[2]data!J$2:J$218)/100)</f>
        <v>1.252863254</v>
      </c>
      <c r="O20">
        <f>[1]data!L21*(_xlfn.XLOOKUP([1]data!$C21,[2]data!$B$2:$B$218,[2]data!K$2:K$218)/100)</f>
        <v>1.4847360249999997</v>
      </c>
      <c r="P20">
        <f>[1]data!M21*(_xlfn.XLOOKUP([1]data!$C21,[2]data!$B$2:$B$218,[2]data!L$2:L$218)/100)</f>
        <v>1.6421890240000001</v>
      </c>
      <c r="Q20">
        <f>[1]data!N21*(_xlfn.XLOOKUP([1]data!$C21,[2]data!$B$2:$B$218,[2]data!M$2:M$218)/100)</f>
        <v>1.7595927439999999</v>
      </c>
      <c r="R20">
        <f>[1]data!O21*(_xlfn.XLOOKUP([1]data!$C21,[2]data!$B$2:$B$218,[2]data!N$2:N$218)/100)</f>
        <v>1.503582</v>
      </c>
      <c r="S20">
        <f>[1]data!P21*(_xlfn.XLOOKUP([1]data!$C21,[2]data!$B$2:$B$218,[2]data!O$2:O$218)/100)</f>
        <v>1.7688046159999999</v>
      </c>
      <c r="T20">
        <f>[1]data!Q21*(_xlfn.XLOOKUP([1]data!$C21,[2]data!$B$2:$B$218,[2]data!P$2:P$218)/100)</f>
        <v>1.8093473200000001</v>
      </c>
      <c r="U20">
        <f>[1]data!R21*(_xlfn.XLOOKUP([1]data!$C21,[2]data!$B$2:$B$218,[2]data!Q$2:Q$218)/100)</f>
        <v>1.753200528</v>
      </c>
      <c r="V20">
        <f>[1]data!S21*(_xlfn.XLOOKUP([1]data!$C21,[2]data!$B$2:$B$218,[2]data!R$2:R$218)/100)</f>
        <v>1.674146712</v>
      </c>
      <c r="W20">
        <f>[1]data!T21*(_xlfn.XLOOKUP([1]data!$C21,[2]data!$B$2:$B$218,[2]data!S$2:S$218)/100)</f>
        <v>1.63707873</v>
      </c>
      <c r="X20">
        <f>[1]data!U21*(_xlfn.XLOOKUP([1]data!$C21,[2]data!$B$2:$B$218,[2]data!T$2:T$218)/100)</f>
        <v>1.63677194736</v>
      </c>
      <c r="Y20">
        <f>[1]data!V21*(_xlfn.XLOOKUP([1]data!$C21,[2]data!$B$2:$B$218,[2]data!U$2:U$218)/100)</f>
        <v>1.6491443246800004</v>
      </c>
      <c r="Z20">
        <f>[1]data!W21*(_xlfn.XLOOKUP([1]data!$C21,[2]data!$B$2:$B$218,[2]data!V$2:V$218)/100)</f>
        <v>1.6490065091499999</v>
      </c>
      <c r="AA20">
        <f>[1]data!X21*(_xlfn.XLOOKUP([1]data!$C21,[2]data!$B$2:$B$218,[2]data!W$2:W$218)/100)</f>
        <v>1.6378847383499999</v>
      </c>
      <c r="AB20">
        <f>[1]data!Y21*(_xlfn.XLOOKUP([1]data!$C21,[2]data!$B$2:$B$218,[2]data!X$2:X$218)/100)</f>
        <v>1.6189123106400001</v>
      </c>
      <c r="AC20">
        <f>[1]data!Z21*(_xlfn.XLOOKUP([1]data!$C21,[2]data!$B$2:$B$218,[2]data!Y$2:Y$218)/100)</f>
        <v>1.59509640918</v>
      </c>
      <c r="AD20">
        <f>[1]data!AA21*(_xlfn.XLOOKUP([1]data!$C21,[2]data!$B$2:$B$218,[2]data!Z$2:Z$218)/100)</f>
        <v>1.5688244297699998</v>
      </c>
      <c r="AE20">
        <f>[1]data!AB21*(_xlfn.XLOOKUP([1]data!$C21,[2]data!$B$2:$B$218,[2]data!AA$2:AA$218)/100)</f>
        <v>1.5409145713500001</v>
      </c>
      <c r="AF20">
        <f>[1]data!AC21*(_xlfn.XLOOKUP([1]data!$C21,[2]data!$B$2:$B$218,[2]data!AB$2:AB$218)/100)</f>
        <v>1.51372137469</v>
      </c>
      <c r="AG20">
        <f>[1]data!AD21*(_xlfn.XLOOKUP([1]data!$C21,[2]data!$B$2:$B$218,[2]data!AC$2:AC$218)/100)</f>
        <v>1.4869274324099999</v>
      </c>
      <c r="AH20">
        <f>[1]data!AE21*(_xlfn.XLOOKUP([1]data!$C21,[2]data!$B$2:$B$218,[2]data!AD$2:AD$218)/100)</f>
        <v>1.46022291324</v>
      </c>
      <c r="AI20">
        <f>[1]data!AF21*(_xlfn.XLOOKUP([1]data!$C21,[2]data!$B$2:$B$218,[2]data!AE$2:AE$218)/100)</f>
        <v>1.4344487828899999</v>
      </c>
      <c r="AJ20">
        <f>[1]data!AG21*(_xlfn.XLOOKUP([1]data!$C21,[2]data!$B$2:$B$218,[2]data!AF$2:AF$218)/100)</f>
        <v>1.40994618325</v>
      </c>
      <c r="AK20">
        <f>[1]data!AH21*(_xlfn.XLOOKUP([1]data!$C21,[2]data!$B$2:$B$218,[2]data!AG$2:AG$218)/100)</f>
        <v>1.3871377268199998</v>
      </c>
      <c r="AL20">
        <f>[1]data!AI21*(_xlfn.XLOOKUP([1]data!$C21,[2]data!$B$2:$B$218,[2]data!AH$2:AH$218)/100)</f>
        <v>1.3654792031599998</v>
      </c>
      <c r="AM20">
        <f>[1]data!AJ21*(_xlfn.XLOOKUP([1]data!$C21,[2]data!$B$2:$B$218,[2]data!AI$2:AI$218)/100)</f>
        <v>1.3439225871999998</v>
      </c>
    </row>
    <row r="21" spans="1:39" x14ac:dyDescent="0.25">
      <c r="A21" t="s">
        <v>30</v>
      </c>
      <c r="B21" t="s">
        <v>31</v>
      </c>
      <c r="C21" t="s">
        <v>53</v>
      </c>
      <c r="D21" t="s">
        <v>294</v>
      </c>
      <c r="E21" t="str">
        <f>_xlfn.XLOOKUP(D21,[6]Feuil1!$C$2:$C$248,[6]Feuil1!$B$2:$B$248)</f>
        <v>BY</v>
      </c>
      <c r="F21" t="s">
        <v>33</v>
      </c>
      <c r="G21" t="str">
        <f>_xlfn.XLOOKUP(C21,[3]Sheet1!$B$2:$B$172,[3]Sheet1!$D$2:$D$172)</f>
        <v>Ukraine region</v>
      </c>
      <c r="H21" t="s">
        <v>34</v>
      </c>
      <c r="I21">
        <f>[1]data!F22*(_xlfn.XLOOKUP([1]data!$C22,[2]data!$B$2:$B$218,[2]data!E$2:E$218)/100)</f>
        <v>2.0768160980000001</v>
      </c>
      <c r="J21">
        <f>[1]data!G22*(_xlfn.XLOOKUP([1]data!$C22,[2]data!$B$2:$B$218,[2]data!F$2:F$218)/100)</f>
        <v>2.2971745889999999</v>
      </c>
      <c r="K21">
        <f>[1]data!H22*(_xlfn.XLOOKUP([1]data!$C22,[2]data!$B$2:$B$218,[2]data!G$2:G$218)/100)</f>
        <v>2.7010298880000003</v>
      </c>
      <c r="L21">
        <f>[1]data!I22*(_xlfn.XLOOKUP([1]data!$C22,[2]data!$B$2:$B$218,[2]data!H$2:H$218)/100)</f>
        <v>3.3602653139999994</v>
      </c>
      <c r="M21">
        <f>[1]data!J22*(_xlfn.XLOOKUP([1]data!$C22,[2]data!$B$2:$B$218,[2]data!I$2:I$218)/100)</f>
        <v>4.0210341600000001</v>
      </c>
      <c r="N21">
        <f>[1]data!K22*(_xlfn.XLOOKUP([1]data!$C22,[2]data!$B$2:$B$218,[2]data!J$2:J$218)/100)</f>
        <v>4.791435946</v>
      </c>
      <c r="O21">
        <f>[1]data!L22*(_xlfn.XLOOKUP([1]data!$C22,[2]data!$B$2:$B$218,[2]data!K$2:K$218)/100)</f>
        <v>5.5297098049999986</v>
      </c>
      <c r="P21">
        <f>[1]data!M22*(_xlfn.XLOOKUP([1]data!$C22,[2]data!$B$2:$B$218,[2]data!L$2:L$218)/100)</f>
        <v>6.2428116659999997</v>
      </c>
      <c r="Q21">
        <f>[1]data!N22*(_xlfn.XLOOKUP([1]data!$C22,[2]data!$B$2:$B$218,[2]data!M$2:M$218)/100)</f>
        <v>6.8712091800000001</v>
      </c>
      <c r="R21">
        <f>[1]data!O22*(_xlfn.XLOOKUP([1]data!$C22,[2]data!$B$2:$B$218,[2]data!N$2:N$218)/100)</f>
        <v>7.1108485490000017</v>
      </c>
      <c r="S21">
        <f>[1]data!P22*(_xlfn.XLOOKUP([1]data!$C22,[2]data!$B$2:$B$218,[2]data!O$2:O$218)/100)</f>
        <v>7.1969968</v>
      </c>
      <c r="T21">
        <f>[1]data!Q22*(_xlfn.XLOOKUP([1]data!$C22,[2]data!$B$2:$B$218,[2]data!P$2:P$218)/100)</f>
        <v>7.2165192320000005</v>
      </c>
      <c r="U21">
        <f>[1]data!R22*(_xlfn.XLOOKUP([1]data!$C22,[2]data!$B$2:$B$218,[2]data!Q$2:Q$218)/100)</f>
        <v>7.2795852180000002</v>
      </c>
      <c r="V21">
        <f>[1]data!S22*(_xlfn.XLOOKUP([1]data!$C22,[2]data!$B$2:$B$218,[2]data!R$2:R$218)/100)</f>
        <v>7.4856987720000001</v>
      </c>
      <c r="W21">
        <f>[1]data!T22*(_xlfn.XLOOKUP([1]data!$C22,[2]data!$B$2:$B$218,[2]data!S$2:S$218)/100)</f>
        <v>7.6805260050000008</v>
      </c>
      <c r="X21">
        <f>[1]data!U22*(_xlfn.XLOOKUP([1]data!$C22,[2]data!$B$2:$B$218,[2]data!T$2:T$218)/100)</f>
        <v>7.6108267358700008</v>
      </c>
      <c r="Y21">
        <f>[1]data!V22*(_xlfn.XLOOKUP([1]data!$C22,[2]data!$B$2:$B$218,[2]data!U$2:U$218)/100)</f>
        <v>7.5941996629499995</v>
      </c>
      <c r="Z21">
        <f>[1]data!W22*(_xlfn.XLOOKUP([1]data!$C22,[2]data!$B$2:$B$218,[2]data!V$2:V$218)/100)</f>
        <v>7.5684390587900099</v>
      </c>
      <c r="AA21">
        <f>[1]data!X22*(_xlfn.XLOOKUP([1]data!$C22,[2]data!$B$2:$B$218,[2]data!W$2:W$218)/100)</f>
        <v>7.5446003395599996</v>
      </c>
      <c r="AB21">
        <f>[1]data!Y22*(_xlfn.XLOOKUP([1]data!$C22,[2]data!$B$2:$B$218,[2]data!X$2:X$218)/100)</f>
        <v>7.5268030437300082</v>
      </c>
      <c r="AC21">
        <f>[1]data!Z22*(_xlfn.XLOOKUP([1]data!$C22,[2]data!$B$2:$B$218,[2]data!Y$2:Y$218)/100)</f>
        <v>7.50476581675</v>
      </c>
      <c r="AD21">
        <f>[1]data!AA22*(_xlfn.XLOOKUP([1]data!$C22,[2]data!$B$2:$B$218,[2]data!Z$2:Z$218)/100)</f>
        <v>7.4658780719999989</v>
      </c>
      <c r="AE21">
        <f>[1]data!AB22*(_xlfn.XLOOKUP([1]data!$C22,[2]data!$B$2:$B$218,[2]data!AA$2:AA$218)/100)</f>
        <v>7.4131958340200015</v>
      </c>
      <c r="AF21">
        <f>[1]data!AC22*(_xlfn.XLOOKUP([1]data!$C22,[2]data!$B$2:$B$218,[2]data!AB$2:AB$218)/100)</f>
        <v>7.3489518311599999</v>
      </c>
      <c r="AG21">
        <f>[1]data!AD22*(_xlfn.XLOOKUP([1]data!$C22,[2]data!$B$2:$B$218,[2]data!AC$2:AC$218)/100)</f>
        <v>7.27953022228</v>
      </c>
      <c r="AH21">
        <f>[1]data!AE22*(_xlfn.XLOOKUP([1]data!$C22,[2]data!$B$2:$B$218,[2]data!AD$2:AD$218)/100)</f>
        <v>7.2065231361199995</v>
      </c>
      <c r="AI21">
        <f>[1]data!AF22*(_xlfn.XLOOKUP([1]data!$C22,[2]data!$B$2:$B$218,[2]data!AE$2:AE$218)/100)</f>
        <v>7.128736160639999</v>
      </c>
      <c r="AJ21">
        <f>[1]data!AG22*(_xlfn.XLOOKUP([1]data!$C22,[2]data!$B$2:$B$218,[2]data!AF$2:AF$218)/100)</f>
        <v>7.0472583892299996</v>
      </c>
      <c r="AK21">
        <f>[1]data!AH22*(_xlfn.XLOOKUP([1]data!$C22,[2]data!$B$2:$B$218,[2]data!AG$2:AG$218)/100)</f>
        <v>6.9636248830099987</v>
      </c>
      <c r="AL21">
        <f>[1]data!AI22*(_xlfn.XLOOKUP([1]data!$C22,[2]data!$B$2:$B$218,[2]data!AH$2:AH$218)/100)</f>
        <v>6.8750708414399995</v>
      </c>
      <c r="AM21">
        <f>[1]data!AJ22*(_xlfn.XLOOKUP([1]data!$C22,[2]data!$B$2:$B$218,[2]data!AI$2:AI$218)/100)</f>
        <v>6.7726612859999999</v>
      </c>
    </row>
    <row r="22" spans="1:39" x14ac:dyDescent="0.25">
      <c r="A22" t="s">
        <v>30</v>
      </c>
      <c r="B22" t="s">
        <v>31</v>
      </c>
      <c r="C22" t="s">
        <v>54</v>
      </c>
      <c r="D22" t="s">
        <v>295</v>
      </c>
      <c r="E22" t="str">
        <f>_xlfn.XLOOKUP(D22,[6]Feuil1!$C$2:$C$248,[6]Feuil1!$B$2:$B$248)</f>
        <v>BZ</v>
      </c>
      <c r="F22" t="s">
        <v>33</v>
      </c>
      <c r="G22" t="str">
        <f>_xlfn.XLOOKUP(C22,[3]Sheet1!$B$2:$B$172,[3]Sheet1!$D$2:$D$172)</f>
        <v>Central America</v>
      </c>
      <c r="H22" t="s">
        <v>34</v>
      </c>
      <c r="I22">
        <f>[1]data!F23*(_xlfn.XLOOKUP([1]data!$C23,[2]data!$B$2:$B$218,[2]data!E$2:E$218)/100)</f>
        <v>3.7689714999999999E-2</v>
      </c>
      <c r="J22">
        <f>[1]data!G23*(_xlfn.XLOOKUP([1]data!$C23,[2]data!$B$2:$B$218,[2]data!F$2:F$218)/100)</f>
        <v>4.3152283000000007E-2</v>
      </c>
      <c r="K22">
        <f>[1]data!H23*(_xlfn.XLOOKUP([1]data!$C23,[2]data!$B$2:$B$218,[2]data!G$2:G$218)/100)</f>
        <v>4.872042E-2</v>
      </c>
      <c r="L22">
        <f>[1]data!I23*(_xlfn.XLOOKUP([1]data!$C23,[2]data!$B$2:$B$218,[2]data!H$2:H$218)/100)</f>
        <v>5.4213600000000001E-2</v>
      </c>
      <c r="M22">
        <f>[1]data!J23*(_xlfn.XLOOKUP([1]data!$C23,[2]data!$B$2:$B$218,[2]data!I$2:I$218)/100)</f>
        <v>6.107199E-2</v>
      </c>
      <c r="N22">
        <f>[1]data!K23*(_xlfn.XLOOKUP([1]data!$C23,[2]data!$B$2:$B$218,[2]data!J$2:J$218)/100)</f>
        <v>6.499745400000001E-2</v>
      </c>
      <c r="O22">
        <f>[1]data!L23*(_xlfn.XLOOKUP([1]data!$C23,[2]data!$B$2:$B$218,[2]data!K$2:K$218)/100)</f>
        <v>7.080502000000001E-2</v>
      </c>
      <c r="P22">
        <f>[1]data!M23*(_xlfn.XLOOKUP([1]data!$C23,[2]data!$B$2:$B$218,[2]data!L$2:L$218)/100)</f>
        <v>7.8196007999999997E-2</v>
      </c>
      <c r="Q22">
        <f>[1]data!N23*(_xlfn.XLOOKUP([1]data!$C23,[2]data!$B$2:$B$218,[2]data!M$2:M$218)/100)</f>
        <v>8.5804949999999991E-2</v>
      </c>
      <c r="R22">
        <f>[1]data!O23*(_xlfn.XLOOKUP([1]data!$C23,[2]data!$B$2:$B$218,[2]data!N$2:N$218)/100)</f>
        <v>9.3121088000000005E-2</v>
      </c>
      <c r="S22">
        <f>[1]data!P23*(_xlfn.XLOOKUP([1]data!$C23,[2]data!$B$2:$B$218,[2]data!O$2:O$218)/100)</f>
        <v>0.107428658</v>
      </c>
      <c r="T22">
        <f>[1]data!Q23*(_xlfn.XLOOKUP([1]data!$C23,[2]data!$B$2:$B$218,[2]data!P$2:P$218)/100)</f>
        <v>0.12512811299999999</v>
      </c>
      <c r="U22">
        <f>[1]data!R23*(_xlfn.XLOOKUP([1]data!$C23,[2]data!$B$2:$B$218,[2]data!Q$2:Q$218)/100)</f>
        <v>0.14392358</v>
      </c>
      <c r="V22">
        <f>[1]data!S23*(_xlfn.XLOOKUP([1]data!$C23,[2]data!$B$2:$B$218,[2]data!R$2:R$218)/100)</f>
        <v>0.16168574399999999</v>
      </c>
      <c r="W22">
        <f>[1]data!T23*(_xlfn.XLOOKUP([1]data!$C23,[2]data!$B$2:$B$218,[2]data!S$2:S$218)/100)</f>
        <v>0.18051504000000002</v>
      </c>
      <c r="X22">
        <f>[1]data!U23*(_xlfn.XLOOKUP([1]data!$C23,[2]data!$B$2:$B$218,[2]data!T$2:T$218)/100)</f>
        <v>0.20671415128000001</v>
      </c>
      <c r="Y22">
        <f>[1]data!V23*(_xlfn.XLOOKUP([1]data!$C23,[2]data!$B$2:$B$218,[2]data!U$2:U$218)/100)</f>
        <v>0.23383865034000004</v>
      </c>
      <c r="Z22">
        <f>[1]data!W23*(_xlfn.XLOOKUP([1]data!$C23,[2]data!$B$2:$B$218,[2]data!V$2:V$218)/100)</f>
        <v>0.26018980760000004</v>
      </c>
      <c r="AA22">
        <f>[1]data!X23*(_xlfn.XLOOKUP([1]data!$C23,[2]data!$B$2:$B$218,[2]data!W$2:W$218)/100)</f>
        <v>0.28529460335999995</v>
      </c>
      <c r="AB22">
        <f>[1]data!Y23*(_xlfn.XLOOKUP([1]data!$C23,[2]data!$B$2:$B$218,[2]data!X$2:X$218)/100)</f>
        <v>0.30926579648999997</v>
      </c>
      <c r="AC22">
        <f>[1]data!Z23*(_xlfn.XLOOKUP([1]data!$C23,[2]data!$B$2:$B$218,[2]data!Y$2:Y$218)/100)</f>
        <v>0.33211028506000001</v>
      </c>
      <c r="AD22">
        <f>[1]data!AA23*(_xlfn.XLOOKUP([1]data!$C23,[2]data!$B$2:$B$218,[2]data!Z$2:Z$218)/100)</f>
        <v>0.35357122808999997</v>
      </c>
      <c r="AE22">
        <f>[1]data!AB23*(_xlfn.XLOOKUP([1]data!$C23,[2]data!$B$2:$B$218,[2]data!AA$2:AA$218)/100)</f>
        <v>0.37345616949999999</v>
      </c>
      <c r="AF22">
        <f>[1]data!AC23*(_xlfn.XLOOKUP([1]data!$C23,[2]data!$B$2:$B$218,[2]data!AB$2:AB$218)/100)</f>
        <v>0.39117475815000002</v>
      </c>
      <c r="AG22">
        <f>[1]data!AD23*(_xlfn.XLOOKUP([1]data!$C23,[2]data!$B$2:$B$218,[2]data!AC$2:AC$218)/100)</f>
        <v>0.40650170483999937</v>
      </c>
      <c r="AH22">
        <f>[1]data!AE23*(_xlfn.XLOOKUP([1]data!$C23,[2]data!$B$2:$B$218,[2]data!AD$2:AD$218)/100)</f>
        <v>0.41914781502000004</v>
      </c>
      <c r="AI22">
        <f>[1]data!AF23*(_xlfn.XLOOKUP([1]data!$C23,[2]data!$B$2:$B$218,[2]data!AE$2:AE$218)/100)</f>
        <v>0.42932903013000001</v>
      </c>
      <c r="AJ22">
        <f>[1]data!AG23*(_xlfn.XLOOKUP([1]data!$C23,[2]data!$B$2:$B$218,[2]data!AF$2:AF$218)/100)</f>
        <v>0.43711877659999931</v>
      </c>
      <c r="AK22">
        <f>[1]data!AH23*(_xlfn.XLOOKUP([1]data!$C23,[2]data!$B$2:$B$218,[2]data!AG$2:AG$218)/100)</f>
        <v>0.44273553647000075</v>
      </c>
      <c r="AL22">
        <f>[1]data!AI23*(_xlfn.XLOOKUP([1]data!$C23,[2]data!$B$2:$B$218,[2]data!AH$2:AH$218)/100)</f>
        <v>0.44639341839999996</v>
      </c>
      <c r="AM22">
        <f>[1]data!AJ23*(_xlfn.XLOOKUP([1]data!$C23,[2]data!$B$2:$B$218,[2]data!AI$2:AI$218)/100)</f>
        <v>0.44823677847000004</v>
      </c>
    </row>
    <row r="23" spans="1:39" x14ac:dyDescent="0.25">
      <c r="A23" t="s">
        <v>30</v>
      </c>
      <c r="B23" t="s">
        <v>31</v>
      </c>
      <c r="C23" t="s">
        <v>55</v>
      </c>
      <c r="D23" t="s">
        <v>296</v>
      </c>
      <c r="E23" t="str">
        <f>_xlfn.XLOOKUP(D23,[6]Feuil1!$C$2:$C$248,[6]Feuil1!$B$2:$B$248)</f>
        <v>BO</v>
      </c>
      <c r="F23" t="s">
        <v>33</v>
      </c>
      <c r="G23" t="str">
        <f>_xlfn.XLOOKUP(C23,[3]Sheet1!$B$2:$B$172,[3]Sheet1!$D$2:$D$172)</f>
        <v>Rest of South America</v>
      </c>
      <c r="H23" t="s">
        <v>34</v>
      </c>
      <c r="I23">
        <f>[1]data!F24*(_xlfn.XLOOKUP([1]data!$C24,[2]data!$B$2:$B$218,[2]data!E$2:E$218)/100)</f>
        <v>1.0366743919999999</v>
      </c>
      <c r="J23">
        <f>[1]data!G24*(_xlfn.XLOOKUP([1]data!$C24,[2]data!$B$2:$B$218,[2]data!F$2:F$218)/100)</f>
        <v>1.1743985239999999</v>
      </c>
      <c r="K23">
        <f>[1]data!H24*(_xlfn.XLOOKUP([1]data!$C24,[2]data!$B$2:$B$218,[2]data!G$2:G$218)/100)</f>
        <v>1.3503450880000001</v>
      </c>
      <c r="L23">
        <f>[1]data!I24*(_xlfn.XLOOKUP([1]data!$C24,[2]data!$B$2:$B$218,[2]data!H$2:H$218)/100)</f>
        <v>1.5595350189999999</v>
      </c>
      <c r="M23">
        <f>[1]data!J24*(_xlfn.XLOOKUP([1]data!$C24,[2]data!$B$2:$B$218,[2]data!I$2:I$218)/100)</f>
        <v>1.8050223359999997</v>
      </c>
      <c r="N23">
        <f>[1]data!K24*(_xlfn.XLOOKUP([1]data!$C24,[2]data!$B$2:$B$218,[2]data!J$2:J$218)/100)</f>
        <v>2.0940173799999999</v>
      </c>
      <c r="O23">
        <f>[1]data!L24*(_xlfn.XLOOKUP([1]data!$C24,[2]data!$B$2:$B$218,[2]data!K$2:K$218)/100)</f>
        <v>2.58117405</v>
      </c>
      <c r="P23">
        <f>[1]data!M24*(_xlfn.XLOOKUP([1]data!$C24,[2]data!$B$2:$B$218,[2]data!L$2:L$218)/100)</f>
        <v>3.1906576700000002</v>
      </c>
      <c r="Q23">
        <f>[1]data!N24*(_xlfn.XLOOKUP([1]data!$C24,[2]data!$B$2:$B$218,[2]data!M$2:M$218)/100)</f>
        <v>3.9043215160000004</v>
      </c>
      <c r="R23">
        <f>[1]data!O24*(_xlfn.XLOOKUP([1]data!$C24,[2]data!$B$2:$B$218,[2]data!N$2:N$218)/100)</f>
        <v>4.5985080000000007</v>
      </c>
      <c r="S23">
        <f>[1]data!P24*(_xlfn.XLOOKUP([1]data!$C24,[2]data!$B$2:$B$218,[2]data!O$2:O$218)/100)</f>
        <v>5.262855246</v>
      </c>
      <c r="T23">
        <f>[1]data!Q24*(_xlfn.XLOOKUP([1]data!$C24,[2]data!$B$2:$B$218,[2]data!P$2:P$218)/100)</f>
        <v>5.968137929999993</v>
      </c>
      <c r="U23">
        <f>[1]data!R24*(_xlfn.XLOOKUP([1]data!$C24,[2]data!$B$2:$B$218,[2]data!Q$2:Q$218)/100)</f>
        <v>6.7309938960000011</v>
      </c>
      <c r="V23">
        <f>[1]data!S24*(_xlfn.XLOOKUP([1]data!$C24,[2]data!$B$2:$B$218,[2]data!R$2:R$218)/100)</f>
        <v>7.5265171200000012</v>
      </c>
      <c r="W23">
        <f>[1]data!T24*(_xlfn.XLOOKUP([1]data!$C24,[2]data!$B$2:$B$218,[2]data!S$2:S$218)/100)</f>
        <v>8.3155087520000013</v>
      </c>
      <c r="X23">
        <f>[1]data!U24*(_xlfn.XLOOKUP([1]data!$C24,[2]data!$B$2:$B$218,[2]data!T$2:T$218)/100)</f>
        <v>9.0160237261200002</v>
      </c>
      <c r="Y23">
        <f>[1]data!V24*(_xlfn.XLOOKUP([1]data!$C24,[2]data!$B$2:$B$218,[2]data!U$2:U$218)/100)</f>
        <v>9.7820702483500011</v>
      </c>
      <c r="Z23">
        <f>[1]data!W24*(_xlfn.XLOOKUP([1]data!$C24,[2]data!$B$2:$B$218,[2]data!V$2:V$218)/100)</f>
        <v>10.526947743000001</v>
      </c>
      <c r="AA23">
        <f>[1]data!X24*(_xlfn.XLOOKUP([1]data!$C24,[2]data!$B$2:$B$218,[2]data!W$2:W$218)/100)</f>
        <v>11.22201319098</v>
      </c>
      <c r="AB23">
        <f>[1]data!Y24*(_xlfn.XLOOKUP([1]data!$C24,[2]data!$B$2:$B$218,[2]data!X$2:X$218)/100)</f>
        <v>11.864818974239999</v>
      </c>
      <c r="AC23">
        <f>[1]data!Z24*(_xlfn.XLOOKUP([1]data!$C24,[2]data!$B$2:$B$218,[2]data!Y$2:Y$218)/100)</f>
        <v>12.43202399712</v>
      </c>
      <c r="AD23">
        <f>[1]data!AA24*(_xlfn.XLOOKUP([1]data!$C24,[2]data!$B$2:$B$218,[2]data!Z$2:Z$218)/100)</f>
        <v>12.913588360690003</v>
      </c>
      <c r="AE23">
        <f>[1]data!AB24*(_xlfn.XLOOKUP([1]data!$C24,[2]data!$B$2:$B$218,[2]data!AA$2:AA$218)/100)</f>
        <v>13.318341225679999</v>
      </c>
      <c r="AF23">
        <f>[1]data!AC24*(_xlfn.XLOOKUP([1]data!$C24,[2]data!$B$2:$B$218,[2]data!AB$2:AB$218)/100)</f>
        <v>13.662496560000001</v>
      </c>
      <c r="AG23">
        <f>[1]data!AD24*(_xlfn.XLOOKUP([1]data!$C24,[2]data!$B$2:$B$218,[2]data!AC$2:AC$218)/100)</f>
        <v>13.946786177999998</v>
      </c>
      <c r="AH23">
        <f>[1]data!AE24*(_xlfn.XLOOKUP([1]data!$C24,[2]data!$B$2:$B$218,[2]data!AD$2:AD$218)/100)</f>
        <v>14.173864026249998</v>
      </c>
      <c r="AI23">
        <f>[1]data!AF24*(_xlfn.XLOOKUP([1]data!$C24,[2]data!$B$2:$B$218,[2]data!AE$2:AE$218)/100)</f>
        <v>14.331206058540001</v>
      </c>
      <c r="AJ23">
        <f>[1]data!AG24*(_xlfn.XLOOKUP([1]data!$C24,[2]data!$B$2:$B$218,[2]data!AF$2:AF$218)/100)</f>
        <v>14.42800740247</v>
      </c>
      <c r="AK23">
        <f>[1]data!AH24*(_xlfn.XLOOKUP([1]data!$C24,[2]data!$B$2:$B$218,[2]data!AG$2:AG$218)/100)</f>
        <v>14.470880002320001</v>
      </c>
      <c r="AL23">
        <f>[1]data!AI24*(_xlfn.XLOOKUP([1]data!$C24,[2]data!$B$2:$B$218,[2]data!AH$2:AH$218)/100)</f>
        <v>14.470003197639997</v>
      </c>
      <c r="AM23">
        <f>[1]data!AJ24*(_xlfn.XLOOKUP([1]data!$C24,[2]data!$B$2:$B$218,[2]data!AI$2:AI$218)/100)</f>
        <v>14.431116244199998</v>
      </c>
    </row>
    <row r="24" spans="1:39" x14ac:dyDescent="0.25">
      <c r="A24" t="s">
        <v>30</v>
      </c>
      <c r="B24" t="s">
        <v>31</v>
      </c>
      <c r="C24" t="s">
        <v>56</v>
      </c>
      <c r="D24" t="s">
        <v>297</v>
      </c>
      <c r="E24" t="str">
        <f>_xlfn.XLOOKUP(D24,[6]Feuil1!$C$2:$C$248,[6]Feuil1!$B$2:$B$248)</f>
        <v>BR</v>
      </c>
      <c r="F24" t="s">
        <v>33</v>
      </c>
      <c r="G24" t="str">
        <f>_xlfn.XLOOKUP(C24,[3]Sheet1!$B$2:$B$172,[3]Sheet1!$D$2:$D$172)</f>
        <v>Brazil</v>
      </c>
      <c r="H24" t="s">
        <v>34</v>
      </c>
      <c r="I24">
        <f>[1]data!F25*(_xlfn.XLOOKUP([1]data!$C25,[2]data!$B$2:$B$218,[2]data!E$2:E$218)/100)</f>
        <v>19.240987800000003</v>
      </c>
      <c r="J24">
        <f>[1]data!G25*(_xlfn.XLOOKUP([1]data!$C25,[2]data!$B$2:$B$218,[2]data!F$2:F$218)/100)</f>
        <v>25.378100844000002</v>
      </c>
      <c r="K24">
        <f>[1]data!H25*(_xlfn.XLOOKUP([1]data!$C25,[2]data!$B$2:$B$218,[2]data!G$2:G$218)/100)</f>
        <v>33.181238416000006</v>
      </c>
      <c r="L24">
        <f>[1]data!I25*(_xlfn.XLOOKUP([1]data!$C25,[2]data!$B$2:$B$218,[2]data!H$2:H$218)/100)</f>
        <v>42.555048210000002</v>
      </c>
      <c r="M24">
        <f>[1]data!J25*(_xlfn.XLOOKUP([1]data!$C25,[2]data!$B$2:$B$218,[2]data!I$2:I$218)/100)</f>
        <v>53.203665735999998</v>
      </c>
      <c r="N24">
        <f>[1]data!K25*(_xlfn.XLOOKUP([1]data!$C25,[2]data!$B$2:$B$218,[2]data!J$2:J$218)/100)</f>
        <v>65.311598943999996</v>
      </c>
      <c r="O24">
        <f>[1]data!L25*(_xlfn.XLOOKUP([1]data!$C25,[2]data!$B$2:$B$218,[2]data!K$2:K$218)/100)</f>
        <v>79.158874165</v>
      </c>
      <c r="P24">
        <f>[1]data!M25*(_xlfn.XLOOKUP([1]data!$C25,[2]data!$B$2:$B$218,[2]data!L$2:L$218)/100)</f>
        <v>94.602940998000022</v>
      </c>
      <c r="Q24">
        <f>[1]data!N25*(_xlfn.XLOOKUP([1]data!$C25,[2]data!$B$2:$B$218,[2]data!M$2:M$218)/100)</f>
        <v>110.38491256700001</v>
      </c>
      <c r="R24">
        <f>[1]data!O25*(_xlfn.XLOOKUP([1]data!$C25,[2]data!$B$2:$B$218,[2]data!N$2:N$218)/100)</f>
        <v>125.90609544799999</v>
      </c>
      <c r="S24">
        <f>[1]data!P25*(_xlfn.XLOOKUP([1]data!$C25,[2]data!$B$2:$B$218,[2]data!O$2:O$218)/100)</f>
        <v>141.850436672</v>
      </c>
      <c r="T24">
        <f>[1]data!Q25*(_xlfn.XLOOKUP([1]data!$C25,[2]data!$B$2:$B$218,[2]data!P$2:P$218)/100)</f>
        <v>153.81749458799999</v>
      </c>
      <c r="U24">
        <f>[1]data!R25*(_xlfn.XLOOKUP([1]data!$C25,[2]data!$B$2:$B$218,[2]data!Q$2:Q$218)/100)</f>
        <v>164.74980825</v>
      </c>
      <c r="V24">
        <f>[1]data!S25*(_xlfn.XLOOKUP([1]data!$C25,[2]data!$B$2:$B$218,[2]data!R$2:R$218)/100)</f>
        <v>175.31926698000001</v>
      </c>
      <c r="W24">
        <f>[1]data!T25*(_xlfn.XLOOKUP([1]data!$C25,[2]data!$B$2:$B$218,[2]data!S$2:S$218)/100)</f>
        <v>185.14406099800001</v>
      </c>
      <c r="X24">
        <f>[1]data!U25*(_xlfn.XLOOKUP([1]data!$C25,[2]data!$B$2:$B$218,[2]data!T$2:T$218)/100)</f>
        <v>191.00851488045001</v>
      </c>
      <c r="Y24">
        <f>[1]data!V25*(_xlfn.XLOOKUP([1]data!$C25,[2]data!$B$2:$B$218,[2]data!U$2:U$218)/100)</f>
        <v>196.62306925308002</v>
      </c>
      <c r="Z24">
        <f>[1]data!W25*(_xlfn.XLOOKUP([1]data!$C25,[2]data!$B$2:$B$218,[2]data!V$2:V$218)/100)</f>
        <v>201.13402907988001</v>
      </c>
      <c r="AA24">
        <f>[1]data!X25*(_xlfn.XLOOKUP([1]data!$C25,[2]data!$B$2:$B$218,[2]data!W$2:W$218)/100)</f>
        <v>204.45144157292</v>
      </c>
      <c r="AB24">
        <f>[1]data!Y25*(_xlfn.XLOOKUP([1]data!$C25,[2]data!$B$2:$B$218,[2]data!X$2:X$218)/100)</f>
        <v>206.57858483361002</v>
      </c>
      <c r="AC24">
        <f>[1]data!Z25*(_xlfn.XLOOKUP([1]data!$C25,[2]data!$B$2:$B$218,[2]data!Y$2:Y$218)/100)</f>
        <v>207.48102763825003</v>
      </c>
      <c r="AD24">
        <f>[1]data!AA25*(_xlfn.XLOOKUP([1]data!$C25,[2]data!$B$2:$B$218,[2]data!Z$2:Z$218)/100)</f>
        <v>207.32675192324999</v>
      </c>
      <c r="AE24">
        <f>[1]data!AB25*(_xlfn.XLOOKUP([1]data!$C25,[2]data!$B$2:$B$218,[2]data!AA$2:AA$218)/100)</f>
        <v>206.20857638472</v>
      </c>
      <c r="AF24">
        <f>[1]data!AC25*(_xlfn.XLOOKUP([1]data!$C25,[2]data!$B$2:$B$218,[2]data!AB$2:AB$218)/100)</f>
        <v>204.15655915239998</v>
      </c>
      <c r="AG24">
        <f>[1]data!AD25*(_xlfn.XLOOKUP([1]data!$C25,[2]data!$B$2:$B$218,[2]data!AC$2:AC$218)/100)</f>
        <v>201.27986894414002</v>
      </c>
      <c r="AH24">
        <f>[1]data!AE25*(_xlfn.XLOOKUP([1]data!$C25,[2]data!$B$2:$B$218,[2]data!AD$2:AD$218)/100)</f>
        <v>197.67642050223998</v>
      </c>
      <c r="AI24">
        <f>[1]data!AF25*(_xlfn.XLOOKUP([1]data!$C25,[2]data!$B$2:$B$218,[2]data!AE$2:AE$218)/100)</f>
        <v>193.43783322824004</v>
      </c>
      <c r="AJ24">
        <f>[1]data!AG25*(_xlfn.XLOOKUP([1]data!$C25,[2]data!$B$2:$B$218,[2]data!AF$2:AF$218)/100)</f>
        <v>188.85417371150001</v>
      </c>
      <c r="AK24">
        <f>[1]data!AH25*(_xlfn.XLOOKUP([1]data!$C25,[2]data!$B$2:$B$218,[2]data!AG$2:AG$218)/100)</f>
        <v>184.09423766625</v>
      </c>
      <c r="AL24">
        <f>[1]data!AI25*(_xlfn.XLOOKUP([1]data!$C25,[2]data!$B$2:$B$218,[2]data!AH$2:AH$218)/100)</f>
        <v>179.31202530249001</v>
      </c>
      <c r="AM24">
        <f>[1]data!AJ25*(_xlfn.XLOOKUP([1]data!$C25,[2]data!$B$2:$B$218,[2]data!AI$2:AI$218)/100)</f>
        <v>174.61606287849</v>
      </c>
    </row>
    <row r="25" spans="1:39" x14ac:dyDescent="0.25">
      <c r="A25" t="s">
        <v>30</v>
      </c>
      <c r="B25" t="s">
        <v>31</v>
      </c>
      <c r="C25" t="s">
        <v>57</v>
      </c>
      <c r="D25" t="s">
        <v>298</v>
      </c>
      <c r="E25" t="str">
        <f>_xlfn.XLOOKUP(D25,[6]Feuil1!$C$2:$C$248,[6]Feuil1!$B$2:$B$248)</f>
        <v>BB</v>
      </c>
      <c r="F25" t="s">
        <v>33</v>
      </c>
      <c r="G25" t="s">
        <v>236</v>
      </c>
      <c r="H25" t="s">
        <v>34</v>
      </c>
      <c r="I25">
        <f>[1]data!F26*(_xlfn.XLOOKUP([1]data!$C26,[2]data!$B$2:$B$218,[2]data!E$2:E$218)/100)</f>
        <v>7.5048650999999994E-2</v>
      </c>
      <c r="J25">
        <f>[1]data!G26*(_xlfn.XLOOKUP([1]data!$C26,[2]data!$B$2:$B$218,[2]data!F$2:F$218)/100)</f>
        <v>8.2424159999999996E-2</v>
      </c>
      <c r="K25">
        <f>[1]data!H26*(_xlfn.XLOOKUP([1]data!$C26,[2]data!$B$2:$B$218,[2]data!G$2:G$218)/100)</f>
        <v>8.5373056000000003E-2</v>
      </c>
      <c r="L25">
        <f>[1]data!I26*(_xlfn.XLOOKUP([1]data!$C26,[2]data!$B$2:$B$218,[2]data!H$2:H$218)/100)</f>
        <v>8.8033848000000012E-2</v>
      </c>
      <c r="M25">
        <f>[1]data!J26*(_xlfn.XLOOKUP([1]data!$C26,[2]data!$B$2:$B$218,[2]data!I$2:I$218)/100)</f>
        <v>9.0603216E-2</v>
      </c>
      <c r="N25">
        <f>[1]data!K26*(_xlfn.XLOOKUP([1]data!$C26,[2]data!$B$2:$B$218,[2]data!J$2:J$218)/100)</f>
        <v>9.5873717999999997E-2</v>
      </c>
      <c r="O25">
        <f>[1]data!L26*(_xlfn.XLOOKUP([1]data!$C26,[2]data!$B$2:$B$218,[2]data!K$2:K$218)/100)</f>
        <v>0.101443376</v>
      </c>
      <c r="P25">
        <f>[1]data!M26*(_xlfn.XLOOKUP([1]data!$C26,[2]data!$B$2:$B$218,[2]data!L$2:L$218)/100)</f>
        <v>9.9705905999999997E-2</v>
      </c>
      <c r="Q25">
        <f>[1]data!N26*(_xlfn.XLOOKUP([1]data!$C26,[2]data!$B$2:$B$218,[2]data!M$2:M$218)/100)</f>
        <v>9.6771378000000005E-2</v>
      </c>
      <c r="R25">
        <f>[1]data!O26*(_xlfn.XLOOKUP([1]data!$C26,[2]data!$B$2:$B$218,[2]data!N$2:N$218)/100)</f>
        <v>9.3286952000000006E-2</v>
      </c>
      <c r="S25">
        <f>[1]data!P26*(_xlfn.XLOOKUP([1]data!$C26,[2]data!$B$2:$B$218,[2]data!O$2:O$218)/100)</f>
        <v>8.9395253999999993E-2</v>
      </c>
      <c r="T25">
        <f>[1]data!Q26*(_xlfn.XLOOKUP([1]data!$C26,[2]data!$B$2:$B$218,[2]data!P$2:P$218)/100)</f>
        <v>8.8231999999999991E-2</v>
      </c>
      <c r="U25">
        <f>[1]data!R26*(_xlfn.XLOOKUP([1]data!$C26,[2]data!$B$2:$B$218,[2]data!Q$2:Q$218)/100)</f>
        <v>8.7502657000000011E-2</v>
      </c>
      <c r="V25">
        <f>[1]data!S26*(_xlfn.XLOOKUP([1]data!$C26,[2]data!$B$2:$B$218,[2]data!R$2:R$218)/100)</f>
        <v>8.667266400000001E-2</v>
      </c>
      <c r="W25">
        <f>[1]data!T26*(_xlfn.XLOOKUP([1]data!$C26,[2]data!$B$2:$B$218,[2]data!S$2:S$218)/100)</f>
        <v>8.7492912000000006E-2</v>
      </c>
      <c r="X25">
        <f>[1]data!U26*(_xlfn.XLOOKUP([1]data!$C26,[2]data!$B$2:$B$218,[2]data!T$2:T$218)/100)</f>
        <v>9.6497313500000001E-2</v>
      </c>
      <c r="Y25">
        <f>[1]data!V26*(_xlfn.XLOOKUP([1]data!$C26,[2]data!$B$2:$B$218,[2]data!U$2:U$218)/100)</f>
        <v>0.10540206243</v>
      </c>
      <c r="Z25">
        <f>[1]data!W26*(_xlfn.XLOOKUP([1]data!$C26,[2]data!$B$2:$B$218,[2]data!V$2:V$218)/100)</f>
        <v>0.11393506385999998</v>
      </c>
      <c r="AA25">
        <f>[1]data!X26*(_xlfn.XLOOKUP([1]data!$C26,[2]data!$B$2:$B$218,[2]data!W$2:W$218)/100)</f>
        <v>0.12185770409999958</v>
      </c>
      <c r="AB25">
        <f>[1]data!Y26*(_xlfn.XLOOKUP([1]data!$C26,[2]data!$B$2:$B$218,[2]data!X$2:X$218)/100)</f>
        <v>0.12912984711</v>
      </c>
      <c r="AC25">
        <f>[1]data!Z26*(_xlfn.XLOOKUP([1]data!$C26,[2]data!$B$2:$B$218,[2]data!Y$2:Y$218)/100)</f>
        <v>0.13573064576999999</v>
      </c>
      <c r="AD25">
        <f>[1]data!AA26*(_xlfn.XLOOKUP([1]data!$C26,[2]data!$B$2:$B$218,[2]data!Z$2:Z$218)/100)</f>
        <v>0.14185371348</v>
      </c>
      <c r="AE25">
        <f>[1]data!AB26*(_xlfn.XLOOKUP([1]data!$C26,[2]data!$B$2:$B$218,[2]data!AA$2:AA$218)/100)</f>
        <v>0.14767996008999998</v>
      </c>
      <c r="AF25">
        <f>[1]data!AC26*(_xlfn.XLOOKUP([1]data!$C26,[2]data!$B$2:$B$218,[2]data!AB$2:AB$218)/100)</f>
        <v>0.15311343520000001</v>
      </c>
      <c r="AG25">
        <f>[1]data!AD26*(_xlfn.XLOOKUP([1]data!$C26,[2]data!$B$2:$B$218,[2]data!AC$2:AC$218)/100)</f>
        <v>0.15811112960000001</v>
      </c>
      <c r="AH25">
        <f>[1]data!AE26*(_xlfn.XLOOKUP([1]data!$C26,[2]data!$B$2:$B$218,[2]data!AD$2:AD$218)/100)</f>
        <v>0.16264701145999999</v>
      </c>
      <c r="AI25">
        <f>[1]data!AF26*(_xlfn.XLOOKUP([1]data!$C26,[2]data!$B$2:$B$218,[2]data!AE$2:AE$218)/100)</f>
        <v>0.16668375175999997</v>
      </c>
      <c r="AJ25">
        <f>[1]data!AG26*(_xlfn.XLOOKUP([1]data!$C26,[2]data!$B$2:$B$218,[2]data!AF$2:AF$218)/100)</f>
        <v>0.17009824831999998</v>
      </c>
      <c r="AK25">
        <f>[1]data!AH26*(_xlfn.XLOOKUP([1]data!$C26,[2]data!$B$2:$B$218,[2]data!AG$2:AG$218)/100)</f>
        <v>0.17293945735999999</v>
      </c>
      <c r="AL25">
        <f>[1]data!AI26*(_xlfn.XLOOKUP([1]data!$C26,[2]data!$B$2:$B$218,[2]data!AH$2:AH$218)/100)</f>
        <v>0.17521746269999999</v>
      </c>
      <c r="AM25">
        <f>[1]data!AJ26*(_xlfn.XLOOKUP([1]data!$C26,[2]data!$B$2:$B$218,[2]data!AI$2:AI$218)/100)</f>
        <v>0.17681969340000001</v>
      </c>
    </row>
    <row r="26" spans="1:39" x14ac:dyDescent="0.25">
      <c r="A26" t="s">
        <v>30</v>
      </c>
      <c r="B26" t="s">
        <v>31</v>
      </c>
      <c r="C26" t="s">
        <v>58</v>
      </c>
      <c r="D26" t="s">
        <v>299</v>
      </c>
      <c r="E26" t="str">
        <f>_xlfn.XLOOKUP(D26,[6]Feuil1!$C$2:$C$248,[6]Feuil1!$B$2:$B$248)</f>
        <v>BN</v>
      </c>
      <c r="F26" t="s">
        <v>33</v>
      </c>
      <c r="G26" t="s">
        <v>242</v>
      </c>
      <c r="H26" t="s">
        <v>34</v>
      </c>
      <c r="I26">
        <f>[1]data!F27*(_xlfn.XLOOKUP([1]data!$C27,[2]data!$B$2:$B$218,[2]data!E$2:E$218)/100)</f>
        <v>1.2558212000000003E-2</v>
      </c>
      <c r="J26">
        <f>[1]data!G27*(_xlfn.XLOOKUP([1]data!$C27,[2]data!$B$2:$B$218,[2]data!F$2:F$218)/100)</f>
        <v>2.1577944000000002E-2</v>
      </c>
      <c r="K26">
        <f>[1]data!H27*(_xlfn.XLOOKUP([1]data!$C27,[2]data!$B$2:$B$218,[2]data!G$2:G$218)/100)</f>
        <v>3.6122253999999999E-2</v>
      </c>
      <c r="L26">
        <f>[1]data!I27*(_xlfn.XLOOKUP([1]data!$C27,[2]data!$B$2:$B$218,[2]data!H$2:H$218)/100)</f>
        <v>5.5369916000000012E-2</v>
      </c>
      <c r="M26">
        <f>[1]data!J27*(_xlfn.XLOOKUP([1]data!$C27,[2]data!$B$2:$B$218,[2]data!I$2:I$218)/100)</f>
        <v>8.0619687999999995E-2</v>
      </c>
      <c r="N26">
        <f>[1]data!K27*(_xlfn.XLOOKUP([1]data!$C27,[2]data!$B$2:$B$218,[2]data!J$2:J$218)/100)</f>
        <v>0.10076832000000001</v>
      </c>
      <c r="O26">
        <f>[1]data!L27*(_xlfn.XLOOKUP([1]data!$C27,[2]data!$B$2:$B$218,[2]data!K$2:K$218)/100)</f>
        <v>0.119992312</v>
      </c>
      <c r="P26">
        <f>[1]data!M27*(_xlfn.XLOOKUP([1]data!$C27,[2]data!$B$2:$B$218,[2]data!L$2:L$218)/100)</f>
        <v>0.14344478099999999</v>
      </c>
      <c r="Q26">
        <f>[1]data!N27*(_xlfn.XLOOKUP([1]data!$C27,[2]data!$B$2:$B$218,[2]data!M$2:M$218)/100)</f>
        <v>0.17123364800000002</v>
      </c>
      <c r="R26">
        <f>[1]data!O27*(_xlfn.XLOOKUP([1]data!$C27,[2]data!$B$2:$B$218,[2]data!N$2:N$218)/100)</f>
        <v>0.20273289399999997</v>
      </c>
      <c r="S26">
        <f>[1]data!P27*(_xlfn.XLOOKUP([1]data!$C27,[2]data!$B$2:$B$218,[2]data!O$2:O$218)/100)</f>
        <v>0.23530674400000004</v>
      </c>
      <c r="T26">
        <f>[1]data!Q27*(_xlfn.XLOOKUP([1]data!$C27,[2]data!$B$2:$B$218,[2]data!P$2:P$218)/100)</f>
        <v>0.26617496400000001</v>
      </c>
      <c r="U26">
        <f>[1]data!R27*(_xlfn.XLOOKUP([1]data!$C27,[2]data!$B$2:$B$218,[2]data!Q$2:Q$218)/100)</f>
        <v>0.29488124999999998</v>
      </c>
      <c r="V26">
        <f>[1]data!S27*(_xlfn.XLOOKUP([1]data!$C27,[2]data!$B$2:$B$218,[2]data!R$2:R$218)/100)</f>
        <v>0.32144433100000003</v>
      </c>
      <c r="W26">
        <f>[1]data!T27*(_xlfn.XLOOKUP([1]data!$C27,[2]data!$B$2:$B$218,[2]data!S$2:S$218)/100)</f>
        <v>0.34443700199999999</v>
      </c>
      <c r="X26">
        <f>[1]data!U27*(_xlfn.XLOOKUP([1]data!$C27,[2]data!$B$2:$B$218,[2]data!T$2:T$218)/100)</f>
        <v>0.36762288857999992</v>
      </c>
      <c r="Y26">
        <f>[1]data!V27*(_xlfn.XLOOKUP([1]data!$C27,[2]data!$B$2:$B$218,[2]data!U$2:U$218)/100)</f>
        <v>0.38891079777999998</v>
      </c>
      <c r="Z26">
        <f>[1]data!W27*(_xlfn.XLOOKUP([1]data!$C27,[2]data!$B$2:$B$218,[2]data!V$2:V$218)/100)</f>
        <v>0.40824403865999997</v>
      </c>
      <c r="AA26">
        <f>[1]data!X27*(_xlfn.XLOOKUP([1]data!$C27,[2]data!$B$2:$B$218,[2]data!W$2:W$218)/100)</f>
        <v>0.42574042865</v>
      </c>
      <c r="AB26">
        <f>[1]data!Y27*(_xlfn.XLOOKUP([1]data!$C27,[2]data!$B$2:$B$218,[2]data!X$2:X$218)/100)</f>
        <v>0.44132603130000003</v>
      </c>
      <c r="AC26">
        <f>[1]data!Z27*(_xlfn.XLOOKUP([1]data!$C27,[2]data!$B$2:$B$218,[2]data!Y$2:Y$218)/100)</f>
        <v>0.45471967904999999</v>
      </c>
      <c r="AD26">
        <f>[1]data!AA27*(_xlfn.XLOOKUP([1]data!$C27,[2]data!$B$2:$B$218,[2]data!Z$2:Z$218)/100)</f>
        <v>0.46565191567999992</v>
      </c>
      <c r="AE26">
        <f>[1]data!AB27*(_xlfn.XLOOKUP([1]data!$C27,[2]data!$B$2:$B$218,[2]data!AA$2:AA$218)/100)</f>
        <v>0.47431841383000001</v>
      </c>
      <c r="AF26">
        <f>[1]data!AC27*(_xlfn.XLOOKUP([1]data!$C27,[2]data!$B$2:$B$218,[2]data!AB$2:AB$218)/100)</f>
        <v>0.4804515397499991</v>
      </c>
      <c r="AG26">
        <f>[1]data!AD27*(_xlfn.XLOOKUP([1]data!$C27,[2]data!$B$2:$B$218,[2]data!AC$2:AC$218)/100)</f>
        <v>0.48462391263999999</v>
      </c>
      <c r="AH26">
        <f>[1]data!AE27*(_xlfn.XLOOKUP([1]data!$C27,[2]data!$B$2:$B$218,[2]data!AD$2:AD$218)/100)</f>
        <v>0.4873512871499992</v>
      </c>
      <c r="AI26">
        <f>[1]data!AF27*(_xlfn.XLOOKUP([1]data!$C27,[2]data!$B$2:$B$218,[2]data!AE$2:AE$218)/100)</f>
        <v>0.48898546479999994</v>
      </c>
      <c r="AJ26">
        <f>[1]data!AG27*(_xlfn.XLOOKUP([1]data!$C27,[2]data!$B$2:$B$218,[2]data!AF$2:AF$218)/100)</f>
        <v>0.48973983975999991</v>
      </c>
      <c r="AK26">
        <f>[1]data!AH27*(_xlfn.XLOOKUP([1]data!$C27,[2]data!$B$2:$B$218,[2]data!AG$2:AG$218)/100)</f>
        <v>0.48982067680000002</v>
      </c>
      <c r="AL26">
        <f>[1]data!AI27*(_xlfn.XLOOKUP([1]data!$C27,[2]data!$B$2:$B$218,[2]data!AH$2:AH$218)/100)</f>
        <v>0.48924374651999997</v>
      </c>
      <c r="AM26">
        <f>[1]data!AJ27*(_xlfn.XLOOKUP([1]data!$C27,[2]data!$B$2:$B$218,[2]data!AI$2:AI$218)/100)</f>
        <v>0.48775751843000004</v>
      </c>
    </row>
    <row r="27" spans="1:39" x14ac:dyDescent="0.25">
      <c r="A27" t="s">
        <v>30</v>
      </c>
      <c r="B27" t="s">
        <v>31</v>
      </c>
      <c r="C27" t="s">
        <v>59</v>
      </c>
      <c r="D27" t="s">
        <v>300</v>
      </c>
      <c r="E27" t="str">
        <f>_xlfn.XLOOKUP(D27,[6]Feuil1!$C$2:$C$248,[6]Feuil1!$B$2:$B$248)</f>
        <v>BT</v>
      </c>
      <c r="F27" t="s">
        <v>33</v>
      </c>
      <c r="G27" t="s">
        <v>243</v>
      </c>
      <c r="H27" t="s">
        <v>34</v>
      </c>
      <c r="I27">
        <f>[1]data!F28*(_xlfn.XLOOKUP([1]data!$C28,[2]data!$B$2:$B$218,[2]data!E$2:E$218)/100)</f>
        <v>3.6689310000000003E-3</v>
      </c>
      <c r="J27">
        <f>[1]data!G28*(_xlfn.XLOOKUP([1]data!$C28,[2]data!$B$2:$B$218,[2]data!F$2:F$218)/100)</f>
        <v>5.4253079999999993E-3</v>
      </c>
      <c r="K27">
        <f>[1]data!H28*(_xlfn.XLOOKUP([1]data!$C28,[2]data!$B$2:$B$218,[2]data!G$2:G$218)/100)</f>
        <v>7.8642360000000019E-3</v>
      </c>
      <c r="L27">
        <f>[1]data!I28*(_xlfn.XLOOKUP([1]data!$C28,[2]data!$B$2:$B$218,[2]data!H$2:H$218)/100)</f>
        <v>1.1802922E-2</v>
      </c>
      <c r="M27">
        <f>[1]data!J28*(_xlfn.XLOOKUP([1]data!$C28,[2]data!$B$2:$B$218,[2]data!I$2:I$218)/100)</f>
        <v>1.7934549000000001E-2</v>
      </c>
      <c r="N27">
        <f>[1]data!K28*(_xlfn.XLOOKUP([1]data!$C28,[2]data!$B$2:$B$218,[2]data!J$2:J$218)/100)</f>
        <v>2.7369549999999999E-2</v>
      </c>
      <c r="O27">
        <f>[1]data!L28*(_xlfn.XLOOKUP([1]data!$C28,[2]data!$B$2:$B$218,[2]data!K$2:K$218)/100)</f>
        <v>4.1269307000000005E-2</v>
      </c>
      <c r="P27">
        <f>[1]data!M28*(_xlfn.XLOOKUP([1]data!$C28,[2]data!$B$2:$B$218,[2]data!L$2:L$218)/100)</f>
        <v>6.1570668000000002E-2</v>
      </c>
      <c r="Q27">
        <f>[1]data!N28*(_xlfn.XLOOKUP([1]data!$C28,[2]data!$B$2:$B$218,[2]data!M$2:M$218)/100)</f>
        <v>9.0500447999999983E-2</v>
      </c>
      <c r="R27">
        <f>[1]data!O28*(_xlfn.XLOOKUP([1]data!$C28,[2]data!$B$2:$B$218,[2]data!N$2:N$218)/100)</f>
        <v>0.107084415</v>
      </c>
      <c r="S27">
        <f>[1]data!P28*(_xlfn.XLOOKUP([1]data!$C28,[2]data!$B$2:$B$218,[2]data!O$2:O$218)/100)</f>
        <v>0.147103084</v>
      </c>
      <c r="T27">
        <f>[1]data!Q28*(_xlfn.XLOOKUP([1]data!$C28,[2]data!$B$2:$B$218,[2]data!P$2:P$218)/100)</f>
        <v>0.20386344000000001</v>
      </c>
      <c r="U27">
        <f>[1]data!R28*(_xlfn.XLOOKUP([1]data!$C28,[2]data!$B$2:$B$218,[2]data!Q$2:Q$218)/100)</f>
        <v>0.24416062799999999</v>
      </c>
      <c r="V27">
        <f>[1]data!S28*(_xlfn.XLOOKUP([1]data!$C28,[2]data!$B$2:$B$218,[2]data!R$2:R$218)/100)</f>
        <v>0.28637574300000002</v>
      </c>
      <c r="W27">
        <f>[1]data!T28*(_xlfn.XLOOKUP([1]data!$C28,[2]data!$B$2:$B$218,[2]data!S$2:S$218)/100)</f>
        <v>0.32570873099999958</v>
      </c>
      <c r="X27">
        <f>[1]data!U28*(_xlfn.XLOOKUP([1]data!$C28,[2]data!$B$2:$B$218,[2]data!T$2:T$218)/100)</f>
        <v>0.36248760319999995</v>
      </c>
      <c r="Y27">
        <f>[1]data!V28*(_xlfn.XLOOKUP([1]data!$C28,[2]data!$B$2:$B$218,[2]data!U$2:U$218)/100)</f>
        <v>0.39899006251999997</v>
      </c>
      <c r="Z27">
        <f>[1]data!W28*(_xlfn.XLOOKUP([1]data!$C28,[2]data!$B$2:$B$218,[2]data!V$2:V$218)/100)</f>
        <v>0.43404614681999959</v>
      </c>
      <c r="AA27">
        <f>[1]data!X28*(_xlfn.XLOOKUP([1]data!$C28,[2]data!$B$2:$B$218,[2]data!W$2:W$218)/100)</f>
        <v>0.46649332851000008</v>
      </c>
      <c r="AB27">
        <f>[1]data!Y28*(_xlfn.XLOOKUP([1]data!$C28,[2]data!$B$2:$B$218,[2]data!X$2:X$218)/100)</f>
        <v>0.49530708099999998</v>
      </c>
      <c r="AC27">
        <f>[1]data!Z28*(_xlfn.XLOOKUP([1]data!$C28,[2]data!$B$2:$B$218,[2]data!Y$2:Y$218)/100)</f>
        <v>0.5198839181199999</v>
      </c>
      <c r="AD27">
        <f>[1]data!AA28*(_xlfn.XLOOKUP([1]data!$C28,[2]data!$B$2:$B$218,[2]data!Z$2:Z$218)/100)</f>
        <v>0.54002575793999996</v>
      </c>
      <c r="AE27">
        <f>[1]data!AB28*(_xlfn.XLOOKUP([1]data!$C28,[2]data!$B$2:$B$218,[2]data!AA$2:AA$218)/100)</f>
        <v>0.55561747949999996</v>
      </c>
      <c r="AF27">
        <f>[1]data!AC28*(_xlfn.XLOOKUP([1]data!$C28,[2]data!$B$2:$B$218,[2]data!AB$2:AB$218)/100)</f>
        <v>0.56607720000000006</v>
      </c>
      <c r="AG27">
        <f>[1]data!AD28*(_xlfn.XLOOKUP([1]data!$C28,[2]data!$B$2:$B$218,[2]data!AC$2:AC$218)/100)</f>
        <v>0.57110379716000004</v>
      </c>
      <c r="AH27">
        <f>[1]data!AE28*(_xlfn.XLOOKUP([1]data!$C28,[2]data!$B$2:$B$218,[2]data!AD$2:AD$218)/100)</f>
        <v>0.57082491816000003</v>
      </c>
      <c r="AI27">
        <f>[1]data!AF28*(_xlfn.XLOOKUP([1]data!$C28,[2]data!$B$2:$B$218,[2]data!AE$2:AE$218)/100)</f>
        <v>0.56597830080000078</v>
      </c>
      <c r="AJ27">
        <f>[1]data!AG28*(_xlfn.XLOOKUP([1]data!$C28,[2]data!$B$2:$B$218,[2]data!AF$2:AF$218)/100)</f>
        <v>0.55753082268000009</v>
      </c>
      <c r="AK27">
        <f>[1]data!AH28*(_xlfn.XLOOKUP([1]data!$C28,[2]data!$B$2:$B$218,[2]data!AG$2:AG$218)/100)</f>
        <v>0.54692536031999928</v>
      </c>
      <c r="AL27">
        <f>[1]data!AI28*(_xlfn.XLOOKUP([1]data!$C28,[2]data!$B$2:$B$218,[2]data!AH$2:AH$218)/100)</f>
        <v>0.53490010564000012</v>
      </c>
      <c r="AM27">
        <f>[1]data!AJ28*(_xlfn.XLOOKUP([1]data!$C28,[2]data!$B$2:$B$218,[2]data!AI$2:AI$218)/100)</f>
        <v>0.52196766191999922</v>
      </c>
    </row>
    <row r="28" spans="1:39" x14ac:dyDescent="0.25">
      <c r="A28" t="s">
        <v>30</v>
      </c>
      <c r="B28" t="s">
        <v>31</v>
      </c>
      <c r="C28" t="s">
        <v>60</v>
      </c>
      <c r="D28" t="s">
        <v>301</v>
      </c>
      <c r="E28" t="str">
        <f>_xlfn.XLOOKUP(D28,[6]Feuil1!$C$2:$C$248,[6]Feuil1!$B$2:$B$248)</f>
        <v>BW</v>
      </c>
      <c r="F28" t="s">
        <v>33</v>
      </c>
      <c r="G28" t="str">
        <f>_xlfn.XLOOKUP(C28,[3]Sheet1!$B$2:$B$172,[3]Sheet1!$D$2:$D$172)</f>
        <v>Rest of Southern Africa</v>
      </c>
      <c r="H28" t="s">
        <v>34</v>
      </c>
      <c r="I28">
        <f>[1]data!F29*(_xlfn.XLOOKUP([1]data!$C29,[2]data!$B$2:$B$218,[2]data!E$2:E$218)/100)</f>
        <v>1.1038437000000002E-2</v>
      </c>
      <c r="J28">
        <f>[1]data!G29*(_xlfn.XLOOKUP([1]data!$C29,[2]data!$B$2:$B$218,[2]data!F$2:F$218)/100)</f>
        <v>1.3255958E-2</v>
      </c>
      <c r="K28">
        <f>[1]data!H29*(_xlfn.XLOOKUP([1]data!$C29,[2]data!$B$2:$B$218,[2]data!G$2:G$218)/100)</f>
        <v>1.5723944E-2</v>
      </c>
      <c r="L28">
        <f>[1]data!I29*(_xlfn.XLOOKUP([1]data!$C29,[2]data!$B$2:$B$218,[2]data!H$2:H$218)/100)</f>
        <v>2.1622874E-2</v>
      </c>
      <c r="M28">
        <f>[1]data!J29*(_xlfn.XLOOKUP([1]data!$C29,[2]data!$B$2:$B$218,[2]data!I$2:I$218)/100)</f>
        <v>4.5928661999999995E-2</v>
      </c>
      <c r="N28">
        <f>[1]data!K29*(_xlfn.XLOOKUP([1]data!$C29,[2]data!$B$2:$B$218,[2]data!J$2:J$218)/100)</f>
        <v>8.4398370000000014E-2</v>
      </c>
      <c r="O28">
        <f>[1]data!L29*(_xlfn.XLOOKUP([1]data!$C29,[2]data!$B$2:$B$218,[2]data!K$2:K$218)/100)</f>
        <v>0.15112812</v>
      </c>
      <c r="P28">
        <f>[1]data!M29*(_xlfn.XLOOKUP([1]data!$C29,[2]data!$B$2:$B$218,[2]data!L$2:L$218)/100)</f>
        <v>0.298681686</v>
      </c>
      <c r="Q28">
        <f>[1]data!N29*(_xlfn.XLOOKUP([1]data!$C29,[2]data!$B$2:$B$218,[2]data!M$2:M$218)/100)</f>
        <v>0.55381073599999997</v>
      </c>
      <c r="R28">
        <f>[1]data!O29*(_xlfn.XLOOKUP([1]data!$C29,[2]data!$B$2:$B$218,[2]data!N$2:N$218)/100)</f>
        <v>0.74675608000000004</v>
      </c>
      <c r="S28">
        <f>[1]data!P29*(_xlfn.XLOOKUP([1]data!$C29,[2]data!$B$2:$B$218,[2]data!O$2:O$218)/100)</f>
        <v>0.9093805840000001</v>
      </c>
      <c r="T28">
        <f>[1]data!Q29*(_xlfn.XLOOKUP([1]data!$C29,[2]data!$B$2:$B$218,[2]data!P$2:P$218)/100)</f>
        <v>1.0483771089999998</v>
      </c>
      <c r="U28">
        <f>[1]data!R29*(_xlfn.XLOOKUP([1]data!$C29,[2]data!$B$2:$B$218,[2]data!Q$2:Q$218)/100)</f>
        <v>1.291719936</v>
      </c>
      <c r="V28">
        <f>[1]data!S29*(_xlfn.XLOOKUP([1]data!$C29,[2]data!$B$2:$B$218,[2]data!R$2:R$218)/100)</f>
        <v>1.5336632640000003</v>
      </c>
      <c r="W28">
        <f>[1]data!T29*(_xlfn.XLOOKUP([1]data!$C29,[2]data!$B$2:$B$218,[2]data!S$2:S$218)/100)</f>
        <v>1.7891976590000001</v>
      </c>
      <c r="X28">
        <f>[1]data!U29*(_xlfn.XLOOKUP([1]data!$C29,[2]data!$B$2:$B$218,[2]data!T$2:T$218)/100)</f>
        <v>1.9949289288500003</v>
      </c>
      <c r="Y28">
        <f>[1]data!V29*(_xlfn.XLOOKUP([1]data!$C29,[2]data!$B$2:$B$218,[2]data!U$2:U$218)/100)</f>
        <v>2.1961945810000003</v>
      </c>
      <c r="Z28">
        <f>[1]data!W29*(_xlfn.XLOOKUP([1]data!$C29,[2]data!$B$2:$B$218,[2]data!V$2:V$218)/100)</f>
        <v>2.38780701014</v>
      </c>
      <c r="AA28">
        <f>[1]data!X29*(_xlfn.XLOOKUP([1]data!$C29,[2]data!$B$2:$B$218,[2]data!W$2:W$218)/100)</f>
        <v>2.56487392863</v>
      </c>
      <c r="AB28">
        <f>[1]data!Y29*(_xlfn.XLOOKUP([1]data!$C29,[2]data!$B$2:$B$218,[2]data!X$2:X$218)/100)</f>
        <v>2.7238698372699992</v>
      </c>
      <c r="AC28">
        <f>[1]data!Z29*(_xlfn.XLOOKUP([1]data!$C29,[2]data!$B$2:$B$218,[2]data!Y$2:Y$218)/100)</f>
        <v>2.8562371503899997</v>
      </c>
      <c r="AD28">
        <f>[1]data!AA29*(_xlfn.XLOOKUP([1]data!$C29,[2]data!$B$2:$B$218,[2]data!Z$2:Z$218)/100)</f>
        <v>2.9597174666099999</v>
      </c>
      <c r="AE28">
        <f>[1]data!AB29*(_xlfn.XLOOKUP([1]data!$C29,[2]data!$B$2:$B$218,[2]data!AA$2:AA$218)/100)</f>
        <v>3.0394547585600002</v>
      </c>
      <c r="AF28">
        <f>[1]data!AC29*(_xlfn.XLOOKUP([1]data!$C29,[2]data!$B$2:$B$218,[2]data!AB$2:AB$218)/100)</f>
        <v>3.0974701866899998</v>
      </c>
      <c r="AG28">
        <f>[1]data!AD29*(_xlfn.XLOOKUP([1]data!$C29,[2]data!$B$2:$B$218,[2]data!AC$2:AC$218)/100)</f>
        <v>3.1354413982799998</v>
      </c>
      <c r="AH28">
        <f>[1]data!AE29*(_xlfn.XLOOKUP([1]data!$C29,[2]data!$B$2:$B$218,[2]data!AD$2:AD$218)/100)</f>
        <v>3.1555903199999999</v>
      </c>
      <c r="AI28">
        <f>[1]data!AF29*(_xlfn.XLOOKUP([1]data!$C29,[2]data!$B$2:$B$218,[2]data!AE$2:AE$218)/100)</f>
        <v>3.1560646362</v>
      </c>
      <c r="AJ28">
        <f>[1]data!AG29*(_xlfn.XLOOKUP([1]data!$C29,[2]data!$B$2:$B$218,[2]data!AF$2:AF$218)/100)</f>
        <v>3.1405271852000003</v>
      </c>
      <c r="AK28">
        <f>[1]data!AH29*(_xlfn.XLOOKUP([1]data!$C29,[2]data!$B$2:$B$218,[2]data!AG$2:AG$218)/100)</f>
        <v>3.1072593745199995</v>
      </c>
      <c r="AL28">
        <f>[1]data!AI29*(_xlfn.XLOOKUP([1]data!$C29,[2]data!$B$2:$B$218,[2]data!AH$2:AH$218)/100)</f>
        <v>3.0608127080099994</v>
      </c>
      <c r="AM28">
        <f>[1]data!AJ29*(_xlfn.XLOOKUP([1]data!$C29,[2]data!$B$2:$B$218,[2]data!AI$2:AI$218)/100)</f>
        <v>3.0029590382999998</v>
      </c>
    </row>
    <row r="29" spans="1:39" x14ac:dyDescent="0.25">
      <c r="A29" t="s">
        <v>30</v>
      </c>
      <c r="B29" t="s">
        <v>31</v>
      </c>
      <c r="C29" t="s">
        <v>61</v>
      </c>
      <c r="D29" t="s">
        <v>302</v>
      </c>
      <c r="E29" t="str">
        <f>_xlfn.XLOOKUP(D29,[6]Feuil1!$C$2:$C$248,[6]Feuil1!$B$2:$B$248)</f>
        <v>CF</v>
      </c>
      <c r="F29" t="s">
        <v>33</v>
      </c>
      <c r="G29" t="str">
        <f>_xlfn.XLOOKUP(C29,[3]Sheet1!$B$2:$B$172,[3]Sheet1!$D$2:$D$172)</f>
        <v>Western Africa</v>
      </c>
      <c r="H29" t="s">
        <v>34</v>
      </c>
      <c r="I29">
        <f>[1]data!F30*(_xlfn.XLOOKUP([1]data!$C30,[2]data!$B$2:$B$218,[2]data!E$2:E$218)/100)</f>
        <v>0.20541816000000004</v>
      </c>
      <c r="J29">
        <f>[1]data!G30*(_xlfn.XLOOKUP([1]data!$C30,[2]data!$B$2:$B$218,[2]data!F$2:F$218)/100)</f>
        <v>0.26229057300000003</v>
      </c>
      <c r="K29">
        <f>[1]data!H30*(_xlfn.XLOOKUP([1]data!$C30,[2]data!$B$2:$B$218,[2]data!G$2:G$218)/100)</f>
        <v>0.33461796600000004</v>
      </c>
      <c r="L29">
        <f>[1]data!I30*(_xlfn.XLOOKUP([1]data!$C30,[2]data!$B$2:$B$218,[2]data!H$2:H$218)/100)</f>
        <v>0.43003260999999998</v>
      </c>
      <c r="M29">
        <f>[1]data!J30*(_xlfn.XLOOKUP([1]data!$C30,[2]data!$B$2:$B$218,[2]data!I$2:I$218)/100)</f>
        <v>0.5623631750000001</v>
      </c>
      <c r="N29">
        <f>[1]data!K30*(_xlfn.XLOOKUP([1]data!$C30,[2]data!$B$2:$B$218,[2]data!J$2:J$218)/100)</f>
        <v>0.72362720000000003</v>
      </c>
      <c r="O29">
        <f>[1]data!L30*(_xlfn.XLOOKUP([1]data!$C30,[2]data!$B$2:$B$218,[2]data!K$2:K$218)/100)</f>
        <v>0.81450241799999989</v>
      </c>
      <c r="P29">
        <f>[1]data!M30*(_xlfn.XLOOKUP([1]data!$C30,[2]data!$B$2:$B$218,[2]data!L$2:L$218)/100)</f>
        <v>0.90099745499999995</v>
      </c>
      <c r="Q29">
        <f>[1]data!N30*(_xlfn.XLOOKUP([1]data!$C30,[2]data!$B$2:$B$218,[2]data!M$2:M$218)/100)</f>
        <v>1.0178158720000001</v>
      </c>
      <c r="R29">
        <f>[1]data!O30*(_xlfn.XLOOKUP([1]data!$C30,[2]data!$B$2:$B$218,[2]data!N$2:N$218)/100)</f>
        <v>1.2043068480000001</v>
      </c>
      <c r="S29">
        <f>[1]data!P30*(_xlfn.XLOOKUP([1]data!$C30,[2]data!$B$2:$B$218,[2]data!O$2:O$218)/100)</f>
        <v>1.3936158000000001</v>
      </c>
      <c r="T29">
        <f>[1]data!Q30*(_xlfn.XLOOKUP([1]data!$C30,[2]data!$B$2:$B$218,[2]data!P$2:P$218)/100)</f>
        <v>1.5850586790000001</v>
      </c>
      <c r="U29">
        <f>[1]data!R30*(_xlfn.XLOOKUP([1]data!$C30,[2]data!$B$2:$B$218,[2]data!Q$2:Q$218)/100)</f>
        <v>1.7950237730000003</v>
      </c>
      <c r="V29">
        <f>[1]data!S30*(_xlfn.XLOOKUP([1]data!$C30,[2]data!$B$2:$B$218,[2]data!R$2:R$218)/100)</f>
        <v>1.9266849679999998</v>
      </c>
      <c r="W29">
        <f>[1]data!T30*(_xlfn.XLOOKUP([1]data!$C30,[2]data!$B$2:$B$218,[2]data!S$2:S$218)/100)</f>
        <v>2.2247941280000001</v>
      </c>
      <c r="X29">
        <f>[1]data!U30*(_xlfn.XLOOKUP([1]data!$C30,[2]data!$B$2:$B$218,[2]data!T$2:T$218)/100)</f>
        <v>2.7543181803499999</v>
      </c>
      <c r="Y29">
        <f>[1]data!V30*(_xlfn.XLOOKUP([1]data!$C30,[2]data!$B$2:$B$218,[2]data!U$2:U$218)/100)</f>
        <v>3.3812968333499955</v>
      </c>
      <c r="Z29">
        <f>[1]data!W30*(_xlfn.XLOOKUP([1]data!$C30,[2]data!$B$2:$B$218,[2]data!V$2:V$218)/100)</f>
        <v>4.0842278060400004</v>
      </c>
      <c r="AA29">
        <f>[1]data!X30*(_xlfn.XLOOKUP([1]data!$C30,[2]data!$B$2:$B$218,[2]data!W$2:W$218)/100)</f>
        <v>4.8416505577599995</v>
      </c>
      <c r="AB29">
        <f>[1]data!Y30*(_xlfn.XLOOKUP([1]data!$C30,[2]data!$B$2:$B$218,[2]data!X$2:X$218)/100)</f>
        <v>5.63953514586</v>
      </c>
      <c r="AC29">
        <f>[1]data!Z30*(_xlfn.XLOOKUP([1]data!$C30,[2]data!$B$2:$B$218,[2]data!Y$2:Y$218)/100)</f>
        <v>6.4735545829000003</v>
      </c>
      <c r="AD29">
        <f>[1]data!AA30*(_xlfn.XLOOKUP([1]data!$C30,[2]data!$B$2:$B$218,[2]data!Z$2:Z$218)/100)</f>
        <v>7.3228627693200004</v>
      </c>
      <c r="AE29">
        <f>[1]data!AB30*(_xlfn.XLOOKUP([1]data!$C30,[2]data!$B$2:$B$218,[2]data!AA$2:AA$218)/100)</f>
        <v>8.1735666935999998</v>
      </c>
      <c r="AF29">
        <f>[1]data!AC30*(_xlfn.XLOOKUP([1]data!$C30,[2]data!$B$2:$B$218,[2]data!AB$2:AB$218)/100)</f>
        <v>9.0178706118199994</v>
      </c>
      <c r="AG29">
        <f>[1]data!AD30*(_xlfn.XLOOKUP([1]data!$C30,[2]data!$B$2:$B$218,[2]data!AC$2:AC$218)/100)</f>
        <v>9.8427572902399998</v>
      </c>
      <c r="AH29">
        <f>[1]data!AE30*(_xlfn.XLOOKUP([1]data!$C30,[2]data!$B$2:$B$218,[2]data!AD$2:AD$218)/100)</f>
        <v>10.63282299035</v>
      </c>
      <c r="AI29">
        <f>[1]data!AF30*(_xlfn.XLOOKUP([1]data!$C30,[2]data!$B$2:$B$218,[2]data!AE$2:AE$218)/100)</f>
        <v>11.374476799980002</v>
      </c>
      <c r="AJ29">
        <f>[1]data!AG30*(_xlfn.XLOOKUP([1]data!$C30,[2]data!$B$2:$B$218,[2]data!AF$2:AF$218)/100)</f>
        <v>12.06030942804</v>
      </c>
      <c r="AK29">
        <f>[1]data!AH30*(_xlfn.XLOOKUP([1]data!$C30,[2]data!$B$2:$B$218,[2]data!AG$2:AG$218)/100)</f>
        <v>12.67117844048</v>
      </c>
      <c r="AL29">
        <f>[1]data!AI30*(_xlfn.XLOOKUP([1]data!$C30,[2]data!$B$2:$B$218,[2]data!AH$2:AH$218)/100)</f>
        <v>13.207357249319999</v>
      </c>
      <c r="AM29">
        <f>[1]data!AJ30*(_xlfn.XLOOKUP([1]data!$C30,[2]data!$B$2:$B$218,[2]data!AI$2:AI$218)/100)</f>
        <v>13.687155629729999</v>
      </c>
    </row>
    <row r="30" spans="1:39" x14ac:dyDescent="0.25">
      <c r="A30" t="s">
        <v>30</v>
      </c>
      <c r="B30" t="s">
        <v>31</v>
      </c>
      <c r="C30" t="s">
        <v>62</v>
      </c>
      <c r="D30" t="s">
        <v>303</v>
      </c>
      <c r="E30" t="str">
        <f>_xlfn.XLOOKUP(D30,[6]Feuil1!$C$2:$C$248,[6]Feuil1!$B$2:$B$248)</f>
        <v>CA</v>
      </c>
      <c r="F30" t="s">
        <v>33</v>
      </c>
      <c r="G30" t="str">
        <f>_xlfn.XLOOKUP(C30,[3]Sheet1!$B$2:$B$172,[3]Sheet1!$D$2:$D$172)</f>
        <v>Canada</v>
      </c>
      <c r="H30" t="s">
        <v>34</v>
      </c>
      <c r="I30">
        <f>[1]data!F31*(_xlfn.XLOOKUP([1]data!$C31,[2]data!$B$2:$B$218,[2]data!E$2:E$218)/100)</f>
        <v>8.2784969190000002</v>
      </c>
      <c r="J30">
        <f>[1]data!G31*(_xlfn.XLOOKUP([1]data!$C31,[2]data!$B$2:$B$218,[2]data!F$2:F$218)/100)</f>
        <v>10.207113893999999</v>
      </c>
      <c r="K30">
        <f>[1]data!H31*(_xlfn.XLOOKUP([1]data!$C31,[2]data!$B$2:$B$218,[2]data!G$2:G$218)/100)</f>
        <v>12.245174376999998</v>
      </c>
      <c r="L30">
        <f>[1]data!I31*(_xlfn.XLOOKUP([1]data!$C31,[2]data!$B$2:$B$218,[2]data!H$2:H$218)/100)</f>
        <v>14.219675712000003</v>
      </c>
      <c r="M30">
        <f>[1]data!J31*(_xlfn.XLOOKUP([1]data!$C31,[2]data!$B$2:$B$218,[2]data!I$2:I$218)/100)</f>
        <v>16.034425023000001</v>
      </c>
      <c r="N30">
        <f>[1]data!K31*(_xlfn.XLOOKUP([1]data!$C31,[2]data!$B$2:$B$218,[2]data!J$2:J$218)/100)</f>
        <v>17.369481779999997</v>
      </c>
      <c r="O30">
        <f>[1]data!L31*(_xlfn.XLOOKUP([1]data!$C31,[2]data!$B$2:$B$218,[2]data!K$2:K$218)/100)</f>
        <v>18.437685792</v>
      </c>
      <c r="P30">
        <f>[1]data!M31*(_xlfn.XLOOKUP([1]data!$C31,[2]data!$B$2:$B$218,[2]data!L$2:L$218)/100)</f>
        <v>19.650785936000002</v>
      </c>
      <c r="Q30">
        <f>[1]data!N31*(_xlfn.XLOOKUP([1]data!$C31,[2]data!$B$2:$B$218,[2]data!M$2:M$218)/100)</f>
        <v>21.039904307999997</v>
      </c>
      <c r="R30">
        <f>[1]data!O31*(_xlfn.XLOOKUP([1]data!$C31,[2]data!$B$2:$B$218,[2]data!N$2:N$218)/100)</f>
        <v>22.639429575000001</v>
      </c>
      <c r="S30">
        <f>[1]data!P31*(_xlfn.XLOOKUP([1]data!$C31,[2]data!$B$2:$B$218,[2]data!O$2:O$218)/100)</f>
        <v>24.271037565000004</v>
      </c>
      <c r="T30">
        <f>[1]data!Q31*(_xlfn.XLOOKUP([1]data!$C31,[2]data!$B$2:$B$218,[2]data!P$2:P$218)/100)</f>
        <v>25.680641525999999</v>
      </c>
      <c r="U30">
        <f>[1]data!R31*(_xlfn.XLOOKUP([1]data!$C31,[2]data!$B$2:$B$218,[2]data!Q$2:Q$218)/100)</f>
        <v>27.330480978000004</v>
      </c>
      <c r="V30">
        <f>[1]data!S31*(_xlfn.XLOOKUP([1]data!$C31,[2]data!$B$2:$B$218,[2]data!R$2:R$218)/100)</f>
        <v>28.912159655999996</v>
      </c>
      <c r="W30">
        <f>[1]data!T31*(_xlfn.XLOOKUP([1]data!$C31,[2]data!$B$2:$B$218,[2]data!S$2:S$218)/100)</f>
        <v>30.810720575999994</v>
      </c>
      <c r="X30">
        <f>[1]data!U31*(_xlfn.XLOOKUP([1]data!$C31,[2]data!$B$2:$B$218,[2]data!T$2:T$218)/100)</f>
        <v>31.872006917930001</v>
      </c>
      <c r="Y30">
        <f>[1]data!V31*(_xlfn.XLOOKUP([1]data!$C31,[2]data!$B$2:$B$218,[2]data!U$2:U$218)/100)</f>
        <v>32.882054714639999</v>
      </c>
      <c r="Z30">
        <f>[1]data!W31*(_xlfn.XLOOKUP([1]data!$C31,[2]data!$B$2:$B$218,[2]data!V$2:V$218)/100)</f>
        <v>33.861816267580011</v>
      </c>
      <c r="AA30">
        <f>[1]data!X31*(_xlfn.XLOOKUP([1]data!$C31,[2]data!$B$2:$B$218,[2]data!W$2:W$218)/100)</f>
        <v>34.80047845272</v>
      </c>
      <c r="AB30">
        <f>[1]data!Y31*(_xlfn.XLOOKUP([1]data!$C31,[2]data!$B$2:$B$218,[2]data!X$2:X$218)/100)</f>
        <v>35.720038263719999</v>
      </c>
      <c r="AC30">
        <f>[1]data!Z31*(_xlfn.XLOOKUP([1]data!$C31,[2]data!$B$2:$B$218,[2]data!Y$2:Y$218)/100)</f>
        <v>36.668567917920001</v>
      </c>
      <c r="AD30">
        <f>[1]data!AA31*(_xlfn.XLOOKUP([1]data!$C31,[2]data!$B$2:$B$218,[2]data!Z$2:Z$218)/100)</f>
        <v>37.537465204199997</v>
      </c>
      <c r="AE30">
        <f>[1]data!AB31*(_xlfn.XLOOKUP([1]data!$C31,[2]data!$B$2:$B$218,[2]data!AA$2:AA$218)/100)</f>
        <v>38.379150147840001</v>
      </c>
      <c r="AF30">
        <f>[1]data!AC31*(_xlfn.XLOOKUP([1]data!$C31,[2]data!$B$2:$B$218,[2]data!AB$2:AB$218)/100)</f>
        <v>39.18140036562</v>
      </c>
      <c r="AG30">
        <f>[1]data!AD31*(_xlfn.XLOOKUP([1]data!$C31,[2]data!$B$2:$B$218,[2]data!AC$2:AC$218)/100)</f>
        <v>39.949892225949995</v>
      </c>
      <c r="AH30">
        <f>[1]data!AE31*(_xlfn.XLOOKUP([1]data!$C31,[2]data!$B$2:$B$218,[2]data!AD$2:AD$218)/100)</f>
        <v>40.636964254319992</v>
      </c>
      <c r="AI30">
        <f>[1]data!AF31*(_xlfn.XLOOKUP([1]data!$C31,[2]data!$B$2:$B$218,[2]data!AE$2:AE$218)/100)</f>
        <v>41.193695624900009</v>
      </c>
      <c r="AJ30">
        <f>[1]data!AG31*(_xlfn.XLOOKUP([1]data!$C31,[2]data!$B$2:$B$218,[2]data!AF$2:AF$218)/100)</f>
        <v>41.584350672799999</v>
      </c>
      <c r="AK30">
        <f>[1]data!AH31*(_xlfn.XLOOKUP([1]data!$C31,[2]data!$B$2:$B$218,[2]data!AG$2:AG$218)/100)</f>
        <v>41.801803799249996</v>
      </c>
      <c r="AL30">
        <f>[1]data!AI31*(_xlfn.XLOOKUP([1]data!$C31,[2]data!$B$2:$B$218,[2]data!AH$2:AH$218)/100)</f>
        <v>41.870842091820002</v>
      </c>
      <c r="AM30">
        <f>[1]data!AJ31*(_xlfn.XLOOKUP([1]data!$C31,[2]data!$B$2:$B$218,[2]data!AI$2:AI$218)/100)</f>
        <v>41.823939391560003</v>
      </c>
    </row>
    <row r="31" spans="1:39" x14ac:dyDescent="0.25">
      <c r="A31" t="s">
        <v>30</v>
      </c>
      <c r="B31" t="s">
        <v>31</v>
      </c>
      <c r="C31" t="s">
        <v>63</v>
      </c>
      <c r="D31" t="s">
        <v>304</v>
      </c>
      <c r="E31" t="str">
        <f>_xlfn.XLOOKUP(D31,[6]Feuil1!$C$2:$C$248,[6]Feuil1!$B$2:$B$248)</f>
        <v>CH</v>
      </c>
      <c r="F31" t="s">
        <v>33</v>
      </c>
      <c r="G31" t="str">
        <f>_xlfn.XLOOKUP(C31,[3]Sheet1!$B$2:$B$172,[3]Sheet1!$D$2:$D$172)</f>
        <v>Western Europe</v>
      </c>
      <c r="H31" t="s">
        <v>34</v>
      </c>
      <c r="I31">
        <f>[1]data!F32*(_xlfn.XLOOKUP([1]data!$C32,[2]data!$B$2:$B$218,[2]data!E$2:E$218)/100)</f>
        <v>3.1462913120000002</v>
      </c>
      <c r="J31">
        <f>[1]data!G32*(_xlfn.XLOOKUP([1]data!$C32,[2]data!$B$2:$B$218,[2]data!F$2:F$218)/100)</f>
        <v>3.4347578459999997</v>
      </c>
      <c r="K31">
        <f>[1]data!H32*(_xlfn.XLOOKUP([1]data!$C32,[2]data!$B$2:$B$218,[2]data!G$2:G$218)/100)</f>
        <v>3.754900868</v>
      </c>
      <c r="L31">
        <f>[1]data!I32*(_xlfn.XLOOKUP([1]data!$C32,[2]data!$B$2:$B$218,[2]data!H$2:H$218)/100)</f>
        <v>4.2207122120000005</v>
      </c>
      <c r="M31">
        <f>[1]data!J32*(_xlfn.XLOOKUP([1]data!$C32,[2]data!$B$2:$B$218,[2]data!I$2:I$218)/100)</f>
        <v>4.5527810400000002</v>
      </c>
      <c r="N31">
        <f>[1]data!K32*(_xlfn.XLOOKUP([1]data!$C32,[2]data!$B$2:$B$218,[2]data!J$2:J$218)/100)</f>
        <v>4.7161334500000009</v>
      </c>
      <c r="O31">
        <f>[1]data!L32*(_xlfn.XLOOKUP([1]data!$C32,[2]data!$B$2:$B$218,[2]data!K$2:K$218)/100)</f>
        <v>4.6960352350000001</v>
      </c>
      <c r="P31">
        <f>[1]data!M32*(_xlfn.XLOOKUP([1]data!$C32,[2]data!$B$2:$B$218,[2]data!L$2:L$218)/100)</f>
        <v>4.789908284</v>
      </c>
      <c r="Q31">
        <f>[1]data!N32*(_xlfn.XLOOKUP([1]data!$C32,[2]data!$B$2:$B$218,[2]data!M$2:M$218)/100)</f>
        <v>4.9314711520000003</v>
      </c>
      <c r="R31">
        <f>[1]data!O32*(_xlfn.XLOOKUP([1]data!$C32,[2]data!$B$2:$B$218,[2]data!N$2:N$218)/100)</f>
        <v>5.1712511509999999</v>
      </c>
      <c r="S31">
        <f>[1]data!P32*(_xlfn.XLOOKUP([1]data!$C32,[2]data!$B$2:$B$218,[2]data!O$2:O$218)/100)</f>
        <v>5.2573021580000008</v>
      </c>
      <c r="T31">
        <f>[1]data!Q32*(_xlfn.XLOOKUP([1]data!$C32,[2]data!$B$2:$B$218,[2]data!P$2:P$218)/100)</f>
        <v>5.4438355649999997</v>
      </c>
      <c r="U31">
        <f>[1]data!R32*(_xlfn.XLOOKUP([1]data!$C32,[2]data!$B$2:$B$218,[2]data!Q$2:Q$218)/100)</f>
        <v>5.7233648959999996</v>
      </c>
      <c r="V31">
        <f>[1]data!S32*(_xlfn.XLOOKUP([1]data!$C32,[2]data!$B$2:$B$218,[2]data!R$2:R$218)/100)</f>
        <v>6.0706100399999992</v>
      </c>
      <c r="W31">
        <f>[1]data!T32*(_xlfn.XLOOKUP([1]data!$C32,[2]data!$B$2:$B$218,[2]data!S$2:S$218)/100)</f>
        <v>6.3601488140000004</v>
      </c>
      <c r="X31">
        <f>[1]data!U32*(_xlfn.XLOOKUP([1]data!$C32,[2]data!$B$2:$B$218,[2]data!T$2:T$218)/100)</f>
        <v>6.7133031639300009</v>
      </c>
      <c r="Y31">
        <f>[1]data!V32*(_xlfn.XLOOKUP([1]data!$C32,[2]data!$B$2:$B$218,[2]data!U$2:U$218)/100)</f>
        <v>7.0036785676000006</v>
      </c>
      <c r="Z31">
        <f>[1]data!W32*(_xlfn.XLOOKUP([1]data!$C32,[2]data!$B$2:$B$218,[2]data!V$2:V$218)/100)</f>
        <v>7.2739779983199995</v>
      </c>
      <c r="AA31">
        <f>[1]data!X32*(_xlfn.XLOOKUP([1]data!$C32,[2]data!$B$2:$B$218,[2]data!W$2:W$218)/100)</f>
        <v>7.534092308550008</v>
      </c>
      <c r="AB31">
        <f>[1]data!Y32*(_xlfn.XLOOKUP([1]data!$C32,[2]data!$B$2:$B$218,[2]data!X$2:X$218)/100)</f>
        <v>7.7963118006399998</v>
      </c>
      <c r="AC31">
        <f>[1]data!Z32*(_xlfn.XLOOKUP([1]data!$C32,[2]data!$B$2:$B$218,[2]data!Y$2:Y$218)/100)</f>
        <v>8.0671119184800091</v>
      </c>
      <c r="AD31">
        <f>[1]data!AA32*(_xlfn.XLOOKUP([1]data!$C32,[2]data!$B$2:$B$218,[2]data!Z$2:Z$218)/100)</f>
        <v>8.3163236803200089</v>
      </c>
      <c r="AE31">
        <f>[1]data!AB32*(_xlfn.XLOOKUP([1]data!$C32,[2]data!$B$2:$B$218,[2]data!AA$2:AA$218)/100)</f>
        <v>8.5385346061499998</v>
      </c>
      <c r="AF31">
        <f>[1]data!AC32*(_xlfn.XLOOKUP([1]data!$C32,[2]data!$B$2:$B$218,[2]data!AB$2:AB$218)/100)</f>
        <v>8.727853811100001</v>
      </c>
      <c r="AG31">
        <f>[1]data!AD32*(_xlfn.XLOOKUP([1]data!$C32,[2]data!$B$2:$B$218,[2]data!AC$2:AC$218)/100)</f>
        <v>8.8992680105000019</v>
      </c>
      <c r="AH31">
        <f>[1]data!AE32*(_xlfn.XLOOKUP([1]data!$C32,[2]data!$B$2:$B$218,[2]data!AD$2:AD$218)/100)</f>
        <v>9.0569808391799995</v>
      </c>
      <c r="AI31">
        <f>[1]data!AF32*(_xlfn.XLOOKUP([1]data!$C32,[2]data!$B$2:$B$218,[2]data!AE$2:AE$218)/100)</f>
        <v>9.1945320794899992</v>
      </c>
      <c r="AJ31">
        <f>[1]data!AG32*(_xlfn.XLOOKUP([1]data!$C32,[2]data!$B$2:$B$218,[2]data!AF$2:AF$218)/100)</f>
        <v>9.3042623698499991</v>
      </c>
      <c r="AK31">
        <f>[1]data!AH32*(_xlfn.XLOOKUP([1]data!$C32,[2]data!$B$2:$B$218,[2]data!AG$2:AG$218)/100)</f>
        <v>9.384114491130001</v>
      </c>
      <c r="AL31">
        <f>[1]data!AI32*(_xlfn.XLOOKUP([1]data!$C32,[2]data!$B$2:$B$218,[2]data!AH$2:AH$218)/100)</f>
        <v>9.4360595198399988</v>
      </c>
      <c r="AM31">
        <f>[1]data!AJ32*(_xlfn.XLOOKUP([1]data!$C32,[2]data!$B$2:$B$218,[2]data!AI$2:AI$218)/100)</f>
        <v>9.4617804864300012</v>
      </c>
    </row>
    <row r="32" spans="1:39" x14ac:dyDescent="0.25">
      <c r="A32" t="s">
        <v>30</v>
      </c>
      <c r="B32" t="s">
        <v>31</v>
      </c>
      <c r="C32" t="s">
        <v>64</v>
      </c>
      <c r="D32" t="s">
        <v>305</v>
      </c>
      <c r="E32" t="str">
        <f>_xlfn.XLOOKUP(D32,[6]Feuil1!$C$2:$C$248,[6]Feuil1!$B$2:$B$248)</f>
        <v>CL</v>
      </c>
      <c r="F32" t="s">
        <v>33</v>
      </c>
      <c r="G32" t="str">
        <f>_xlfn.XLOOKUP(C32,[3]Sheet1!$B$2:$B$172,[3]Sheet1!$D$2:$D$172)</f>
        <v>Rest of South America</v>
      </c>
      <c r="H32" t="s">
        <v>34</v>
      </c>
      <c r="I32">
        <f>[1]data!F33*(_xlfn.XLOOKUP([1]data!$C33,[2]data!$B$2:$B$218,[2]data!E$2:E$218)/100)</f>
        <v>3.8333140960000001</v>
      </c>
      <c r="J32">
        <f>[1]data!G33*(_xlfn.XLOOKUP([1]data!$C33,[2]data!$B$2:$B$218,[2]data!F$2:F$218)/100)</f>
        <v>4.5870496920000008</v>
      </c>
      <c r="K32">
        <f>[1]data!H33*(_xlfn.XLOOKUP([1]data!$C33,[2]data!$B$2:$B$218,[2]data!G$2:G$218)/100)</f>
        <v>5.4622269959999992</v>
      </c>
      <c r="L32">
        <f>[1]data!I33*(_xlfn.XLOOKUP([1]data!$C33,[2]data!$B$2:$B$218,[2]data!H$2:H$218)/100)</f>
        <v>6.3888335190000092</v>
      </c>
      <c r="M32">
        <f>[1]data!J33*(_xlfn.XLOOKUP([1]data!$C33,[2]data!$B$2:$B$218,[2]data!I$2:I$218)/100)</f>
        <v>7.3231241440000074</v>
      </c>
      <c r="N32">
        <f>[1]data!K33*(_xlfn.XLOOKUP([1]data!$C33,[2]data!$B$2:$B$218,[2]data!J$2:J$218)/100)</f>
        <v>8.2753889120000004</v>
      </c>
      <c r="O32">
        <f>[1]data!L33*(_xlfn.XLOOKUP([1]data!$C33,[2]data!$B$2:$B$218,[2]data!K$2:K$218)/100)</f>
        <v>9.2461351920000006</v>
      </c>
      <c r="P32">
        <f>[1]data!M33*(_xlfn.XLOOKUP([1]data!$C33,[2]data!$B$2:$B$218,[2]data!L$2:L$218)/100)</f>
        <v>10.106004271999998</v>
      </c>
      <c r="Q32">
        <f>[1]data!N33*(_xlfn.XLOOKUP([1]data!$C33,[2]data!$B$2:$B$218,[2]data!M$2:M$218)/100)</f>
        <v>11.024706686</v>
      </c>
      <c r="R32">
        <f>[1]data!O33*(_xlfn.XLOOKUP([1]data!$C33,[2]data!$B$2:$B$218,[2]data!N$2:N$218)/100)</f>
        <v>12.097081685000001</v>
      </c>
      <c r="S32">
        <f>[1]data!P33*(_xlfn.XLOOKUP([1]data!$C33,[2]data!$B$2:$B$218,[2]data!O$2:O$218)/100)</f>
        <v>13.142707808999999</v>
      </c>
      <c r="T32">
        <f>[1]data!Q33*(_xlfn.XLOOKUP([1]data!$C33,[2]data!$B$2:$B$218,[2]data!P$2:P$218)/100)</f>
        <v>13.971726411999999</v>
      </c>
      <c r="U32">
        <f>[1]data!R33*(_xlfn.XLOOKUP([1]data!$C33,[2]data!$B$2:$B$218,[2]data!Q$2:Q$218)/100)</f>
        <v>14.737374002000001</v>
      </c>
      <c r="V32">
        <f>[1]data!S33*(_xlfn.XLOOKUP([1]data!$C33,[2]data!$B$2:$B$218,[2]data!R$2:R$218)/100)</f>
        <v>15.538867850000003</v>
      </c>
      <c r="W32">
        <f>[1]data!T33*(_xlfn.XLOOKUP([1]data!$C33,[2]data!$B$2:$B$218,[2]data!S$2:S$218)/100)</f>
        <v>16.844268884000002</v>
      </c>
      <c r="X32">
        <f>[1]data!U33*(_xlfn.XLOOKUP([1]data!$C33,[2]data!$B$2:$B$218,[2]data!T$2:T$218)/100)</f>
        <v>17.319213726329998</v>
      </c>
      <c r="Y32">
        <f>[1]data!V33*(_xlfn.XLOOKUP([1]data!$C33,[2]data!$B$2:$B$218,[2]data!U$2:U$218)/100)</f>
        <v>17.802881945819998</v>
      </c>
      <c r="Z32">
        <f>[1]data!W33*(_xlfn.XLOOKUP([1]data!$C33,[2]data!$B$2:$B$218,[2]data!V$2:V$218)/100)</f>
        <v>18.216265450649999</v>
      </c>
      <c r="AA32">
        <f>[1]data!X33*(_xlfn.XLOOKUP([1]data!$C33,[2]data!$B$2:$B$218,[2]data!W$2:W$218)/100)</f>
        <v>18.538761059990001</v>
      </c>
      <c r="AB32">
        <f>[1]data!Y33*(_xlfn.XLOOKUP([1]data!$C33,[2]data!$B$2:$B$218,[2]data!X$2:X$218)/100)</f>
        <v>18.769391159370002</v>
      </c>
      <c r="AC32">
        <f>[1]data!Z33*(_xlfn.XLOOKUP([1]data!$C33,[2]data!$B$2:$B$218,[2]data!Y$2:Y$218)/100)</f>
        <v>18.92367083013</v>
      </c>
      <c r="AD32">
        <f>[1]data!AA33*(_xlfn.XLOOKUP([1]data!$C33,[2]data!$B$2:$B$218,[2]data!Z$2:Z$218)/100)</f>
        <v>18.989159907900003</v>
      </c>
      <c r="AE32">
        <f>[1]data!AB33*(_xlfn.XLOOKUP([1]data!$C33,[2]data!$B$2:$B$218,[2]data!AA$2:AA$218)/100)</f>
        <v>18.961755549669995</v>
      </c>
      <c r="AF32">
        <f>[1]data!AC33*(_xlfn.XLOOKUP([1]data!$C33,[2]data!$B$2:$B$218,[2]data!AB$2:AB$218)/100)</f>
        <v>18.847598420000001</v>
      </c>
      <c r="AG32">
        <f>[1]data!AD33*(_xlfn.XLOOKUP([1]data!$C33,[2]data!$B$2:$B$218,[2]data!AC$2:AC$218)/100)</f>
        <v>18.657632843769999</v>
      </c>
      <c r="AH32">
        <f>[1]data!AE33*(_xlfn.XLOOKUP([1]data!$C33,[2]data!$B$2:$B$218,[2]data!AD$2:AD$218)/100)</f>
        <v>18.39181095168</v>
      </c>
      <c r="AI32">
        <f>[1]data!AF33*(_xlfn.XLOOKUP([1]data!$C33,[2]data!$B$2:$B$218,[2]data!AE$2:AE$218)/100)</f>
        <v>18.053877788569999</v>
      </c>
      <c r="AJ32">
        <f>[1]data!AG33*(_xlfn.XLOOKUP([1]data!$C33,[2]data!$B$2:$B$218,[2]data!AF$2:AF$218)/100)</f>
        <v>17.6488506904</v>
      </c>
      <c r="AK32">
        <f>[1]data!AH33*(_xlfn.XLOOKUP([1]data!$C33,[2]data!$B$2:$B$218,[2]data!AG$2:AG$218)/100)</f>
        <v>17.19145356864</v>
      </c>
      <c r="AL32">
        <f>[1]data!AI33*(_xlfn.XLOOKUP([1]data!$C33,[2]data!$B$2:$B$218,[2]data!AH$2:AH$218)/100)</f>
        <v>16.706276936400002</v>
      </c>
      <c r="AM32">
        <f>[1]data!AJ33*(_xlfn.XLOOKUP([1]data!$C33,[2]data!$B$2:$B$218,[2]data!AI$2:AI$218)/100)</f>
        <v>16.221197262600004</v>
      </c>
    </row>
    <row r="33" spans="1:39" x14ac:dyDescent="0.25">
      <c r="A33" t="s">
        <v>30</v>
      </c>
      <c r="B33" t="s">
        <v>31</v>
      </c>
      <c r="C33" t="s">
        <v>65</v>
      </c>
      <c r="D33" t="s">
        <v>306</v>
      </c>
      <c r="E33" t="str">
        <f>_xlfn.XLOOKUP(D33,[6]Feuil1!$C$2:$C$248,[6]Feuil1!$B$2:$B$248)</f>
        <v>CN</v>
      </c>
      <c r="F33" t="s">
        <v>33</v>
      </c>
      <c r="G33" t="str">
        <f>_xlfn.XLOOKUP(C33,[3]Sheet1!$B$2:$B$172,[3]Sheet1!$D$2:$D$172)</f>
        <v>China region</v>
      </c>
      <c r="H33" t="s">
        <v>34</v>
      </c>
      <c r="I33">
        <f>[1]data!F34*(_xlfn.XLOOKUP([1]data!$C34,[2]data!$B$2:$B$218,[2]data!E$2:E$218)/100)</f>
        <v>63.624420590000007</v>
      </c>
      <c r="J33">
        <f>[1]data!G34*(_xlfn.XLOOKUP([1]data!$C34,[2]data!$B$2:$B$218,[2]data!F$2:F$218)/100)</f>
        <v>82.922420047000003</v>
      </c>
      <c r="K33">
        <f>[1]data!H34*(_xlfn.XLOOKUP([1]data!$C34,[2]data!$B$2:$B$218,[2]data!G$2:G$218)/100)</f>
        <v>105.995199024</v>
      </c>
      <c r="L33">
        <f>[1]data!I34*(_xlfn.XLOOKUP([1]data!$C34,[2]data!$B$2:$B$218,[2]data!H$2:H$218)/100)</f>
        <v>129.25915881900002</v>
      </c>
      <c r="M33">
        <f>[1]data!J34*(_xlfn.XLOOKUP([1]data!$C34,[2]data!$B$2:$B$218,[2]data!I$2:I$218)/100)</f>
        <v>141.25096932</v>
      </c>
      <c r="N33">
        <f>[1]data!K34*(_xlfn.XLOOKUP([1]data!$C34,[2]data!$B$2:$B$218,[2]data!J$2:J$218)/100)</f>
        <v>157.96116685199996</v>
      </c>
      <c r="O33">
        <f>[1]data!L34*(_xlfn.XLOOKUP([1]data!$C34,[2]data!$B$2:$B$218,[2]data!K$2:K$218)/100)</f>
        <v>189.18053462999998</v>
      </c>
      <c r="P33">
        <f>[1]data!M34*(_xlfn.XLOOKUP([1]data!$C34,[2]data!$B$2:$B$218,[2]data!L$2:L$218)/100)</f>
        <v>240.89092690499999</v>
      </c>
      <c r="Q33">
        <f>[1]data!N34*(_xlfn.XLOOKUP([1]data!$C34,[2]data!$B$2:$B$218,[2]data!M$2:M$218)/100)</f>
        <v>301.95448615200002</v>
      </c>
      <c r="R33">
        <f>[1]data!O34*(_xlfn.XLOOKUP([1]data!$C34,[2]data!$B$2:$B$218,[2]data!N$2:N$218)/100)</f>
        <v>375.99223703999996</v>
      </c>
      <c r="S33">
        <f>[1]data!P34*(_xlfn.XLOOKUP([1]data!$C34,[2]data!$B$2:$B$218,[2]data!O$2:O$218)/100)</f>
        <v>452.20004564499999</v>
      </c>
      <c r="T33">
        <f>[1]data!Q34*(_xlfn.XLOOKUP([1]data!$C34,[2]data!$B$2:$B$218,[2]data!P$2:P$218)/100)</f>
        <v>552.8602937500001</v>
      </c>
      <c r="U33">
        <f>[1]data!R34*(_xlfn.XLOOKUP([1]data!$C34,[2]data!$B$2:$B$218,[2]data!Q$2:Q$218)/100)</f>
        <v>661.09920837600009</v>
      </c>
      <c r="V33">
        <f>[1]data!S34*(_xlfn.XLOOKUP([1]data!$C34,[2]data!$B$2:$B$218,[2]data!R$2:R$218)/100)</f>
        <v>771.33597802500003</v>
      </c>
      <c r="W33">
        <f>[1]data!T34*(_xlfn.XLOOKUP([1]data!$C34,[2]data!$B$2:$B$218,[2]data!S$2:S$218)/100)</f>
        <v>874.33478243800005</v>
      </c>
      <c r="X33">
        <f>[1]data!U34*(_xlfn.XLOOKUP([1]data!$C34,[2]data!$B$2:$B$218,[2]data!T$2:T$218)/100)</f>
        <v>902.99233065238002</v>
      </c>
      <c r="Y33">
        <f>[1]data!V34*(_xlfn.XLOOKUP([1]data!$C34,[2]data!$B$2:$B$218,[2]data!U$2:U$218)/100)</f>
        <v>922.30511876474009</v>
      </c>
      <c r="Z33">
        <f>[1]data!W34*(_xlfn.XLOOKUP([1]data!$C34,[2]data!$B$2:$B$218,[2]data!V$2:V$218)/100)</f>
        <v>935.09328569480988</v>
      </c>
      <c r="AA33">
        <f>[1]data!X34*(_xlfn.XLOOKUP([1]data!$C34,[2]data!$B$2:$B$218,[2]data!W$2:W$218)/100)</f>
        <v>942.14979685820003</v>
      </c>
      <c r="AB33">
        <f>[1]data!Y34*(_xlfn.XLOOKUP([1]data!$C34,[2]data!$B$2:$B$218,[2]data!X$2:X$218)/100)</f>
        <v>942.22487314021009</v>
      </c>
      <c r="AC33">
        <f>[1]data!Z34*(_xlfn.XLOOKUP([1]data!$C34,[2]data!$B$2:$B$218,[2]data!Y$2:Y$218)/100)</f>
        <v>933.89957705744018</v>
      </c>
      <c r="AD33">
        <f>[1]data!AA34*(_xlfn.XLOOKUP([1]data!$C34,[2]data!$B$2:$B$218,[2]data!Z$2:Z$218)/100)</f>
        <v>916.75993592273994</v>
      </c>
      <c r="AE33">
        <f>[1]data!AB34*(_xlfn.XLOOKUP([1]data!$C34,[2]data!$B$2:$B$218,[2]data!AA$2:AA$218)/100)</f>
        <v>892.96661636010026</v>
      </c>
      <c r="AF33">
        <f>[1]data!AC34*(_xlfn.XLOOKUP([1]data!$C34,[2]data!$B$2:$B$218,[2]data!AB$2:AB$218)/100)</f>
        <v>865.34874282196006</v>
      </c>
      <c r="AG33">
        <f>[1]data!AD34*(_xlfn.XLOOKUP([1]data!$C34,[2]data!$B$2:$B$218,[2]data!AC$2:AC$218)/100)</f>
        <v>836.63656400169987</v>
      </c>
      <c r="AH33">
        <f>[1]data!AE34*(_xlfn.XLOOKUP([1]data!$C34,[2]data!$B$2:$B$218,[2]data!AD$2:AD$218)/100)</f>
        <v>807.62751762419998</v>
      </c>
      <c r="AI33">
        <f>[1]data!AF34*(_xlfn.XLOOKUP([1]data!$C34,[2]data!$B$2:$B$218,[2]data!AE$2:AE$218)/100)</f>
        <v>777.54699112998003</v>
      </c>
      <c r="AJ33">
        <f>[1]data!AG34*(_xlfn.XLOOKUP([1]data!$C34,[2]data!$B$2:$B$218,[2]data!AF$2:AF$218)/100)</f>
        <v>746.65016871171918</v>
      </c>
      <c r="AK33">
        <f>[1]data!AH34*(_xlfn.XLOOKUP([1]data!$C34,[2]data!$B$2:$B$218,[2]data!AG$2:AG$218)/100)</f>
        <v>716.55589249189086</v>
      </c>
      <c r="AL33">
        <f>[1]data!AI34*(_xlfn.XLOOKUP([1]data!$C34,[2]data!$B$2:$B$218,[2]data!AH$2:AH$218)/100)</f>
        <v>688.04021423304073</v>
      </c>
      <c r="AM33">
        <f>[1]data!AJ34*(_xlfn.XLOOKUP([1]data!$C34,[2]data!$B$2:$B$218,[2]data!AI$2:AI$218)/100)</f>
        <v>660.05000789556084</v>
      </c>
    </row>
    <row r="34" spans="1:39" x14ac:dyDescent="0.25">
      <c r="A34" t="s">
        <v>30</v>
      </c>
      <c r="B34" t="s">
        <v>31</v>
      </c>
      <c r="C34" t="s">
        <v>244</v>
      </c>
      <c r="D34" t="s">
        <v>307</v>
      </c>
      <c r="E34" t="str">
        <f>_xlfn.XLOOKUP(D34,[6]Feuil1!$C$2:$C$248,[6]Feuil1!$B$2:$B$248)</f>
        <v>CI</v>
      </c>
      <c r="F34" t="s">
        <v>33</v>
      </c>
      <c r="G34" t="s">
        <v>245</v>
      </c>
      <c r="H34" t="s">
        <v>34</v>
      </c>
      <c r="I34">
        <f>[1]data!F35*(_xlfn.XLOOKUP([1]data!$C35,[2]data!$B$2:$B$218,[2]data!E$2:E$218)/100)</f>
        <v>0.26985140000000002</v>
      </c>
      <c r="J34">
        <f>[1]data!G35*(_xlfn.XLOOKUP([1]data!$C35,[2]data!$B$2:$B$218,[2]data!F$2:F$218)/100)</f>
        <v>0.40706730400000002</v>
      </c>
      <c r="K34">
        <f>[1]data!H35*(_xlfn.XLOOKUP([1]data!$C35,[2]data!$B$2:$B$218,[2]data!G$2:G$218)/100)</f>
        <v>0.644553288</v>
      </c>
      <c r="L34">
        <f>[1]data!I35*(_xlfn.XLOOKUP([1]data!$C35,[2]data!$B$2:$B$218,[2]data!H$2:H$218)/100)</f>
        <v>1.0793499500000001</v>
      </c>
      <c r="M34">
        <f>[1]data!J35*(_xlfn.XLOOKUP([1]data!$C35,[2]data!$B$2:$B$218,[2]data!I$2:I$218)/100)</f>
        <v>1.5118975979999998</v>
      </c>
      <c r="N34">
        <f>[1]data!K35*(_xlfn.XLOOKUP([1]data!$C35,[2]data!$B$2:$B$218,[2]data!J$2:J$218)/100)</f>
        <v>2.1568107400000001</v>
      </c>
      <c r="O34">
        <f>[1]data!L35*(_xlfn.XLOOKUP([1]data!$C35,[2]data!$B$2:$B$218,[2]data!K$2:K$218)/100)</f>
        <v>2.9982122879999999</v>
      </c>
      <c r="P34">
        <f>[1]data!M35*(_xlfn.XLOOKUP([1]data!$C35,[2]data!$B$2:$B$218,[2]data!L$2:L$218)/100)</f>
        <v>3.7111702739999997</v>
      </c>
      <c r="Q34">
        <f>[1]data!N35*(_xlfn.XLOOKUP([1]data!$C35,[2]data!$B$2:$B$218,[2]data!M$2:M$218)/100)</f>
        <v>4.591718073</v>
      </c>
      <c r="R34">
        <f>[1]data!O35*(_xlfn.XLOOKUP([1]data!$C35,[2]data!$B$2:$B$218,[2]data!N$2:N$218)/100)</f>
        <v>5.7873981960000007</v>
      </c>
      <c r="S34">
        <f>[1]data!P35*(_xlfn.XLOOKUP([1]data!$C35,[2]data!$B$2:$B$218,[2]data!O$2:O$218)/100)</f>
        <v>7.1604833760000002</v>
      </c>
      <c r="T34">
        <f>[1]data!Q35*(_xlfn.XLOOKUP([1]data!$C35,[2]data!$B$2:$B$218,[2]data!P$2:P$218)/100)</f>
        <v>8.4785739640000006</v>
      </c>
      <c r="U34">
        <f>[1]data!R35*(_xlfn.XLOOKUP([1]data!$C35,[2]data!$B$2:$B$218,[2]data!Q$2:Q$218)/100)</f>
        <v>9.8840132820000015</v>
      </c>
      <c r="V34">
        <f>[1]data!S35*(_xlfn.XLOOKUP([1]data!$C35,[2]data!$B$2:$B$218,[2]data!R$2:R$218)/100)</f>
        <v>11.506159574</v>
      </c>
      <c r="W34">
        <f>[1]data!T35*(_xlfn.XLOOKUP([1]data!$C35,[2]data!$B$2:$B$218,[2]data!S$2:S$218)/100)</f>
        <v>13.688904724000002</v>
      </c>
      <c r="X34">
        <f>[1]data!U35*(_xlfn.XLOOKUP([1]data!$C35,[2]data!$B$2:$B$218,[2]data!T$2:T$218)/100)</f>
        <v>15.942388772619999</v>
      </c>
      <c r="Y34">
        <f>[1]data!V35*(_xlfn.XLOOKUP([1]data!$C35,[2]data!$B$2:$B$218,[2]data!U$2:U$218)/100)</f>
        <v>18.321651403439997</v>
      </c>
      <c r="Z34">
        <f>[1]data!W35*(_xlfn.XLOOKUP([1]data!$C35,[2]data!$B$2:$B$218,[2]data!V$2:V$218)/100)</f>
        <v>20.7871091196</v>
      </c>
      <c r="AA34">
        <f>[1]data!X35*(_xlfn.XLOOKUP([1]data!$C35,[2]data!$B$2:$B$218,[2]data!W$2:W$218)/100)</f>
        <v>23.283498368</v>
      </c>
      <c r="AB34">
        <f>[1]data!Y35*(_xlfn.XLOOKUP([1]data!$C35,[2]data!$B$2:$B$218,[2]data!X$2:X$218)/100)</f>
        <v>25.7650990341</v>
      </c>
      <c r="AC34">
        <f>[1]data!Z35*(_xlfn.XLOOKUP([1]data!$C35,[2]data!$B$2:$B$218,[2]data!Y$2:Y$218)/100)</f>
        <v>28.177369885889998</v>
      </c>
      <c r="AD34">
        <f>[1]data!AA35*(_xlfn.XLOOKUP([1]data!$C35,[2]data!$B$2:$B$218,[2]data!Z$2:Z$218)/100)</f>
        <v>30.493208602559999</v>
      </c>
      <c r="AE34">
        <f>[1]data!AB35*(_xlfn.XLOOKUP([1]data!$C35,[2]data!$B$2:$B$218,[2]data!AA$2:AA$218)/100)</f>
        <v>32.658645647600004</v>
      </c>
      <c r="AF34">
        <f>[1]data!AC35*(_xlfn.XLOOKUP([1]data!$C35,[2]data!$B$2:$B$218,[2]data!AB$2:AB$218)/100)</f>
        <v>34.674239612650005</v>
      </c>
      <c r="AG34">
        <f>[1]data!AD35*(_xlfn.XLOOKUP([1]data!$C35,[2]data!$B$2:$B$218,[2]data!AC$2:AC$218)/100)</f>
        <v>36.519802700159929</v>
      </c>
      <c r="AH34">
        <f>[1]data!AE35*(_xlfn.XLOOKUP([1]data!$C35,[2]data!$B$2:$B$218,[2]data!AD$2:AD$218)/100)</f>
        <v>38.148241888619992</v>
      </c>
      <c r="AI34">
        <f>[1]data!AF35*(_xlfn.XLOOKUP([1]data!$C35,[2]data!$B$2:$B$218,[2]data!AE$2:AE$218)/100)</f>
        <v>39.532141297179997</v>
      </c>
      <c r="AJ34">
        <f>[1]data!AG35*(_xlfn.XLOOKUP([1]data!$C35,[2]data!$B$2:$B$218,[2]data!AF$2:AF$218)/100)</f>
        <v>40.739329061279996</v>
      </c>
      <c r="AK34">
        <f>[1]data!AH35*(_xlfn.XLOOKUP([1]data!$C35,[2]data!$B$2:$B$218,[2]data!AG$2:AG$218)/100)</f>
        <v>41.798228813519998</v>
      </c>
      <c r="AL34">
        <f>[1]data!AI35*(_xlfn.XLOOKUP([1]data!$C35,[2]data!$B$2:$B$218,[2]data!AH$2:AH$218)/100)</f>
        <v>42.7087694744</v>
      </c>
      <c r="AM34">
        <f>[1]data!AJ35*(_xlfn.XLOOKUP([1]data!$C35,[2]data!$B$2:$B$218,[2]data!AI$2:AI$218)/100)</f>
        <v>43.455607229099996</v>
      </c>
    </row>
    <row r="35" spans="1:39" x14ac:dyDescent="0.25">
      <c r="A35" t="s">
        <v>30</v>
      </c>
      <c r="B35" t="s">
        <v>31</v>
      </c>
      <c r="C35" t="s">
        <v>67</v>
      </c>
      <c r="D35" t="s">
        <v>308</v>
      </c>
      <c r="E35" t="str">
        <f>_xlfn.XLOOKUP(D35,[6]Feuil1!$C$2:$C$248,[6]Feuil1!$B$2:$B$248)</f>
        <v>CM</v>
      </c>
      <c r="F35" t="s">
        <v>33</v>
      </c>
      <c r="G35" t="str">
        <f>_xlfn.XLOOKUP(C35,[3]Sheet1!$B$2:$B$172,[3]Sheet1!$D$2:$D$172)</f>
        <v>Western Africa</v>
      </c>
      <c r="H35" t="s">
        <v>34</v>
      </c>
      <c r="I35">
        <f>[1]data!F36*(_xlfn.XLOOKUP([1]data!$C36,[2]data!$B$2:$B$218,[2]data!E$2:E$218)/100)</f>
        <v>0.39832337100000004</v>
      </c>
      <c r="J35">
        <f>[1]data!G36*(_xlfn.XLOOKUP([1]data!$C36,[2]data!$B$2:$B$218,[2]data!F$2:F$218)/100)</f>
        <v>0.527844282</v>
      </c>
      <c r="K35">
        <f>[1]data!H36*(_xlfn.XLOOKUP([1]data!$C36,[2]data!$B$2:$B$218,[2]data!G$2:G$218)/100)</f>
        <v>0.70582003800000004</v>
      </c>
      <c r="L35">
        <f>[1]data!I36*(_xlfn.XLOOKUP([1]data!$C36,[2]data!$B$2:$B$218,[2]data!H$2:H$218)/100)</f>
        <v>0.95007439799999993</v>
      </c>
      <c r="M35">
        <f>[1]data!J36*(_xlfn.XLOOKUP([1]data!$C36,[2]data!$B$2:$B$218,[2]data!I$2:I$218)/100)</f>
        <v>1.2926071690000001</v>
      </c>
      <c r="N35">
        <f>[1]data!K36*(_xlfn.XLOOKUP([1]data!$C36,[2]data!$B$2:$B$218,[2]data!J$2:J$218)/100)</f>
        <v>1.9913449920000001</v>
      </c>
      <c r="O35">
        <f>[1]data!L36*(_xlfn.XLOOKUP([1]data!$C36,[2]data!$B$2:$B$218,[2]data!K$2:K$218)/100)</f>
        <v>2.6663043989999999</v>
      </c>
      <c r="P35">
        <f>[1]data!M36*(_xlfn.XLOOKUP([1]data!$C36,[2]data!$B$2:$B$218,[2]data!L$2:L$218)/100)</f>
        <v>3.4944352320000003</v>
      </c>
      <c r="Q35">
        <f>[1]data!N36*(_xlfn.XLOOKUP([1]data!$C36,[2]data!$B$2:$B$218,[2]data!M$2:M$218)/100)</f>
        <v>4.469051232</v>
      </c>
      <c r="R35">
        <f>[1]data!O36*(_xlfn.XLOOKUP([1]data!$C36,[2]data!$B$2:$B$218,[2]data!N$2:N$218)/100)</f>
        <v>5.5507514580000006</v>
      </c>
      <c r="S35">
        <f>[1]data!P36*(_xlfn.XLOOKUP([1]data!$C36,[2]data!$B$2:$B$218,[2]data!O$2:O$218)/100)</f>
        <v>6.7766908299999997</v>
      </c>
      <c r="T35">
        <f>[1]data!Q36*(_xlfn.XLOOKUP([1]data!$C36,[2]data!$B$2:$B$218,[2]data!P$2:P$218)/100)</f>
        <v>8.264926225</v>
      </c>
      <c r="U35">
        <f>[1]data!R36*(_xlfn.XLOOKUP([1]data!$C36,[2]data!$B$2:$B$218,[2]data!Q$2:Q$218)/100)</f>
        <v>10.110869844</v>
      </c>
      <c r="V35">
        <f>[1]data!S36*(_xlfn.XLOOKUP([1]data!$C36,[2]data!$B$2:$B$218,[2]data!R$2:R$218)/100)</f>
        <v>12.373700976</v>
      </c>
      <c r="W35">
        <f>[1]data!T36*(_xlfn.XLOOKUP([1]data!$C36,[2]data!$B$2:$B$218,[2]data!S$2:S$218)/100)</f>
        <v>15.054982272000002</v>
      </c>
      <c r="X35">
        <f>[1]data!U36*(_xlfn.XLOOKUP([1]data!$C36,[2]data!$B$2:$B$218,[2]data!T$2:T$218)/100)</f>
        <v>17.6699157567</v>
      </c>
      <c r="Y35">
        <f>[1]data!V36*(_xlfn.XLOOKUP([1]data!$C36,[2]data!$B$2:$B$218,[2]data!U$2:U$218)/100)</f>
        <v>20.44352991225</v>
      </c>
      <c r="Z35">
        <f>[1]data!W36*(_xlfn.XLOOKUP([1]data!$C36,[2]data!$B$2:$B$218,[2]data!V$2:V$218)/100)</f>
        <v>23.317036249920001</v>
      </c>
      <c r="AA35">
        <f>[1]data!X36*(_xlfn.XLOOKUP([1]data!$C36,[2]data!$B$2:$B$218,[2]data!W$2:W$218)/100)</f>
        <v>26.251371236999933</v>
      </c>
      <c r="AB35">
        <f>[1]data!Y36*(_xlfn.XLOOKUP([1]data!$C36,[2]data!$B$2:$B$218,[2]data!X$2:X$218)/100)</f>
        <v>29.213941696500004</v>
      </c>
      <c r="AC35">
        <f>[1]data!Z36*(_xlfn.XLOOKUP([1]data!$C36,[2]data!$B$2:$B$218,[2]data!Y$2:Y$218)/100)</f>
        <v>32.131841037760005</v>
      </c>
      <c r="AD35">
        <f>[1]data!AA36*(_xlfn.XLOOKUP([1]data!$C36,[2]data!$B$2:$B$218,[2]data!Z$2:Z$218)/100)</f>
        <v>34.951749282389926</v>
      </c>
      <c r="AE35">
        <f>[1]data!AB36*(_xlfn.XLOOKUP([1]data!$C36,[2]data!$B$2:$B$218,[2]data!AA$2:AA$218)/100)</f>
        <v>37.584218878200005</v>
      </c>
      <c r="AF35">
        <f>[1]data!AC36*(_xlfn.XLOOKUP([1]data!$C36,[2]data!$B$2:$B$218,[2]data!AB$2:AB$218)/100)</f>
        <v>40.011084847799992</v>
      </c>
      <c r="AG35">
        <f>[1]data!AD36*(_xlfn.XLOOKUP([1]data!$C36,[2]data!$B$2:$B$218,[2]data!AC$2:AC$218)/100)</f>
        <v>42.21845781228</v>
      </c>
      <c r="AH35">
        <f>[1]data!AE36*(_xlfn.XLOOKUP([1]data!$C36,[2]data!$B$2:$B$218,[2]data!AD$2:AD$218)/100)</f>
        <v>44.084172980090003</v>
      </c>
      <c r="AI35">
        <f>[1]data!AF36*(_xlfn.XLOOKUP([1]data!$C36,[2]data!$B$2:$B$218,[2]data!AE$2:AE$218)/100)</f>
        <v>45.653254761399999</v>
      </c>
      <c r="AJ35">
        <f>[1]data!AG36*(_xlfn.XLOOKUP([1]data!$C36,[2]data!$B$2:$B$218,[2]data!AF$2:AF$218)/100)</f>
        <v>46.893505147919996</v>
      </c>
      <c r="AK35">
        <f>[1]data!AH36*(_xlfn.XLOOKUP([1]data!$C36,[2]data!$B$2:$B$218,[2]data!AG$2:AG$218)/100)</f>
        <v>47.850562648600004</v>
      </c>
      <c r="AL35">
        <f>[1]data!AI36*(_xlfn.XLOOKUP([1]data!$C36,[2]data!$B$2:$B$218,[2]data!AH$2:AH$218)/100)</f>
        <v>48.56529999816</v>
      </c>
      <c r="AM35">
        <f>[1]data!AJ36*(_xlfn.XLOOKUP([1]data!$C36,[2]data!$B$2:$B$218,[2]data!AI$2:AI$218)/100)</f>
        <v>49.049703546419998</v>
      </c>
    </row>
    <row r="36" spans="1:39" x14ac:dyDescent="0.25">
      <c r="A36" t="s">
        <v>30</v>
      </c>
      <c r="B36" t="s">
        <v>31</v>
      </c>
      <c r="C36" t="s">
        <v>68</v>
      </c>
      <c r="D36" t="s">
        <v>309</v>
      </c>
      <c r="E36" t="str">
        <f>_xlfn.XLOOKUP(D36,[6]Feuil1!$C$2:$C$248,[6]Feuil1!$B$2:$B$248)</f>
        <v>CD</v>
      </c>
      <c r="F36" t="s">
        <v>33</v>
      </c>
      <c r="G36" t="s">
        <v>245</v>
      </c>
      <c r="H36" t="s">
        <v>34</v>
      </c>
      <c r="I36">
        <f>[1]data!F37*(_xlfn.XLOOKUP([1]data!$C37,[2]data!$B$2:$B$218,[2]data!E$2:E$218)/100)</f>
        <v>2.3252433590000003</v>
      </c>
      <c r="J36">
        <f>[1]data!G37*(_xlfn.XLOOKUP([1]data!$C37,[2]data!$B$2:$B$218,[2]data!F$2:F$218)/100)</f>
        <v>2.792695374</v>
      </c>
      <c r="K36">
        <f>[1]data!H37*(_xlfn.XLOOKUP([1]data!$C37,[2]data!$B$2:$B$218,[2]data!G$2:G$218)/100)</f>
        <v>3.3631767300000002</v>
      </c>
      <c r="L36">
        <f>[1]data!I37*(_xlfn.XLOOKUP([1]data!$C37,[2]data!$B$2:$B$218,[2]data!H$2:H$218)/100)</f>
        <v>4.023144684</v>
      </c>
      <c r="M36">
        <f>[1]data!J37*(_xlfn.XLOOKUP([1]data!$C37,[2]data!$B$2:$B$218,[2]data!I$2:I$218)/100)</f>
        <v>4.8867806519999997</v>
      </c>
      <c r="N36">
        <f>[1]data!K37*(_xlfn.XLOOKUP([1]data!$C37,[2]data!$B$2:$B$218,[2]data!J$2:J$218)/100)</f>
        <v>5.8690967460000012</v>
      </c>
      <c r="O36">
        <f>[1]data!L37*(_xlfn.XLOOKUP([1]data!$C37,[2]data!$B$2:$B$218,[2]data!K$2:K$218)/100)</f>
        <v>7.1367641330000007</v>
      </c>
      <c r="P36">
        <f>[1]data!M37*(_xlfn.XLOOKUP([1]data!$C37,[2]data!$B$2:$B$218,[2]data!L$2:L$218)/100)</f>
        <v>8.6510829449999989</v>
      </c>
      <c r="Q36">
        <f>[1]data!N37*(_xlfn.XLOOKUP([1]data!$C37,[2]data!$B$2:$B$218,[2]data!M$2:M$218)/100)</f>
        <v>10.823828634</v>
      </c>
      <c r="R36">
        <f>[1]data!O37*(_xlfn.XLOOKUP([1]data!$C37,[2]data!$B$2:$B$218,[2]data!N$2:N$218)/100)</f>
        <v>14.018836111999999</v>
      </c>
      <c r="S36">
        <f>[1]data!P37*(_xlfn.XLOOKUP([1]data!$C37,[2]data!$B$2:$B$218,[2]data!O$2:O$218)/100)</f>
        <v>16.813473885000004</v>
      </c>
      <c r="T36">
        <f>[1]data!Q37*(_xlfn.XLOOKUP([1]data!$C37,[2]data!$B$2:$B$218,[2]data!P$2:P$218)/100)</f>
        <v>20.873161124999999</v>
      </c>
      <c r="U36">
        <f>[1]data!R37*(_xlfn.XLOOKUP([1]data!$C37,[2]data!$B$2:$B$218,[2]data!Q$2:Q$218)/100)</f>
        <v>26.118131599999998</v>
      </c>
      <c r="V36">
        <f>[1]data!S37*(_xlfn.XLOOKUP([1]data!$C37,[2]data!$B$2:$B$218,[2]data!R$2:R$218)/100)</f>
        <v>33.017997467000001</v>
      </c>
      <c r="W36">
        <f>[1]data!T37*(_xlfn.XLOOKUP([1]data!$C37,[2]data!$B$2:$B$218,[2]data!S$2:S$218)/100)</f>
        <v>41.647371480000054</v>
      </c>
      <c r="X36">
        <f>[1]data!U37*(_xlfn.XLOOKUP([1]data!$C37,[2]data!$B$2:$B$218,[2]data!T$2:T$218)/100)</f>
        <v>51.579725075009996</v>
      </c>
      <c r="Y36">
        <f>[1]data!V37*(_xlfn.XLOOKUP([1]data!$C37,[2]data!$B$2:$B$218,[2]data!U$2:U$218)/100)</f>
        <v>63.108015624450005</v>
      </c>
      <c r="Z36">
        <f>[1]data!W37*(_xlfn.XLOOKUP([1]data!$C37,[2]data!$B$2:$B$218,[2]data!V$2:V$218)/100)</f>
        <v>76.065185226159997</v>
      </c>
      <c r="AA36">
        <f>[1]data!X37*(_xlfn.XLOOKUP([1]data!$C37,[2]data!$B$2:$B$218,[2]data!W$2:W$218)/100)</f>
        <v>90.4009359561</v>
      </c>
      <c r="AB36">
        <f>[1]data!Y37*(_xlfn.XLOOKUP([1]data!$C37,[2]data!$B$2:$B$218,[2]data!X$2:X$218)/100)</f>
        <v>105.96141550896</v>
      </c>
      <c r="AC36">
        <f>[1]data!Z37*(_xlfn.XLOOKUP([1]data!$C37,[2]data!$B$2:$B$218,[2]data!Y$2:Y$218)/100)</f>
        <v>122.48207766736</v>
      </c>
      <c r="AD36">
        <f>[1]data!AA37*(_xlfn.XLOOKUP([1]data!$C37,[2]data!$B$2:$B$218,[2]data!Z$2:Z$218)/100)</f>
        <v>139.63055462482001</v>
      </c>
      <c r="AE36">
        <f>[1]data!AB37*(_xlfn.XLOOKUP([1]data!$C37,[2]data!$B$2:$B$218,[2]data!AA$2:AA$218)/100)</f>
        <v>157.13904877787999</v>
      </c>
      <c r="AF36">
        <f>[1]data!AC37*(_xlfn.XLOOKUP([1]data!$C37,[2]data!$B$2:$B$218,[2]data!AB$2:AB$218)/100)</f>
        <v>174.63760418952003</v>
      </c>
      <c r="AG36">
        <f>[1]data!AD37*(_xlfn.XLOOKUP([1]data!$C37,[2]data!$B$2:$B$218,[2]data!AC$2:AC$218)/100)</f>
        <v>191.89099866532001</v>
      </c>
      <c r="AH36">
        <f>[1]data!AE37*(_xlfn.XLOOKUP([1]data!$C37,[2]data!$B$2:$B$218,[2]data!AD$2:AD$218)/100)</f>
        <v>208.59824625262002</v>
      </c>
      <c r="AI36">
        <f>[1]data!AF37*(_xlfn.XLOOKUP([1]data!$C37,[2]data!$B$2:$B$218,[2]data!AE$2:AE$218)/100)</f>
        <v>224.35590725520004</v>
      </c>
      <c r="AJ36">
        <f>[1]data!AG37*(_xlfn.XLOOKUP([1]data!$C37,[2]data!$B$2:$B$218,[2]data!AF$2:AF$218)/100)</f>
        <v>238.90284836019003</v>
      </c>
      <c r="AK36">
        <f>[1]data!AH37*(_xlfn.XLOOKUP([1]data!$C37,[2]data!$B$2:$B$218,[2]data!AG$2:AG$218)/100)</f>
        <v>251.64497563968001</v>
      </c>
      <c r="AL36">
        <f>[1]data!AI37*(_xlfn.XLOOKUP([1]data!$C37,[2]data!$B$2:$B$218,[2]data!AH$2:AH$218)/100)</f>
        <v>262.49699268980004</v>
      </c>
      <c r="AM36">
        <f>[1]data!AJ37*(_xlfn.XLOOKUP([1]data!$C37,[2]data!$B$2:$B$218,[2]data!AI$2:AI$218)/100)</f>
        <v>271.37086568909996</v>
      </c>
    </row>
    <row r="37" spans="1:39" x14ac:dyDescent="0.25">
      <c r="A37" t="s">
        <v>30</v>
      </c>
      <c r="B37" t="s">
        <v>31</v>
      </c>
      <c r="C37" t="s">
        <v>69</v>
      </c>
      <c r="D37" t="s">
        <v>310</v>
      </c>
      <c r="E37" t="str">
        <f>_xlfn.XLOOKUP(D37,[6]Feuil1!$C$2:$C$248,[6]Feuil1!$B$2:$B$248)</f>
        <v>CG</v>
      </c>
      <c r="F37" t="s">
        <v>33</v>
      </c>
      <c r="G37" t="s">
        <v>245</v>
      </c>
      <c r="H37" t="s">
        <v>34</v>
      </c>
      <c r="I37">
        <f>[1]data!F38*(_xlfn.XLOOKUP([1]data!$C38,[2]data!$B$2:$B$218,[2]data!E$2:E$218)/100)</f>
        <v>0.20573351100000001</v>
      </c>
      <c r="J37">
        <f>[1]data!G38*(_xlfn.XLOOKUP([1]data!$C38,[2]data!$B$2:$B$218,[2]data!F$2:F$218)/100)</f>
        <v>0.25923008700000005</v>
      </c>
      <c r="K37">
        <f>[1]data!H38*(_xlfn.XLOOKUP([1]data!$C38,[2]data!$B$2:$B$218,[2]data!G$2:G$218)/100)</f>
        <v>0.32930518000000003</v>
      </c>
      <c r="L37">
        <f>[1]data!I38*(_xlfn.XLOOKUP([1]data!$C38,[2]data!$B$2:$B$218,[2]data!H$2:H$218)/100)</f>
        <v>0.42022990899999996</v>
      </c>
      <c r="M37">
        <f>[1]data!J38*(_xlfn.XLOOKUP([1]data!$C38,[2]data!$B$2:$B$218,[2]data!I$2:I$218)/100)</f>
        <v>0.53797768200000007</v>
      </c>
      <c r="N37">
        <f>[1]data!K38*(_xlfn.XLOOKUP([1]data!$C38,[2]data!$B$2:$B$218,[2]data!J$2:J$218)/100)</f>
        <v>0.6948472240000001</v>
      </c>
      <c r="O37">
        <f>[1]data!L38*(_xlfn.XLOOKUP([1]data!$C38,[2]data!$B$2:$B$218,[2]data!K$2:K$218)/100)</f>
        <v>0.86636298899999997</v>
      </c>
      <c r="P37">
        <f>[1]data!M38*(_xlfn.XLOOKUP([1]data!$C38,[2]data!$B$2:$B$218,[2]data!L$2:L$218)/100)</f>
        <v>1.0605933360000002</v>
      </c>
      <c r="Q37">
        <f>[1]data!N38*(_xlfn.XLOOKUP([1]data!$C38,[2]data!$B$2:$B$218,[2]data!M$2:M$218)/100)</f>
        <v>1.2774531119999997</v>
      </c>
      <c r="R37">
        <f>[1]data!O38*(_xlfn.XLOOKUP([1]data!$C38,[2]data!$B$2:$B$218,[2]data!N$2:N$218)/100)</f>
        <v>1.5255963119999998</v>
      </c>
      <c r="S37">
        <f>[1]data!P38*(_xlfn.XLOOKUP([1]data!$C38,[2]data!$B$2:$B$218,[2]data!O$2:O$218)/100)</f>
        <v>1.7935949360000001</v>
      </c>
      <c r="T37">
        <f>[1]data!Q38*(_xlfn.XLOOKUP([1]data!$C38,[2]data!$B$2:$B$218,[2]data!P$2:P$218)/100)</f>
        <v>2.1980520399999999</v>
      </c>
      <c r="U37">
        <f>[1]data!R38*(_xlfn.XLOOKUP([1]data!$C38,[2]data!$B$2:$B$218,[2]data!Q$2:Q$218)/100)</f>
        <v>2.762147406</v>
      </c>
      <c r="V37">
        <f>[1]data!S38*(_xlfn.XLOOKUP([1]data!$C38,[2]data!$B$2:$B$218,[2]data!R$2:R$218)/100)</f>
        <v>3.2775263350000001</v>
      </c>
      <c r="W37">
        <f>[1]data!T38*(_xlfn.XLOOKUP([1]data!$C38,[2]data!$B$2:$B$218,[2]data!S$2:S$218)/100)</f>
        <v>3.8207252639999996</v>
      </c>
      <c r="X37">
        <f>[1]data!U38*(_xlfn.XLOOKUP([1]data!$C38,[2]data!$B$2:$B$218,[2]data!T$2:T$218)/100)</f>
        <v>4.4041858760900006</v>
      </c>
      <c r="Y37">
        <f>[1]data!V38*(_xlfn.XLOOKUP([1]data!$C38,[2]data!$B$2:$B$218,[2]data!U$2:U$218)/100)</f>
        <v>5.0231765745099999</v>
      </c>
      <c r="Z37">
        <f>[1]data!W38*(_xlfn.XLOOKUP([1]data!$C38,[2]data!$B$2:$B$218,[2]data!V$2:V$218)/100)</f>
        <v>5.6729822704799995</v>
      </c>
      <c r="AA37">
        <f>[1]data!X38*(_xlfn.XLOOKUP([1]data!$C38,[2]data!$B$2:$B$218,[2]data!W$2:W$218)/100)</f>
        <v>6.3372629638599998</v>
      </c>
      <c r="AB37">
        <f>[1]data!Y38*(_xlfn.XLOOKUP([1]data!$C38,[2]data!$B$2:$B$218,[2]data!X$2:X$218)/100)</f>
        <v>6.9976042140000008</v>
      </c>
      <c r="AC37">
        <f>[1]data!Z38*(_xlfn.XLOOKUP([1]data!$C38,[2]data!$B$2:$B$218,[2]data!Y$2:Y$218)/100)</f>
        <v>7.644086971080001</v>
      </c>
      <c r="AD37">
        <f>[1]data!AA38*(_xlfn.XLOOKUP([1]data!$C38,[2]data!$B$2:$B$218,[2]data!Z$2:Z$218)/100)</f>
        <v>8.2594264627400005</v>
      </c>
      <c r="AE37">
        <f>[1]data!AB38*(_xlfn.XLOOKUP([1]data!$C38,[2]data!$B$2:$B$218,[2]data!AA$2:AA$218)/100)</f>
        <v>8.8314131659600008</v>
      </c>
      <c r="AF37">
        <f>[1]data!AC38*(_xlfn.XLOOKUP([1]data!$C38,[2]data!$B$2:$B$218,[2]data!AB$2:AB$218)/100)</f>
        <v>9.3655029906799996</v>
      </c>
      <c r="AG37">
        <f>[1]data!AD38*(_xlfn.XLOOKUP([1]data!$C38,[2]data!$B$2:$B$218,[2]data!AC$2:AC$218)/100)</f>
        <v>9.8448692907400002</v>
      </c>
      <c r="AH37">
        <f>[1]data!AE38*(_xlfn.XLOOKUP([1]data!$C38,[2]data!$B$2:$B$218,[2]data!AD$2:AD$218)/100)</f>
        <v>10.250972786250001</v>
      </c>
      <c r="AI37">
        <f>[1]data!AF38*(_xlfn.XLOOKUP([1]data!$C38,[2]data!$B$2:$B$218,[2]data!AE$2:AE$218)/100)</f>
        <v>10.585390396240001</v>
      </c>
      <c r="AJ37">
        <f>[1]data!AG38*(_xlfn.XLOOKUP([1]data!$C38,[2]data!$B$2:$B$218,[2]data!AF$2:AF$218)/100)</f>
        <v>10.857752345910001</v>
      </c>
      <c r="AK37">
        <f>[1]data!AH38*(_xlfn.XLOOKUP([1]data!$C38,[2]data!$B$2:$B$218,[2]data!AG$2:AG$218)/100)</f>
        <v>11.07082752696</v>
      </c>
      <c r="AL37">
        <f>[1]data!AI38*(_xlfn.XLOOKUP([1]data!$C38,[2]data!$B$2:$B$218,[2]data!AH$2:AH$218)/100)</f>
        <v>11.2241446146</v>
      </c>
      <c r="AM37">
        <f>[1]data!AJ38*(_xlfn.XLOOKUP([1]data!$C38,[2]data!$B$2:$B$218,[2]data!AI$2:AI$218)/100)</f>
        <v>11.3187791402</v>
      </c>
    </row>
    <row r="38" spans="1:39" x14ac:dyDescent="0.25">
      <c r="A38" t="s">
        <v>30</v>
      </c>
      <c r="B38" t="s">
        <v>31</v>
      </c>
      <c r="C38" t="s">
        <v>70</v>
      </c>
      <c r="D38" t="s">
        <v>311</v>
      </c>
      <c r="E38" t="str">
        <f>_xlfn.XLOOKUP(D38,[6]Feuil1!$C$2:$C$248,[6]Feuil1!$B$2:$B$248)</f>
        <v>CO</v>
      </c>
      <c r="F38" t="s">
        <v>33</v>
      </c>
      <c r="G38" t="str">
        <f>_xlfn.XLOOKUP(C38,[3]Sheet1!$B$2:$B$172,[3]Sheet1!$D$2:$D$172)</f>
        <v>Rest of South America</v>
      </c>
      <c r="H38" t="s">
        <v>34</v>
      </c>
      <c r="I38">
        <f>[1]data!F39*(_xlfn.XLOOKUP([1]data!$C39,[2]data!$B$2:$B$218,[2]data!E$2:E$218)/100)</f>
        <v>3.786439144</v>
      </c>
      <c r="J38">
        <f>[1]data!G39*(_xlfn.XLOOKUP([1]data!$C39,[2]data!$B$2:$B$218,[2]data!F$2:F$218)/100)</f>
        <v>5.2203808160000005</v>
      </c>
      <c r="K38">
        <f>[1]data!H39*(_xlfn.XLOOKUP([1]data!$C39,[2]data!$B$2:$B$218,[2]data!G$2:G$218)/100)</f>
        <v>7.1507576630000003</v>
      </c>
      <c r="L38">
        <f>[1]data!I39*(_xlfn.XLOOKUP([1]data!$C39,[2]data!$B$2:$B$218,[2]data!H$2:H$218)/100)</f>
        <v>9.5073300960000005</v>
      </c>
      <c r="M38">
        <f>[1]data!J39*(_xlfn.XLOOKUP([1]data!$C39,[2]data!$B$2:$B$218,[2]data!I$2:I$218)/100)</f>
        <v>11.687871700000002</v>
      </c>
      <c r="N38">
        <f>[1]data!K39*(_xlfn.XLOOKUP([1]data!$C39,[2]data!$B$2:$B$218,[2]data!J$2:J$218)/100)</f>
        <v>13.958815644</v>
      </c>
      <c r="O38">
        <f>[1]data!L39*(_xlfn.XLOOKUP([1]data!$C39,[2]data!$B$2:$B$218,[2]data!K$2:K$218)/100)</f>
        <v>16.48033023</v>
      </c>
      <c r="P38">
        <f>[1]data!M39*(_xlfn.XLOOKUP([1]data!$C39,[2]data!$B$2:$B$218,[2]data!L$2:L$218)/100)</f>
        <v>19.438326760000002</v>
      </c>
      <c r="Q38">
        <f>[1]data!N39*(_xlfn.XLOOKUP([1]data!$C39,[2]data!$B$2:$B$218,[2]data!M$2:M$218)/100)</f>
        <v>22.419841674999997</v>
      </c>
      <c r="R38">
        <f>[1]data!O39*(_xlfn.XLOOKUP([1]data!$C39,[2]data!$B$2:$B$218,[2]data!N$2:N$218)/100)</f>
        <v>25.588295809999998</v>
      </c>
      <c r="S38">
        <f>[1]data!P39*(_xlfn.XLOOKUP([1]data!$C39,[2]data!$B$2:$B$218,[2]data!O$2:O$218)/100)</f>
        <v>28.787397860000002</v>
      </c>
      <c r="T38">
        <f>[1]data!Q39*(_xlfn.XLOOKUP([1]data!$C39,[2]data!$B$2:$B$218,[2]data!P$2:P$218)/100)</f>
        <v>31.875840199999995</v>
      </c>
      <c r="U38">
        <f>[1]data!R39*(_xlfn.XLOOKUP([1]data!$C39,[2]data!$B$2:$B$218,[2]data!Q$2:Q$218)/100)</f>
        <v>34.760338859999997</v>
      </c>
      <c r="V38">
        <f>[1]data!S39*(_xlfn.XLOOKUP([1]data!$C39,[2]data!$B$2:$B$218,[2]data!R$2:R$218)/100)</f>
        <v>37.422008903999995</v>
      </c>
      <c r="W38">
        <f>[1]data!T39*(_xlfn.XLOOKUP([1]data!$C39,[2]data!$B$2:$B$218,[2]data!S$2:S$218)/100)</f>
        <v>41.202259163999997</v>
      </c>
      <c r="X38">
        <f>[1]data!U39*(_xlfn.XLOOKUP([1]data!$C39,[2]data!$B$2:$B$218,[2]data!T$2:T$218)/100)</f>
        <v>43.148013501420003</v>
      </c>
      <c r="Y38">
        <f>[1]data!V39*(_xlfn.XLOOKUP([1]data!$C39,[2]data!$B$2:$B$218,[2]data!U$2:U$218)/100)</f>
        <v>45.1085307926</v>
      </c>
      <c r="Z38">
        <f>[1]data!W39*(_xlfn.XLOOKUP([1]data!$C39,[2]data!$B$2:$B$218,[2]data!V$2:V$218)/100)</f>
        <v>46.79109468803</v>
      </c>
      <c r="AA38">
        <f>[1]data!X39*(_xlfn.XLOOKUP([1]data!$C39,[2]data!$B$2:$B$218,[2]data!W$2:W$218)/100)</f>
        <v>48.178928161720009</v>
      </c>
      <c r="AB38">
        <f>[1]data!Y39*(_xlfn.XLOOKUP([1]data!$C39,[2]data!$B$2:$B$218,[2]data!X$2:X$218)/100)</f>
        <v>49.255193660000003</v>
      </c>
      <c r="AC38">
        <f>[1]data!Z39*(_xlfn.XLOOKUP([1]data!$C39,[2]data!$B$2:$B$218,[2]data!Y$2:Y$218)/100)</f>
        <v>50.050888384319997</v>
      </c>
      <c r="AD38">
        <f>[1]data!AA39*(_xlfn.XLOOKUP([1]data!$C39,[2]data!$B$2:$B$218,[2]data!Z$2:Z$218)/100)</f>
        <v>50.599332254570001</v>
      </c>
      <c r="AE38">
        <f>[1]data!AB39*(_xlfn.XLOOKUP([1]data!$C39,[2]data!$B$2:$B$218,[2]data!AA$2:AA$218)/100)</f>
        <v>50.920383915839999</v>
      </c>
      <c r="AF38">
        <f>[1]data!AC39*(_xlfn.XLOOKUP([1]data!$C39,[2]data!$B$2:$B$218,[2]data!AB$2:AB$218)/100)</f>
        <v>51.028805914450004</v>
      </c>
      <c r="AG38">
        <f>[1]data!AD39*(_xlfn.XLOOKUP([1]data!$C39,[2]data!$B$2:$B$218,[2]data!AC$2:AC$218)/100)</f>
        <v>50.925475626059999</v>
      </c>
      <c r="AH38">
        <f>[1]data!AE39*(_xlfn.XLOOKUP([1]data!$C39,[2]data!$B$2:$B$218,[2]data!AD$2:AD$218)/100)</f>
        <v>50.614044672880006</v>
      </c>
      <c r="AI38">
        <f>[1]data!AF39*(_xlfn.XLOOKUP([1]data!$C39,[2]data!$B$2:$B$218,[2]data!AE$2:AE$218)/100)</f>
        <v>50.070398421230003</v>
      </c>
      <c r="AJ38">
        <f>[1]data!AG39*(_xlfn.XLOOKUP([1]data!$C39,[2]data!$B$2:$B$218,[2]data!AF$2:AF$218)/100)</f>
        <v>49.355567977880007</v>
      </c>
      <c r="AK38">
        <f>[1]data!AH39*(_xlfn.XLOOKUP([1]data!$C39,[2]data!$B$2:$B$218,[2]data!AG$2:AG$218)/100)</f>
        <v>48.532517896800002</v>
      </c>
      <c r="AL38">
        <f>[1]data!AI39*(_xlfn.XLOOKUP([1]data!$C39,[2]data!$B$2:$B$218,[2]data!AH$2:AH$218)/100)</f>
        <v>47.664628854799993</v>
      </c>
      <c r="AM38">
        <f>[1]data!AJ39*(_xlfn.XLOOKUP([1]data!$C39,[2]data!$B$2:$B$218,[2]data!AI$2:AI$218)/100)</f>
        <v>46.81504380837</v>
      </c>
    </row>
    <row r="39" spans="1:39" x14ac:dyDescent="0.25">
      <c r="A39" t="s">
        <v>30</v>
      </c>
      <c r="B39" t="s">
        <v>31</v>
      </c>
      <c r="C39" t="s">
        <v>71</v>
      </c>
      <c r="D39" t="s">
        <v>312</v>
      </c>
      <c r="E39" t="str">
        <f>_xlfn.XLOOKUP(D39,[6]Feuil1!$C$2:$C$248,[6]Feuil1!$B$2:$B$248)</f>
        <v>KM</v>
      </c>
      <c r="F39" t="s">
        <v>33</v>
      </c>
      <c r="G39" t="s">
        <v>246</v>
      </c>
      <c r="H39" t="s">
        <v>34</v>
      </c>
      <c r="I39">
        <f>[1]data!F40*(_xlfn.XLOOKUP([1]data!$C40,[2]data!$B$2:$B$218,[2]data!E$2:E$218)/100)</f>
        <v>1.0557294000000002E-2</v>
      </c>
      <c r="J39">
        <f>[1]data!G40*(_xlfn.XLOOKUP([1]data!$C40,[2]data!$B$2:$B$218,[2]data!F$2:F$218)/100)</f>
        <v>1.6226132000000001E-2</v>
      </c>
      <c r="K39">
        <f>[1]data!H40*(_xlfn.XLOOKUP([1]data!$C40,[2]data!$B$2:$B$218,[2]data!G$2:G$218)/100)</f>
        <v>2.4319638000000001E-2</v>
      </c>
      <c r="L39">
        <f>[1]data!I40*(_xlfn.XLOOKUP([1]data!$C40,[2]data!$B$2:$B$218,[2]data!H$2:H$218)/100)</f>
        <v>3.6167669999999999E-2</v>
      </c>
      <c r="M39">
        <f>[1]data!J40*(_xlfn.XLOOKUP([1]data!$C40,[2]data!$B$2:$B$218,[2]data!I$2:I$218)/100)</f>
        <v>4.6383847999999998E-2</v>
      </c>
      <c r="N39">
        <f>[1]data!K40*(_xlfn.XLOOKUP([1]data!$C40,[2]data!$B$2:$B$218,[2]data!J$2:J$218)/100)</f>
        <v>5.8476172000000007E-2</v>
      </c>
      <c r="O39">
        <f>[1]data!L40*(_xlfn.XLOOKUP([1]data!$C40,[2]data!$B$2:$B$218,[2]data!K$2:K$218)/100)</f>
        <v>7.5004439999999992E-2</v>
      </c>
      <c r="P39">
        <f>[1]data!M40*(_xlfn.XLOOKUP([1]data!$C40,[2]data!$B$2:$B$218,[2]data!L$2:L$218)/100)</f>
        <v>9.4490505000000002E-2</v>
      </c>
      <c r="Q39">
        <f>[1]data!N40*(_xlfn.XLOOKUP([1]data!$C40,[2]data!$B$2:$B$218,[2]data!M$2:M$218)/100)</f>
        <v>0.11869134299999999</v>
      </c>
      <c r="R39">
        <f>[1]data!O40*(_xlfn.XLOOKUP([1]data!$C40,[2]data!$B$2:$B$218,[2]data!N$2:N$218)/100)</f>
        <v>0.13543446100000001</v>
      </c>
      <c r="S39">
        <f>[1]data!P40*(_xlfn.XLOOKUP([1]data!$C40,[2]data!$B$2:$B$218,[2]data!O$2:O$218)/100)</f>
        <v>0.14932733400000003</v>
      </c>
      <c r="T39">
        <f>[1]data!Q40*(_xlfn.XLOOKUP([1]data!$C40,[2]data!$B$2:$B$218,[2]data!P$2:P$218)/100)</f>
        <v>0.16370603999999997</v>
      </c>
      <c r="U39">
        <f>[1]data!R40*(_xlfn.XLOOKUP([1]data!$C40,[2]data!$B$2:$B$218,[2]data!Q$2:Q$218)/100)</f>
        <v>0.18175836000000001</v>
      </c>
      <c r="V39">
        <f>[1]data!S40*(_xlfn.XLOOKUP([1]data!$C40,[2]data!$B$2:$B$218,[2]data!R$2:R$218)/100)</f>
        <v>0.20585948999999998</v>
      </c>
      <c r="W39">
        <f>[1]data!T40*(_xlfn.XLOOKUP([1]data!$C40,[2]data!$B$2:$B$218,[2]data!S$2:S$218)/100)</f>
        <v>0.23470813799999998</v>
      </c>
      <c r="X39">
        <f>[1]data!U40*(_xlfn.XLOOKUP([1]data!$C40,[2]data!$B$2:$B$218,[2]data!T$2:T$218)/100)</f>
        <v>0.2857668796000003</v>
      </c>
      <c r="Y39">
        <f>[1]data!V40*(_xlfn.XLOOKUP([1]data!$C40,[2]data!$B$2:$B$218,[2]data!U$2:U$218)/100)</f>
        <v>0.34198960500000003</v>
      </c>
      <c r="Z39">
        <f>[1]data!W40*(_xlfn.XLOOKUP([1]data!$C40,[2]data!$B$2:$B$218,[2]data!V$2:V$218)/100)</f>
        <v>0.40214530090000006</v>
      </c>
      <c r="AA39">
        <f>[1]data!X40*(_xlfn.XLOOKUP([1]data!$C40,[2]data!$B$2:$B$218,[2]data!W$2:W$218)/100)</f>
        <v>0.46554589355999992</v>
      </c>
      <c r="AB39">
        <f>[1]data!Y40*(_xlfn.XLOOKUP([1]data!$C40,[2]data!$B$2:$B$218,[2]data!X$2:X$218)/100)</f>
        <v>0.53102368097999997</v>
      </c>
      <c r="AC39">
        <f>[1]data!Z40*(_xlfn.XLOOKUP([1]data!$C40,[2]data!$B$2:$B$218,[2]data!Y$2:Y$218)/100)</f>
        <v>0.59705052749999998</v>
      </c>
      <c r="AD39">
        <f>[1]data!AA40*(_xlfn.XLOOKUP([1]data!$C40,[2]data!$B$2:$B$218,[2]data!Z$2:Z$218)/100)</f>
        <v>0.66152169468000011</v>
      </c>
      <c r="AE39">
        <f>[1]data!AB40*(_xlfn.XLOOKUP([1]data!$C40,[2]data!$B$2:$B$218,[2]data!AA$2:AA$218)/100)</f>
        <v>0.72234589860000009</v>
      </c>
      <c r="AF39">
        <f>[1]data!AC40*(_xlfn.XLOOKUP([1]data!$C40,[2]data!$B$2:$B$218,[2]data!AB$2:AB$218)/100)</f>
        <v>0.77953426747999999</v>
      </c>
      <c r="AG39">
        <f>[1]data!AD40*(_xlfn.XLOOKUP([1]data!$C40,[2]data!$B$2:$B$218,[2]data!AC$2:AC$218)/100)</f>
        <v>0.83092014917000001</v>
      </c>
      <c r="AH39">
        <f>[1]data!AE40*(_xlfn.XLOOKUP([1]data!$C40,[2]data!$B$2:$B$218,[2]data!AD$2:AD$218)/100)</f>
        <v>0.87683489823999994</v>
      </c>
      <c r="AI39">
        <f>[1]data!AF40*(_xlfn.XLOOKUP([1]data!$C40,[2]data!$B$2:$B$218,[2]data!AE$2:AE$218)/100)</f>
        <v>0.91620010334999991</v>
      </c>
      <c r="AJ39">
        <f>[1]data!AG40*(_xlfn.XLOOKUP([1]data!$C40,[2]data!$B$2:$B$218,[2]data!AF$2:AF$218)/100)</f>
        <v>0.95027567876999997</v>
      </c>
      <c r="AK39">
        <f>[1]data!AH40*(_xlfn.XLOOKUP([1]data!$C40,[2]data!$B$2:$B$218,[2]data!AG$2:AG$218)/100)</f>
        <v>0.97958656403999944</v>
      </c>
      <c r="AL39">
        <f>[1]data!AI40*(_xlfn.XLOOKUP([1]data!$C40,[2]data!$B$2:$B$218,[2]data!AH$2:AH$218)/100)</f>
        <v>1.0040584760699998</v>
      </c>
      <c r="AM39">
        <f>[1]data!AJ40*(_xlfn.XLOOKUP([1]data!$C40,[2]data!$B$2:$B$218,[2]data!AI$2:AI$218)/100)</f>
        <v>1.0234321644400002</v>
      </c>
    </row>
    <row r="40" spans="1:39" x14ac:dyDescent="0.25">
      <c r="A40" t="s">
        <v>30</v>
      </c>
      <c r="B40" t="s">
        <v>31</v>
      </c>
      <c r="C40" t="s">
        <v>72</v>
      </c>
      <c r="D40" t="s">
        <v>313</v>
      </c>
      <c r="E40" t="str">
        <f>_xlfn.XLOOKUP(D40,[6]Feuil1!$C$2:$C$248,[6]Feuil1!$B$2:$B$248)</f>
        <v>CV</v>
      </c>
      <c r="F40" t="s">
        <v>33</v>
      </c>
      <c r="G40" t="s">
        <v>245</v>
      </c>
      <c r="H40" t="s">
        <v>34</v>
      </c>
      <c r="I40">
        <f>[1]data!F41*(_xlfn.XLOOKUP([1]data!$C41,[2]data!$B$2:$B$218,[2]data!E$2:E$218)/100)</f>
        <v>2.6112521999999999E-2</v>
      </c>
      <c r="J40">
        <f>[1]data!G41*(_xlfn.XLOOKUP([1]data!$C41,[2]data!$B$2:$B$218,[2]data!F$2:F$218)/100)</f>
        <v>2.9940372E-2</v>
      </c>
      <c r="K40">
        <f>[1]data!H41*(_xlfn.XLOOKUP([1]data!$C41,[2]data!$B$2:$B$218,[2]data!G$2:G$218)/100)</f>
        <v>3.4734330000000001E-2</v>
      </c>
      <c r="L40">
        <f>[1]data!I41*(_xlfn.XLOOKUP([1]data!$C41,[2]data!$B$2:$B$218,[2]data!H$2:H$218)/100)</f>
        <v>4.3475295000000004E-2</v>
      </c>
      <c r="M40">
        <f>[1]data!J41*(_xlfn.XLOOKUP([1]data!$C41,[2]data!$B$2:$B$218,[2]data!I$2:I$218)/100)</f>
        <v>5.5501712000000009E-2</v>
      </c>
      <c r="N40">
        <f>[1]data!K41*(_xlfn.XLOOKUP([1]data!$C41,[2]data!$B$2:$B$218,[2]data!J$2:J$218)/100)</f>
        <v>6.4833440000000006E-2</v>
      </c>
      <c r="O40">
        <f>[1]data!L41*(_xlfn.XLOOKUP([1]data!$C41,[2]data!$B$2:$B$218,[2]data!K$2:K$218)/100)</f>
        <v>7.4062600000000006E-2</v>
      </c>
      <c r="P40">
        <f>[1]data!M41*(_xlfn.XLOOKUP([1]data!$C41,[2]data!$B$2:$B$218,[2]data!L$2:L$218)/100)</f>
        <v>0.106370145</v>
      </c>
      <c r="Q40">
        <f>[1]data!N41*(_xlfn.XLOOKUP([1]data!$C41,[2]data!$B$2:$B$218,[2]data!M$2:M$218)/100)</f>
        <v>0.159110154</v>
      </c>
      <c r="R40">
        <f>[1]data!O41*(_xlfn.XLOOKUP([1]data!$C41,[2]data!$B$2:$B$218,[2]data!N$2:N$218)/100)</f>
        <v>0.19841884800000001</v>
      </c>
      <c r="S40">
        <f>[1]data!P41*(_xlfn.XLOOKUP([1]data!$C41,[2]data!$B$2:$B$218,[2]data!O$2:O$218)/100)</f>
        <v>0.24258872400000003</v>
      </c>
      <c r="T40">
        <f>[1]data!Q41*(_xlfn.XLOOKUP([1]data!$C41,[2]data!$B$2:$B$218,[2]data!P$2:P$218)/100)</f>
        <v>0.28258575000000002</v>
      </c>
      <c r="U40">
        <f>[1]data!R41*(_xlfn.XLOOKUP([1]data!$C41,[2]data!$B$2:$B$218,[2]data!Q$2:Q$218)/100)</f>
        <v>0.32025130800000001</v>
      </c>
      <c r="V40">
        <f>[1]data!S41*(_xlfn.XLOOKUP([1]data!$C41,[2]data!$B$2:$B$218,[2]data!R$2:R$218)/100)</f>
        <v>0.35312016800000007</v>
      </c>
      <c r="W40">
        <f>[1]data!T41*(_xlfn.XLOOKUP([1]data!$C41,[2]data!$B$2:$B$218,[2]data!S$2:S$218)/100)</f>
        <v>0.38681264300000007</v>
      </c>
      <c r="X40">
        <f>[1]data!U41*(_xlfn.XLOOKUP([1]data!$C41,[2]data!$B$2:$B$218,[2]data!T$2:T$218)/100)</f>
        <v>0.41684509801999936</v>
      </c>
      <c r="Y40">
        <f>[1]data!V41*(_xlfn.XLOOKUP([1]data!$C41,[2]data!$B$2:$B$218,[2]data!U$2:U$218)/100)</f>
        <v>0.44585110935</v>
      </c>
      <c r="Z40">
        <f>[1]data!W41*(_xlfn.XLOOKUP([1]data!$C41,[2]data!$B$2:$B$218,[2]data!V$2:V$218)/100)</f>
        <v>0.47168338661999992</v>
      </c>
      <c r="AA40">
        <f>[1]data!X41*(_xlfn.XLOOKUP([1]data!$C41,[2]data!$B$2:$B$218,[2]data!W$2:W$218)/100)</f>
        <v>0.49463193903999997</v>
      </c>
      <c r="AB40">
        <f>[1]data!Y41*(_xlfn.XLOOKUP([1]data!$C41,[2]data!$B$2:$B$218,[2]data!X$2:X$218)/100)</f>
        <v>0.51421765625999938</v>
      </c>
      <c r="AC40">
        <f>[1]data!Z41*(_xlfn.XLOOKUP([1]data!$C41,[2]data!$B$2:$B$218,[2]data!Y$2:Y$218)/100)</f>
        <v>0.53037817559999989</v>
      </c>
      <c r="AD40">
        <f>[1]data!AA41*(_xlfn.XLOOKUP([1]data!$C41,[2]data!$B$2:$B$218,[2]data!Z$2:Z$218)/100)</f>
        <v>0.54288207672</v>
      </c>
      <c r="AE40">
        <f>[1]data!AB41*(_xlfn.XLOOKUP([1]data!$C41,[2]data!$B$2:$B$218,[2]data!AA$2:AA$218)/100)</f>
        <v>0.55191123900000005</v>
      </c>
      <c r="AF40">
        <f>[1]data!AC41*(_xlfn.XLOOKUP([1]data!$C41,[2]data!$B$2:$B$218,[2]data!AB$2:AB$218)/100)</f>
        <v>0.55807705447999911</v>
      </c>
      <c r="AG40">
        <f>[1]data!AD41*(_xlfn.XLOOKUP([1]data!$C41,[2]data!$B$2:$B$218,[2]data!AC$2:AC$218)/100)</f>
        <v>0.56137721947999919</v>
      </c>
      <c r="AH40">
        <f>[1]data!AE41*(_xlfn.XLOOKUP([1]data!$C41,[2]data!$B$2:$B$218,[2]data!AD$2:AD$218)/100)</f>
        <v>0.56170577643999997</v>
      </c>
      <c r="AI40">
        <f>[1]data!AF41*(_xlfn.XLOOKUP([1]data!$C41,[2]data!$B$2:$B$218,[2]data!AE$2:AE$218)/100)</f>
        <v>0.55950613463999999</v>
      </c>
      <c r="AJ40">
        <f>[1]data!AG41*(_xlfn.XLOOKUP([1]data!$C41,[2]data!$B$2:$B$218,[2]data!AF$2:AF$218)/100)</f>
        <v>0.55508446668</v>
      </c>
      <c r="AK40">
        <f>[1]data!AH41*(_xlfn.XLOOKUP([1]data!$C41,[2]data!$B$2:$B$218,[2]data!AG$2:AG$218)/100)</f>
        <v>0.54930328999999989</v>
      </c>
      <c r="AL40">
        <f>[1]data!AI41*(_xlfn.XLOOKUP([1]data!$C41,[2]data!$B$2:$B$218,[2]data!AH$2:AH$218)/100)</f>
        <v>0.5432260134600001</v>
      </c>
      <c r="AM40">
        <f>[1]data!AJ41*(_xlfn.XLOOKUP([1]data!$C41,[2]data!$B$2:$B$218,[2]data!AI$2:AI$218)/100)</f>
        <v>0.5375203328</v>
      </c>
    </row>
    <row r="41" spans="1:39" x14ac:dyDescent="0.25">
      <c r="A41" t="s">
        <v>30</v>
      </c>
      <c r="B41" t="s">
        <v>31</v>
      </c>
      <c r="C41" t="s">
        <v>73</v>
      </c>
      <c r="D41" t="s">
        <v>314</v>
      </c>
      <c r="E41" t="str">
        <f>_xlfn.XLOOKUP(D41,[6]Feuil1!$C$2:$C$248,[6]Feuil1!$B$2:$B$248)</f>
        <v>CR</v>
      </c>
      <c r="F41" t="s">
        <v>33</v>
      </c>
      <c r="G41" t="str">
        <f>_xlfn.XLOOKUP(C41,[3]Sheet1!$B$2:$B$172,[3]Sheet1!$D$2:$D$172)</f>
        <v>Central America</v>
      </c>
      <c r="H41" t="s">
        <v>34</v>
      </c>
      <c r="I41">
        <f>[1]data!F42*(_xlfn.XLOOKUP([1]data!$C42,[2]data!$B$2:$B$218,[2]data!E$2:E$218)/100)</f>
        <v>0.31266253500000002</v>
      </c>
      <c r="J41">
        <f>[1]data!G42*(_xlfn.XLOOKUP([1]data!$C42,[2]data!$B$2:$B$218,[2]data!F$2:F$218)/100)</f>
        <v>0.37430210399999997</v>
      </c>
      <c r="K41">
        <f>[1]data!H42*(_xlfn.XLOOKUP([1]data!$C42,[2]data!$B$2:$B$218,[2]data!G$2:G$218)/100)</f>
        <v>0.45334755899999996</v>
      </c>
      <c r="L41">
        <f>[1]data!I42*(_xlfn.XLOOKUP([1]data!$C42,[2]data!$B$2:$B$218,[2]data!H$2:H$218)/100)</f>
        <v>0.56446611800000002</v>
      </c>
      <c r="M41">
        <f>[1]data!J42*(_xlfn.XLOOKUP([1]data!$C42,[2]data!$B$2:$B$218,[2]data!I$2:I$218)/100)</f>
        <v>0.71039230399999986</v>
      </c>
      <c r="N41">
        <f>[1]data!K42*(_xlfn.XLOOKUP([1]data!$C42,[2]data!$B$2:$B$218,[2]data!J$2:J$218)/100)</f>
        <v>0.86093401799999991</v>
      </c>
      <c r="O41">
        <f>[1]data!L42*(_xlfn.XLOOKUP([1]data!$C42,[2]data!$B$2:$B$218,[2]data!K$2:K$218)/100)</f>
        <v>1.02637478</v>
      </c>
      <c r="P41">
        <f>[1]data!M42*(_xlfn.XLOOKUP([1]data!$C42,[2]data!$B$2:$B$218,[2]data!L$2:L$218)/100)</f>
        <v>1.240987208</v>
      </c>
      <c r="Q41">
        <f>[1]data!N42*(_xlfn.XLOOKUP([1]data!$C42,[2]data!$B$2:$B$218,[2]data!M$2:M$218)/100)</f>
        <v>1.559023</v>
      </c>
      <c r="R41">
        <f>[1]data!O42*(_xlfn.XLOOKUP([1]data!$C42,[2]data!$B$2:$B$218,[2]data!N$2:N$218)/100)</f>
        <v>1.9279647660000001</v>
      </c>
      <c r="S41">
        <f>[1]data!P42*(_xlfn.XLOOKUP([1]data!$C42,[2]data!$B$2:$B$218,[2]data!O$2:O$218)/100)</f>
        <v>2.3291505029999997</v>
      </c>
      <c r="T41">
        <f>[1]data!Q42*(_xlfn.XLOOKUP([1]data!$C42,[2]data!$B$2:$B$218,[2]data!P$2:P$218)/100)</f>
        <v>2.8149368670000001</v>
      </c>
      <c r="U41">
        <f>[1]data!R42*(_xlfn.XLOOKUP([1]data!$C42,[2]data!$B$2:$B$218,[2]data!Q$2:Q$218)/100)</f>
        <v>3.2934326670000007</v>
      </c>
      <c r="V41">
        <f>[1]data!S42*(_xlfn.XLOOKUP([1]data!$C42,[2]data!$B$2:$B$218,[2]data!R$2:R$218)/100)</f>
        <v>3.7450246170000008</v>
      </c>
      <c r="W41">
        <f>[1]data!T42*(_xlfn.XLOOKUP([1]data!$C42,[2]data!$B$2:$B$218,[2]data!S$2:S$218)/100)</f>
        <v>4.1251316879999997</v>
      </c>
      <c r="X41">
        <f>[1]data!U42*(_xlfn.XLOOKUP([1]data!$C42,[2]data!$B$2:$B$218,[2]data!T$2:T$218)/100)</f>
        <v>4.3571879340599997</v>
      </c>
      <c r="Y41">
        <f>[1]data!V42*(_xlfn.XLOOKUP([1]data!$C42,[2]data!$B$2:$B$218,[2]data!U$2:U$218)/100)</f>
        <v>4.5754756846300086</v>
      </c>
      <c r="Z41">
        <f>[1]data!W42*(_xlfn.XLOOKUP([1]data!$C42,[2]data!$B$2:$B$218,[2]data!V$2:V$218)/100)</f>
        <v>4.76224005016</v>
      </c>
      <c r="AA41">
        <f>[1]data!X42*(_xlfn.XLOOKUP([1]data!$C42,[2]data!$B$2:$B$218,[2]data!W$2:W$218)/100)</f>
        <v>4.9163399408400004</v>
      </c>
      <c r="AB41">
        <f>[1]data!Y42*(_xlfn.XLOOKUP([1]data!$C42,[2]data!$B$2:$B$218,[2]data!X$2:X$218)/100)</f>
        <v>5.0365014254100009</v>
      </c>
      <c r="AC41">
        <f>[1]data!Z42*(_xlfn.XLOOKUP([1]data!$C42,[2]data!$B$2:$B$218,[2]data!Y$2:Y$218)/100)</f>
        <v>5.1206667248200093</v>
      </c>
      <c r="AD41">
        <f>[1]data!AA42*(_xlfn.XLOOKUP([1]data!$C42,[2]data!$B$2:$B$218,[2]data!Z$2:Z$218)/100)</f>
        <v>5.1733165279</v>
      </c>
      <c r="AE41">
        <f>[1]data!AB42*(_xlfn.XLOOKUP([1]data!$C42,[2]data!$B$2:$B$218,[2]data!AA$2:AA$218)/100)</f>
        <v>5.1993990937800003</v>
      </c>
      <c r="AF41">
        <f>[1]data!AC42*(_xlfn.XLOOKUP([1]data!$C42,[2]data!$B$2:$B$218,[2]data!AB$2:AB$218)/100)</f>
        <v>5.2011026185300002</v>
      </c>
      <c r="AG41">
        <f>[1]data!AD42*(_xlfn.XLOOKUP([1]data!$C42,[2]data!$B$2:$B$218,[2]data!AC$2:AC$218)/100)</f>
        <v>5.1796480858500011</v>
      </c>
      <c r="AH41">
        <f>[1]data!AE42*(_xlfn.XLOOKUP([1]data!$C42,[2]data!$B$2:$B$218,[2]data!AD$2:AD$218)/100)</f>
        <v>5.1321682088399996</v>
      </c>
      <c r="AI41">
        <f>[1]data!AF42*(_xlfn.XLOOKUP([1]data!$C42,[2]data!$B$2:$B$218,[2]data!AE$2:AE$218)/100)</f>
        <v>5.0593042849600076</v>
      </c>
      <c r="AJ41">
        <f>[1]data!AG42*(_xlfn.XLOOKUP([1]data!$C42,[2]data!$B$2:$B$218,[2]data!AF$2:AF$218)/100)</f>
        <v>4.9641273853499994</v>
      </c>
      <c r="AK41">
        <f>[1]data!AH42*(_xlfn.XLOOKUP([1]data!$C42,[2]data!$B$2:$B$218,[2]data!AG$2:AG$218)/100)</f>
        <v>4.8540998675999996</v>
      </c>
      <c r="AL41">
        <f>[1]data!AI42*(_xlfn.XLOOKUP([1]data!$C42,[2]data!$B$2:$B$218,[2]data!AH$2:AH$218)/100)</f>
        <v>4.7365557249599997</v>
      </c>
      <c r="AM41">
        <f>[1]data!AJ42*(_xlfn.XLOOKUP([1]data!$C42,[2]data!$B$2:$B$218,[2]data!AI$2:AI$218)/100)</f>
        <v>4.6161456892500095</v>
      </c>
    </row>
    <row r="42" spans="1:39" x14ac:dyDescent="0.25">
      <c r="A42" t="s">
        <v>30</v>
      </c>
      <c r="B42" t="s">
        <v>31</v>
      </c>
      <c r="C42" t="s">
        <v>74</v>
      </c>
      <c r="D42" t="s">
        <v>315</v>
      </c>
      <c r="E42" t="str">
        <f>_xlfn.XLOOKUP(D42,[6]Feuil1!$C$2:$C$248,[6]Feuil1!$B$2:$B$248)</f>
        <v>CU</v>
      </c>
      <c r="F42" t="s">
        <v>33</v>
      </c>
      <c r="G42" t="str">
        <f>_xlfn.XLOOKUP(C42,[3]Sheet1!$B$2:$B$172,[3]Sheet1!$D$2:$D$172)</f>
        <v>Central America</v>
      </c>
      <c r="H42" t="s">
        <v>34</v>
      </c>
      <c r="I42">
        <f>[1]data!F43*(_xlfn.XLOOKUP([1]data!$C43,[2]data!$B$2:$B$218,[2]data!E$2:E$218)/100)</f>
        <v>3.3142351949999997</v>
      </c>
      <c r="J42">
        <f>[1]data!G43*(_xlfn.XLOOKUP([1]data!$C43,[2]data!$B$2:$B$218,[2]data!F$2:F$218)/100)</f>
        <v>3.7330868749999997</v>
      </c>
      <c r="K42">
        <f>[1]data!H43*(_xlfn.XLOOKUP([1]data!$C43,[2]data!$B$2:$B$218,[2]data!G$2:G$218)/100)</f>
        <v>4.2004620479999994</v>
      </c>
      <c r="L42">
        <f>[1]data!I43*(_xlfn.XLOOKUP([1]data!$C43,[2]data!$B$2:$B$218,[2]data!H$2:H$218)/100)</f>
        <v>4.735447754</v>
      </c>
      <c r="M42">
        <f>[1]data!J43*(_xlfn.XLOOKUP([1]data!$C43,[2]data!$B$2:$B$218,[2]data!I$2:I$218)/100)</f>
        <v>5.3000600580000059</v>
      </c>
      <c r="N42">
        <f>[1]data!K43*(_xlfn.XLOOKUP([1]data!$C43,[2]data!$B$2:$B$218,[2]data!J$2:J$218)/100)</f>
        <v>6.0780123780000004</v>
      </c>
      <c r="O42">
        <f>[1]data!L43*(_xlfn.XLOOKUP([1]data!$C43,[2]data!$B$2:$B$218,[2]data!K$2:K$218)/100)</f>
        <v>6.6697943579999999</v>
      </c>
      <c r="P42">
        <f>[1]data!M43*(_xlfn.XLOOKUP([1]data!$C43,[2]data!$B$2:$B$218,[2]data!L$2:L$218)/100)</f>
        <v>7.1655942889999995</v>
      </c>
      <c r="Q42">
        <f>[1]data!N43*(_xlfn.XLOOKUP([1]data!$C43,[2]data!$B$2:$B$218,[2]data!M$2:M$218)/100)</f>
        <v>7.7641316240000009</v>
      </c>
      <c r="R42">
        <f>[1]data!O43*(_xlfn.XLOOKUP([1]data!$C43,[2]data!$B$2:$B$218,[2]data!N$2:N$218)/100)</f>
        <v>8.1046001630000006</v>
      </c>
      <c r="S42">
        <f>[1]data!P43*(_xlfn.XLOOKUP([1]data!$C43,[2]data!$B$2:$B$218,[2]data!O$2:O$218)/100)</f>
        <v>8.3495155020000009</v>
      </c>
      <c r="T42">
        <f>[1]data!Q43*(_xlfn.XLOOKUP([1]data!$C43,[2]data!$B$2:$B$218,[2]data!P$2:P$218)/100)</f>
        <v>8.5515480109999995</v>
      </c>
      <c r="U42">
        <f>[1]data!R43*(_xlfn.XLOOKUP([1]data!$C43,[2]data!$B$2:$B$218,[2]data!Q$2:Q$218)/100)</f>
        <v>8.6455685379999991</v>
      </c>
      <c r="V42">
        <f>[1]data!S43*(_xlfn.XLOOKUP([1]data!$C43,[2]data!$B$2:$B$218,[2]data!R$2:R$218)/100)</f>
        <v>8.7175716360000006</v>
      </c>
      <c r="W42">
        <f>[1]data!T43*(_xlfn.XLOOKUP([1]data!$C43,[2]data!$B$2:$B$218,[2]data!S$2:S$218)/100)</f>
        <v>8.7307224720000001</v>
      </c>
      <c r="X42">
        <f>[1]data!U43*(_xlfn.XLOOKUP([1]data!$C43,[2]data!$B$2:$B$218,[2]data!T$2:T$218)/100)</f>
        <v>8.8021217624400006</v>
      </c>
      <c r="Y42">
        <f>[1]data!V43*(_xlfn.XLOOKUP([1]data!$C43,[2]data!$B$2:$B$218,[2]data!U$2:U$218)/100)</f>
        <v>8.8915127263200002</v>
      </c>
      <c r="Z42">
        <f>[1]data!W43*(_xlfn.XLOOKUP([1]data!$C43,[2]data!$B$2:$B$218,[2]data!V$2:V$218)/100)</f>
        <v>8.9404368115399997</v>
      </c>
      <c r="AA42">
        <f>[1]data!X43*(_xlfn.XLOOKUP([1]data!$C43,[2]data!$B$2:$B$218,[2]data!W$2:W$218)/100)</f>
        <v>8.9498405376299992</v>
      </c>
      <c r="AB42">
        <f>[1]data!Y43*(_xlfn.XLOOKUP([1]data!$C43,[2]data!$B$2:$B$218,[2]data!X$2:X$218)/100)</f>
        <v>8.9149568547599998</v>
      </c>
      <c r="AC42">
        <f>[1]data!Z43*(_xlfn.XLOOKUP([1]data!$C43,[2]data!$B$2:$B$218,[2]data!Y$2:Y$218)/100)</f>
        <v>8.8401313948500011</v>
      </c>
      <c r="AD42">
        <f>[1]data!AA43*(_xlfn.XLOOKUP([1]data!$C43,[2]data!$B$2:$B$218,[2]data!Z$2:Z$218)/100)</f>
        <v>8.7219339604500004</v>
      </c>
      <c r="AE42">
        <f>[1]data!AB43*(_xlfn.XLOOKUP([1]data!$C43,[2]data!$B$2:$B$218,[2]data!AA$2:AA$218)/100)</f>
        <v>8.5736213988800021</v>
      </c>
      <c r="AF42">
        <f>[1]data!AC43*(_xlfn.XLOOKUP([1]data!$C43,[2]data!$B$2:$B$218,[2]data!AB$2:AB$218)/100)</f>
        <v>8.412230601900001</v>
      </c>
      <c r="AG42">
        <f>[1]data!AD43*(_xlfn.XLOOKUP([1]data!$C43,[2]data!$B$2:$B$218,[2]data!AC$2:AC$218)/100)</f>
        <v>8.2603439159000018</v>
      </c>
      <c r="AH42">
        <f>[1]data!AE43*(_xlfn.XLOOKUP([1]data!$C43,[2]data!$B$2:$B$218,[2]data!AD$2:AD$218)/100)</f>
        <v>8.1218437544200093</v>
      </c>
      <c r="AI42">
        <f>[1]data!AF43*(_xlfn.XLOOKUP([1]data!$C43,[2]data!$B$2:$B$218,[2]data!AE$2:AE$218)/100)</f>
        <v>7.9945015612000017</v>
      </c>
      <c r="AJ42">
        <f>[1]data!AG43*(_xlfn.XLOOKUP([1]data!$C43,[2]data!$B$2:$B$218,[2]data!AF$2:AF$218)/100)</f>
        <v>7.860346687259999</v>
      </c>
      <c r="AK42">
        <f>[1]data!AH43*(_xlfn.XLOOKUP([1]data!$C43,[2]data!$B$2:$B$218,[2]data!AG$2:AG$218)/100)</f>
        <v>7.7205252728500007</v>
      </c>
      <c r="AL42">
        <f>[1]data!AI43*(_xlfn.XLOOKUP([1]data!$C43,[2]data!$B$2:$B$218,[2]data!AH$2:AH$218)/100)</f>
        <v>7.5766885324999995</v>
      </c>
      <c r="AM42">
        <f>[1]data!AJ43*(_xlfn.XLOOKUP([1]data!$C43,[2]data!$B$2:$B$218,[2]data!AI$2:AI$218)/100)</f>
        <v>7.4412289805699992</v>
      </c>
    </row>
    <row r="43" spans="1:39" x14ac:dyDescent="0.25">
      <c r="A43" t="s">
        <v>30</v>
      </c>
      <c r="B43" t="s">
        <v>31</v>
      </c>
      <c r="C43" t="s">
        <v>247</v>
      </c>
      <c r="D43" t="s">
        <v>316</v>
      </c>
      <c r="E43" t="e">
        <f>_xlfn.XLOOKUP(D43,[6]Feuil1!$C$2:$C$248,[6]Feuil1!$B$2:$B$248)</f>
        <v>#N/A</v>
      </c>
      <c r="F43" t="s">
        <v>33</v>
      </c>
      <c r="G43" t="s">
        <v>248</v>
      </c>
      <c r="H43" t="s">
        <v>34</v>
      </c>
      <c r="I43">
        <f>[1]data!F44*(_xlfn.XLOOKUP([1]data!$C44,[2]data!$B$2:$B$218,[2]data!E$2:E$218)/100)</f>
        <v>6.9153405999999987E-2</v>
      </c>
      <c r="J43">
        <f>[1]data!G44*(_xlfn.XLOOKUP([1]data!$C44,[2]data!$B$2:$B$218,[2]data!F$2:F$218)/100)</f>
        <v>8.2235332000000008E-2</v>
      </c>
      <c r="K43">
        <f>[1]data!H44*(_xlfn.XLOOKUP([1]data!$C44,[2]data!$B$2:$B$218,[2]data!G$2:G$218)/100)</f>
        <v>9.7431210000000018E-2</v>
      </c>
      <c r="L43">
        <f>[1]data!I44*(_xlfn.XLOOKUP([1]data!$C44,[2]data!$B$2:$B$218,[2]data!H$2:H$218)/100)</f>
        <v>0.10729132199999998</v>
      </c>
      <c r="M43">
        <f>[1]data!J44*(_xlfn.XLOOKUP([1]data!$C44,[2]data!$B$2:$B$218,[2]data!I$2:I$218)/100)</f>
        <v>0.117247984</v>
      </c>
      <c r="N43">
        <f>[1]data!K44*(_xlfn.XLOOKUP([1]data!$C44,[2]data!$B$2:$B$218,[2]data!J$2:J$218)/100)</f>
        <v>0.124262682</v>
      </c>
      <c r="O43">
        <f>[1]data!L44*(_xlfn.XLOOKUP([1]data!$C44,[2]data!$B$2:$B$218,[2]data!K$2:K$218)/100)</f>
        <v>0.12820104999999998</v>
      </c>
      <c r="P43">
        <f>[1]data!M44*(_xlfn.XLOOKUP([1]data!$C44,[2]data!$B$2:$B$218,[2]data!L$2:L$218)/100)</f>
        <v>0.13054859299999999</v>
      </c>
      <c r="Q43">
        <f>[1]data!N44*(_xlfn.XLOOKUP([1]data!$C44,[2]data!$B$2:$B$218,[2]data!M$2:M$218)/100)</f>
        <v>0.13181352800000001</v>
      </c>
      <c r="R43">
        <f>[1]data!O44*(_xlfn.XLOOKUP([1]data!$C44,[2]data!$B$2:$B$218,[2]data!N$2:N$218)/100)</f>
        <v>0.132761137</v>
      </c>
      <c r="S43">
        <f>[1]data!P44*(_xlfn.XLOOKUP([1]data!$C44,[2]data!$B$2:$B$218,[2]data!O$2:O$218)/100)</f>
        <v>0.12913575999999999</v>
      </c>
      <c r="T43">
        <f>[1]data!Q44*(_xlfn.XLOOKUP([1]data!$C44,[2]data!$B$2:$B$218,[2]data!P$2:P$218)/100)</f>
        <v>0.13220330499999999</v>
      </c>
      <c r="U43">
        <f>[1]data!R44*(_xlfn.XLOOKUP([1]data!$C44,[2]data!$B$2:$B$218,[2]data!Q$2:Q$218)/100)</f>
        <v>0.14222449700000001</v>
      </c>
      <c r="V43">
        <f>[1]data!S44*(_xlfn.XLOOKUP([1]data!$C44,[2]data!$B$2:$B$218,[2]data!R$2:R$218)/100)</f>
        <v>0.15097782600000001</v>
      </c>
      <c r="W43">
        <f>[1]data!T44*(_xlfn.XLOOKUP([1]data!$C44,[2]data!$B$2:$B$218,[2]data!S$2:S$218)/100)</f>
        <v>0.16804349099999996</v>
      </c>
      <c r="X43">
        <f>[1]data!U44*(_xlfn.XLOOKUP([1]data!$C44,[2]data!$B$2:$B$218,[2]data!T$2:T$218)/100)</f>
        <v>0.17554899833999998</v>
      </c>
      <c r="Y43">
        <f>[1]data!V44*(_xlfn.XLOOKUP([1]data!$C44,[2]data!$B$2:$B$218,[2]data!U$2:U$218)/100)</f>
        <v>0.18300221952000001</v>
      </c>
      <c r="Z43">
        <f>[1]data!W44*(_xlfn.XLOOKUP([1]data!$C44,[2]data!$B$2:$B$218,[2]data!V$2:V$218)/100)</f>
        <v>0.19000504530000004</v>
      </c>
      <c r="AA43">
        <f>[1]data!X44*(_xlfn.XLOOKUP([1]data!$C44,[2]data!$B$2:$B$218,[2]data!W$2:W$218)/100)</f>
        <v>0.19651593872000001</v>
      </c>
      <c r="AB43">
        <f>[1]data!Y44*(_xlfn.XLOOKUP([1]data!$C44,[2]data!$B$2:$B$218,[2]data!X$2:X$218)/100)</f>
        <v>0.20263054110000003</v>
      </c>
      <c r="AC43">
        <f>[1]data!Z44*(_xlfn.XLOOKUP([1]data!$C44,[2]data!$B$2:$B$218,[2]data!Y$2:Y$218)/100)</f>
        <v>0.20847017520000002</v>
      </c>
      <c r="AD43">
        <f>[1]data!AA44*(_xlfn.XLOOKUP([1]data!$C44,[2]data!$B$2:$B$218,[2]data!Z$2:Z$218)/100)</f>
        <v>0.21424409666999999</v>
      </c>
      <c r="AE43">
        <f>[1]data!AB44*(_xlfn.XLOOKUP([1]data!$C44,[2]data!$B$2:$B$218,[2]data!AA$2:AA$218)/100)</f>
        <v>0.22008215712000001</v>
      </c>
      <c r="AF43">
        <f>[1]data!AC44*(_xlfn.XLOOKUP([1]data!$C44,[2]data!$B$2:$B$218,[2]data!AB$2:AB$218)/100)</f>
        <v>0.22509218916000001</v>
      </c>
      <c r="AG43">
        <f>[1]data!AD44*(_xlfn.XLOOKUP([1]data!$C44,[2]data!$B$2:$B$218,[2]data!AC$2:AC$218)/100)</f>
        <v>0.22901658497999997</v>
      </c>
      <c r="AH43">
        <f>[1]data!AE44*(_xlfn.XLOOKUP([1]data!$C44,[2]data!$B$2:$B$218,[2]data!AD$2:AD$218)/100)</f>
        <v>0.23154746405999999</v>
      </c>
      <c r="AI43">
        <f>[1]data!AF44*(_xlfn.XLOOKUP([1]data!$C44,[2]data!$B$2:$B$218,[2]data!AE$2:AE$218)/100)</f>
        <v>0.23250104274</v>
      </c>
      <c r="AJ43">
        <f>[1]data!AG44*(_xlfn.XLOOKUP([1]data!$C44,[2]data!$B$2:$B$218,[2]data!AF$2:AF$218)/100)</f>
        <v>0.23184302681999999</v>
      </c>
      <c r="AK43">
        <f>[1]data!AH44*(_xlfn.XLOOKUP([1]data!$C44,[2]data!$B$2:$B$218,[2]data!AG$2:AG$218)/100)</f>
        <v>0.22972217606000001</v>
      </c>
      <c r="AL43">
        <f>[1]data!AI44*(_xlfn.XLOOKUP([1]data!$C44,[2]data!$B$2:$B$218,[2]data!AH$2:AH$218)/100)</f>
        <v>0.22626086339999998</v>
      </c>
      <c r="AM43">
        <f>[1]data!AJ44*(_xlfn.XLOOKUP([1]data!$C44,[2]data!$B$2:$B$218,[2]data!AI$2:AI$218)/100)</f>
        <v>0.22172259485999907</v>
      </c>
    </row>
    <row r="44" spans="1:39" x14ac:dyDescent="0.25">
      <c r="A44" t="s">
        <v>30</v>
      </c>
      <c r="B44" t="s">
        <v>31</v>
      </c>
      <c r="C44" t="s">
        <v>75</v>
      </c>
      <c r="D44" t="s">
        <v>317</v>
      </c>
      <c r="E44" t="str">
        <f>_xlfn.XLOOKUP(D44,[6]Feuil1!$C$2:$C$248,[6]Feuil1!$B$2:$B$248)</f>
        <v>CY</v>
      </c>
      <c r="F44" t="s">
        <v>33</v>
      </c>
      <c r="G44" t="str">
        <f>_xlfn.XLOOKUP(C44,[3]Sheet1!$B$2:$B$172,[3]Sheet1!$D$2:$D$172)</f>
        <v>Central Europe</v>
      </c>
      <c r="H44" t="s">
        <v>34</v>
      </c>
      <c r="I44">
        <f>[1]data!F45*(_xlfn.XLOOKUP([1]data!$C45,[2]data!$B$2:$B$218,[2]data!E$2:E$218)/100)</f>
        <v>0.13927217999999997</v>
      </c>
      <c r="J44">
        <f>[1]data!G45*(_xlfn.XLOOKUP([1]data!$C45,[2]data!$B$2:$B$218,[2]data!F$2:F$218)/100)</f>
        <v>0.17108405599999998</v>
      </c>
      <c r="K44">
        <f>[1]data!H45*(_xlfn.XLOOKUP([1]data!$C45,[2]data!$B$2:$B$218,[2]data!G$2:G$218)/100)</f>
        <v>0.20642695600000002</v>
      </c>
      <c r="L44">
        <f>[1]data!I45*(_xlfn.XLOOKUP([1]data!$C45,[2]data!$B$2:$B$218,[2]data!H$2:H$218)/100)</f>
        <v>0.234845578</v>
      </c>
      <c r="M44">
        <f>[1]data!J45*(_xlfn.XLOOKUP([1]data!$C45,[2]data!$B$2:$B$218,[2]data!I$2:I$218)/100)</f>
        <v>0.26067364799999998</v>
      </c>
      <c r="N44">
        <f>[1]data!K45*(_xlfn.XLOOKUP([1]data!$C45,[2]data!$B$2:$B$218,[2]data!J$2:J$218)/100)</f>
        <v>0.30502682099999995</v>
      </c>
      <c r="O44">
        <f>[1]data!L45*(_xlfn.XLOOKUP([1]data!$C45,[2]data!$B$2:$B$218,[2]data!K$2:K$218)/100)</f>
        <v>0.39581428600000002</v>
      </c>
      <c r="P44">
        <f>[1]data!M45*(_xlfn.XLOOKUP([1]data!$C45,[2]data!$B$2:$B$218,[2]data!L$2:L$218)/100)</f>
        <v>0.46954148700000004</v>
      </c>
      <c r="Q44">
        <f>[1]data!N45*(_xlfn.XLOOKUP([1]data!$C45,[2]data!$B$2:$B$218,[2]data!M$2:M$218)/100)</f>
        <v>0.52312415999999995</v>
      </c>
      <c r="R44">
        <f>[1]data!O45*(_xlfn.XLOOKUP([1]data!$C45,[2]data!$B$2:$B$218,[2]data!N$2:N$218)/100)</f>
        <v>0.58040584000000006</v>
      </c>
      <c r="S44">
        <f>[1]data!P45*(_xlfn.XLOOKUP([1]data!$C45,[2]data!$B$2:$B$218,[2]data!O$2:O$218)/100)</f>
        <v>0.64484068599999989</v>
      </c>
      <c r="T44">
        <f>[1]data!Q45*(_xlfn.XLOOKUP([1]data!$C45,[2]data!$B$2:$B$218,[2]data!P$2:P$218)/100)</f>
        <v>0.70203657600000002</v>
      </c>
      <c r="U44">
        <f>[1]data!R45*(_xlfn.XLOOKUP([1]data!$C45,[2]data!$B$2:$B$218,[2]data!Q$2:Q$218)/100)</f>
        <v>0.75731536399999999</v>
      </c>
      <c r="V44">
        <f>[1]data!S45*(_xlfn.XLOOKUP([1]data!$C45,[2]data!$B$2:$B$218,[2]data!R$2:R$218)/100)</f>
        <v>0.79080884400000018</v>
      </c>
      <c r="W44">
        <f>[1]data!T45*(_xlfn.XLOOKUP([1]data!$C45,[2]data!$B$2:$B$218,[2]data!S$2:S$218)/100)</f>
        <v>0.82416303599999985</v>
      </c>
      <c r="X44">
        <f>[1]data!U45*(_xlfn.XLOOKUP([1]data!$C45,[2]data!$B$2:$B$218,[2]data!T$2:T$218)/100)</f>
        <v>0.88455722687999994</v>
      </c>
      <c r="Y44">
        <f>[1]data!V45*(_xlfn.XLOOKUP([1]data!$C45,[2]data!$B$2:$B$218,[2]data!U$2:U$218)/100)</f>
        <v>0.93142591823999998</v>
      </c>
      <c r="Z44">
        <f>[1]data!W45*(_xlfn.XLOOKUP([1]data!$C45,[2]data!$B$2:$B$218,[2]data!V$2:V$218)/100)</f>
        <v>0.97485603659999998</v>
      </c>
      <c r="AA44">
        <f>[1]data!X45*(_xlfn.XLOOKUP([1]data!$C45,[2]data!$B$2:$B$218,[2]data!W$2:W$218)/100)</f>
        <v>1.0169403205500001</v>
      </c>
      <c r="AB44">
        <f>[1]data!Y45*(_xlfn.XLOOKUP([1]data!$C45,[2]data!$B$2:$B$218,[2]data!X$2:X$218)/100)</f>
        <v>1.0589146984</v>
      </c>
      <c r="AC44">
        <f>[1]data!Z45*(_xlfn.XLOOKUP([1]data!$C45,[2]data!$B$2:$B$218,[2]data!Y$2:Y$218)/100)</f>
        <v>1.10056372992</v>
      </c>
      <c r="AD44">
        <f>[1]data!AA45*(_xlfn.XLOOKUP([1]data!$C45,[2]data!$B$2:$B$218,[2]data!Z$2:Z$218)/100)</f>
        <v>1.13770965402</v>
      </c>
      <c r="AE44">
        <f>[1]data!AB45*(_xlfn.XLOOKUP([1]data!$C45,[2]data!$B$2:$B$218,[2]data!AA$2:AA$218)/100)</f>
        <v>1.1693393682000002</v>
      </c>
      <c r="AF44">
        <f>[1]data!AC45*(_xlfn.XLOOKUP([1]data!$C45,[2]data!$B$2:$B$218,[2]data!AB$2:AB$218)/100)</f>
        <v>1.1929752067199999</v>
      </c>
      <c r="AG44">
        <f>[1]data!AD45*(_xlfn.XLOOKUP([1]data!$C45,[2]data!$B$2:$B$218,[2]data!AC$2:AC$218)/100)</f>
        <v>1.2088969152000002</v>
      </c>
      <c r="AH44">
        <f>[1]data!AE45*(_xlfn.XLOOKUP([1]data!$C45,[2]data!$B$2:$B$218,[2]data!AD$2:AD$218)/100)</f>
        <v>1.2173056742399999</v>
      </c>
      <c r="AI44">
        <f>[1]data!AF45*(_xlfn.XLOOKUP([1]data!$C45,[2]data!$B$2:$B$218,[2]data!AE$2:AE$218)/100)</f>
        <v>1.21795808148</v>
      </c>
      <c r="AJ44">
        <f>[1]data!AG45*(_xlfn.XLOOKUP([1]data!$C45,[2]data!$B$2:$B$218,[2]data!AF$2:AF$218)/100)</f>
        <v>1.2119175900000001</v>
      </c>
      <c r="AK44">
        <f>[1]data!AH45*(_xlfn.XLOOKUP([1]data!$C45,[2]data!$B$2:$B$218,[2]data!AG$2:AG$218)/100)</f>
        <v>1.2016118697</v>
      </c>
      <c r="AL44">
        <f>[1]data!AI45*(_xlfn.XLOOKUP([1]data!$C45,[2]data!$B$2:$B$218,[2]data!AH$2:AH$218)/100)</f>
        <v>1.18964369496</v>
      </c>
      <c r="AM44">
        <f>[1]data!AJ45*(_xlfn.XLOOKUP([1]data!$C45,[2]data!$B$2:$B$218,[2]data!AI$2:AI$218)/100)</f>
        <v>1.17628125024</v>
      </c>
    </row>
    <row r="45" spans="1:39" x14ac:dyDescent="0.25">
      <c r="A45" t="s">
        <v>30</v>
      </c>
      <c r="B45" t="s">
        <v>31</v>
      </c>
      <c r="C45" t="s">
        <v>76</v>
      </c>
      <c r="D45" t="s">
        <v>318</v>
      </c>
      <c r="E45" t="str">
        <f>_xlfn.XLOOKUP(D45,[6]Feuil1!$C$2:$C$248,[6]Feuil1!$B$2:$B$248)</f>
        <v>CZ</v>
      </c>
      <c r="F45" t="s">
        <v>33</v>
      </c>
      <c r="G45" t="s">
        <v>237</v>
      </c>
      <c r="H45" t="s">
        <v>34</v>
      </c>
      <c r="I45">
        <f>[1]data!F46*(_xlfn.XLOOKUP([1]data!$C46,[2]data!$B$2:$B$218,[2]data!E$2:E$218)/100)</f>
        <v>4.8109302099999995</v>
      </c>
      <c r="J45">
        <f>[1]data!G46*(_xlfn.XLOOKUP([1]data!$C46,[2]data!$B$2:$B$218,[2]data!F$2:F$218)/100)</f>
        <v>5.2654343909999994</v>
      </c>
      <c r="K45">
        <f>[1]data!H46*(_xlfn.XLOOKUP([1]data!$C46,[2]data!$B$2:$B$218,[2]data!G$2:G$218)/100)</f>
        <v>5.6655168149999993</v>
      </c>
      <c r="L45">
        <f>[1]data!I46*(_xlfn.XLOOKUP([1]data!$C46,[2]data!$B$2:$B$218,[2]data!H$2:H$218)/100)</f>
        <v>6.0055748199999996</v>
      </c>
      <c r="M45">
        <f>[1]data!J46*(_xlfn.XLOOKUP([1]data!$C46,[2]data!$B$2:$B$218,[2]data!I$2:I$218)/100)</f>
        <v>6.3040380760000012</v>
      </c>
      <c r="N45">
        <f>[1]data!K46*(_xlfn.XLOOKUP([1]data!$C46,[2]data!$B$2:$B$218,[2]data!J$2:J$218)/100)</f>
        <v>6.9852502950000002</v>
      </c>
      <c r="O45">
        <f>[1]data!L46*(_xlfn.XLOOKUP([1]data!$C46,[2]data!$B$2:$B$218,[2]data!K$2:K$218)/100)</f>
        <v>7.7168713440000012</v>
      </c>
      <c r="P45">
        <f>[1]data!M46*(_xlfn.XLOOKUP([1]data!$C46,[2]data!$B$2:$B$218,[2]data!L$2:L$218)/100)</f>
        <v>7.7670557900000006</v>
      </c>
      <c r="Q45">
        <f>[1]data!N46*(_xlfn.XLOOKUP([1]data!$C46,[2]data!$B$2:$B$218,[2]data!M$2:M$218)/100)</f>
        <v>7.7478612639999991</v>
      </c>
      <c r="R45">
        <f>[1]data!O46*(_xlfn.XLOOKUP([1]data!$C46,[2]data!$B$2:$B$218,[2]data!N$2:N$218)/100)</f>
        <v>7.6982261479999998</v>
      </c>
      <c r="S45">
        <f>[1]data!P46*(_xlfn.XLOOKUP([1]data!$C46,[2]data!$B$2:$B$218,[2]data!O$2:O$218)/100)</f>
        <v>7.5786966799999993</v>
      </c>
      <c r="T45">
        <f>[1]data!Q46*(_xlfn.XLOOKUP([1]data!$C46,[2]data!$B$2:$B$218,[2]data!P$2:P$218)/100)</f>
        <v>7.5584616639999993</v>
      </c>
      <c r="U45">
        <f>[1]data!R46*(_xlfn.XLOOKUP([1]data!$C46,[2]data!$B$2:$B$218,[2]data!Q$2:Q$218)/100)</f>
        <v>7.6543224470000011</v>
      </c>
      <c r="V45">
        <f>[1]data!S46*(_xlfn.XLOOKUP([1]data!$C46,[2]data!$B$2:$B$218,[2]data!R$2:R$218)/100)</f>
        <v>7.7334267149999993</v>
      </c>
      <c r="W45">
        <f>[1]data!T46*(_xlfn.XLOOKUP([1]data!$C46,[2]data!$B$2:$B$218,[2]data!S$2:S$218)/100)</f>
        <v>7.8085898279999997</v>
      </c>
      <c r="X45">
        <f>[1]data!U46*(_xlfn.XLOOKUP([1]data!$C46,[2]data!$B$2:$B$218,[2]data!T$2:T$218)/100)</f>
        <v>8.19957567312</v>
      </c>
      <c r="Y45">
        <f>[1]data!V46*(_xlfn.XLOOKUP([1]data!$C46,[2]data!$B$2:$B$218,[2]data!U$2:U$218)/100)</f>
        <v>8.243503777039999</v>
      </c>
      <c r="Z45">
        <f>[1]data!W46*(_xlfn.XLOOKUP([1]data!$C46,[2]data!$B$2:$B$218,[2]data!V$2:V$218)/100)</f>
        <v>8.2614159445999995</v>
      </c>
      <c r="AA45">
        <f>[1]data!X46*(_xlfn.XLOOKUP([1]data!$C46,[2]data!$B$2:$B$218,[2]data!W$2:W$218)/100)</f>
        <v>8.2824121808399997</v>
      </c>
      <c r="AB45">
        <f>[1]data!Y46*(_xlfn.XLOOKUP([1]data!$C46,[2]data!$B$2:$B$218,[2]data!X$2:X$218)/100)</f>
        <v>8.322366870159998</v>
      </c>
      <c r="AC45">
        <f>[1]data!Z46*(_xlfn.XLOOKUP([1]data!$C46,[2]data!$B$2:$B$218,[2]data!Y$2:Y$218)/100)</f>
        <v>8.3759156121200018</v>
      </c>
      <c r="AD45">
        <f>[1]data!AA46*(_xlfn.XLOOKUP([1]data!$C46,[2]data!$B$2:$B$218,[2]data!Z$2:Z$218)/100)</f>
        <v>8.424326945309998</v>
      </c>
      <c r="AE45">
        <f>[1]data!AB46*(_xlfn.XLOOKUP([1]data!$C46,[2]data!$B$2:$B$218,[2]data!AA$2:AA$218)/100)</f>
        <v>8.4464915124999997</v>
      </c>
      <c r="AF45">
        <f>[1]data!AC46*(_xlfn.XLOOKUP([1]data!$C46,[2]data!$B$2:$B$218,[2]data!AB$2:AB$218)/100)</f>
        <v>8.4255246799499997</v>
      </c>
      <c r="AG45">
        <f>[1]data!AD46*(_xlfn.XLOOKUP([1]data!$C46,[2]data!$B$2:$B$218,[2]data!AC$2:AC$218)/100)</f>
        <v>8.3686977185000071</v>
      </c>
      <c r="AH45">
        <f>[1]data!AE46*(_xlfn.XLOOKUP([1]data!$C46,[2]data!$B$2:$B$218,[2]data!AD$2:AD$218)/100)</f>
        <v>8.3014536397500098</v>
      </c>
      <c r="AI45">
        <f>[1]data!AF46*(_xlfn.XLOOKUP([1]data!$C46,[2]data!$B$2:$B$218,[2]data!AE$2:AE$218)/100)</f>
        <v>8.2438257007400004</v>
      </c>
      <c r="AJ45">
        <f>[1]data!AG46*(_xlfn.XLOOKUP([1]data!$C46,[2]data!$B$2:$B$218,[2]data!AF$2:AF$218)/100)</f>
        <v>8.2020089230199993</v>
      </c>
      <c r="AK45">
        <f>[1]data!AH46*(_xlfn.XLOOKUP([1]data!$C46,[2]data!$B$2:$B$218,[2]data!AG$2:AG$218)/100)</f>
        <v>8.1687568266199992</v>
      </c>
      <c r="AL45">
        <f>[1]data!AI46*(_xlfn.XLOOKUP([1]data!$C46,[2]data!$B$2:$B$218,[2]data!AH$2:AH$218)/100)</f>
        <v>8.1369200703499995</v>
      </c>
      <c r="AM45">
        <f>[1]data!AJ46*(_xlfn.XLOOKUP([1]data!$C46,[2]data!$B$2:$B$218,[2]data!AI$2:AI$218)/100)</f>
        <v>8.0956935060300097</v>
      </c>
    </row>
    <row r="46" spans="1:39" x14ac:dyDescent="0.25">
      <c r="A46" t="s">
        <v>30</v>
      </c>
      <c r="B46" t="s">
        <v>31</v>
      </c>
      <c r="C46" t="s">
        <v>77</v>
      </c>
      <c r="D46" t="s">
        <v>319</v>
      </c>
      <c r="E46" t="str">
        <f>_xlfn.XLOOKUP(D46,[6]Feuil1!$C$2:$C$248,[6]Feuil1!$B$2:$B$248)</f>
        <v>DE</v>
      </c>
      <c r="F46" t="s">
        <v>33</v>
      </c>
      <c r="G46" t="str">
        <f>_xlfn.XLOOKUP(C46,[3]Sheet1!$B$2:$B$172,[3]Sheet1!$D$2:$D$172)</f>
        <v>Western Europe</v>
      </c>
      <c r="H46" t="s">
        <v>34</v>
      </c>
      <c r="I46">
        <f>[1]data!F47*(_xlfn.XLOOKUP([1]data!$C47,[2]data!$B$2:$B$218,[2]data!E$2:E$218)/100)</f>
        <v>48.261881878000004</v>
      </c>
      <c r="J46">
        <f>[1]data!G47*(_xlfn.XLOOKUP([1]data!$C47,[2]data!$B$2:$B$218,[2]data!F$2:F$218)/100)</f>
        <v>49.563354956000005</v>
      </c>
      <c r="K46">
        <f>[1]data!H47*(_xlfn.XLOOKUP([1]data!$C47,[2]data!$B$2:$B$218,[2]data!G$2:G$218)/100)</f>
        <v>51.991615032000013</v>
      </c>
      <c r="L46">
        <f>[1]data!I47*(_xlfn.XLOOKUP([1]data!$C47,[2]data!$B$2:$B$218,[2]data!H$2:H$218)/100)</f>
        <v>54.535821120000001</v>
      </c>
      <c r="M46">
        <f>[1]data!J47*(_xlfn.XLOOKUP([1]data!$C47,[2]data!$B$2:$B$218,[2]data!I$2:I$218)/100)</f>
        <v>56.519178050999997</v>
      </c>
      <c r="N46">
        <f>[1]data!K47*(_xlfn.XLOOKUP([1]data!$C47,[2]data!$B$2:$B$218,[2]data!J$2:J$218)/100)</f>
        <v>57.053784479999997</v>
      </c>
      <c r="O46">
        <f>[1]data!L47*(_xlfn.XLOOKUP([1]data!$C47,[2]data!$B$2:$B$218,[2]data!K$2:K$218)/100)</f>
        <v>56.669712008000005</v>
      </c>
      <c r="P46">
        <f>[1]data!M47*(_xlfn.XLOOKUP([1]data!$C47,[2]data!$B$2:$B$218,[2]data!L$2:L$218)/100)</f>
        <v>56.405959829999993</v>
      </c>
      <c r="Q46">
        <f>[1]data!N47*(_xlfn.XLOOKUP([1]data!$C47,[2]data!$B$2:$B$218,[2]data!M$2:M$218)/100)</f>
        <v>57.853692357999989</v>
      </c>
      <c r="R46">
        <f>[1]data!O47*(_xlfn.XLOOKUP([1]data!$C47,[2]data!$B$2:$B$218,[2]data!N$2:N$218)/100)</f>
        <v>59.874175365000013</v>
      </c>
      <c r="S46">
        <f>[1]data!P47*(_xlfn.XLOOKUP([1]data!$C47,[2]data!$B$2:$B$218,[2]data!O$2:O$218)/100)</f>
        <v>61.171198500000003</v>
      </c>
      <c r="T46">
        <f>[1]data!Q47*(_xlfn.XLOOKUP([1]data!$C47,[2]data!$B$2:$B$218,[2]data!P$2:P$218)/100)</f>
        <v>61.741791239999998</v>
      </c>
      <c r="U46">
        <f>[1]data!R47*(_xlfn.XLOOKUP([1]data!$C47,[2]data!$B$2:$B$218,[2]data!Q$2:Q$218)/100)</f>
        <v>62.588241869999997</v>
      </c>
      <c r="V46">
        <f>[1]data!S47*(_xlfn.XLOOKUP([1]data!$C47,[2]data!$B$2:$B$218,[2]data!R$2:R$218)/100)</f>
        <v>63.278980252000004</v>
      </c>
      <c r="W46">
        <f>[1]data!T47*(_xlfn.XLOOKUP([1]data!$C47,[2]data!$B$2:$B$218,[2]data!S$2:S$218)/100)</f>
        <v>64.532430300000001</v>
      </c>
      <c r="X46">
        <f>[1]data!U47*(_xlfn.XLOOKUP([1]data!$C47,[2]data!$B$2:$B$218,[2]data!T$2:T$218)/100)</f>
        <v>66.12680603199</v>
      </c>
      <c r="Y46">
        <f>[1]data!V47*(_xlfn.XLOOKUP([1]data!$C47,[2]data!$B$2:$B$218,[2]data!U$2:U$218)/100)</f>
        <v>66.88428590829993</v>
      </c>
      <c r="Z46">
        <f>[1]data!W47*(_xlfn.XLOOKUP([1]data!$C47,[2]data!$B$2:$B$218,[2]data!V$2:V$218)/100)</f>
        <v>67.522587707600081</v>
      </c>
      <c r="AA46">
        <f>[1]data!X47*(_xlfn.XLOOKUP([1]data!$C47,[2]data!$B$2:$B$218,[2]data!W$2:W$218)/100)</f>
        <v>68.106164327760084</v>
      </c>
      <c r="AB46">
        <f>[1]data!Y47*(_xlfn.XLOOKUP([1]data!$C47,[2]data!$B$2:$B$218,[2]data!X$2:X$218)/100)</f>
        <v>68.654487882749919</v>
      </c>
      <c r="AC46">
        <f>[1]data!Z47*(_xlfn.XLOOKUP([1]data!$C47,[2]data!$B$2:$B$218,[2]data!Y$2:Y$218)/100)</f>
        <v>69.121385447680098</v>
      </c>
      <c r="AD46">
        <f>[1]data!AA47*(_xlfn.XLOOKUP([1]data!$C47,[2]data!$B$2:$B$218,[2]data!Z$2:Z$218)/100)</f>
        <v>69.463136446199996</v>
      </c>
      <c r="AE46">
        <f>[1]data!AB47*(_xlfn.XLOOKUP([1]data!$C47,[2]data!$B$2:$B$218,[2]data!AA$2:AA$218)/100)</f>
        <v>69.703891839199997</v>
      </c>
      <c r="AF46">
        <f>[1]data!AC47*(_xlfn.XLOOKUP([1]data!$C47,[2]data!$B$2:$B$218,[2]data!AB$2:AB$218)/100)</f>
        <v>69.847447444820006</v>
      </c>
      <c r="AG46">
        <f>[1]data!AD47*(_xlfn.XLOOKUP([1]data!$C47,[2]data!$B$2:$B$218,[2]data!AC$2:AC$218)/100)</f>
        <v>69.977072496239998</v>
      </c>
      <c r="AH46">
        <f>[1]data!AE47*(_xlfn.XLOOKUP([1]data!$C47,[2]data!$B$2:$B$218,[2]data!AD$2:AD$218)/100)</f>
        <v>70.050950253379995</v>
      </c>
      <c r="AI46">
        <f>[1]data!AF47*(_xlfn.XLOOKUP([1]data!$C47,[2]data!$B$2:$B$218,[2]data!AE$2:AE$218)/100)</f>
        <v>69.95864906604001</v>
      </c>
      <c r="AJ46">
        <f>[1]data!AG47*(_xlfn.XLOOKUP([1]data!$C47,[2]data!$B$2:$B$218,[2]data!AF$2:AF$218)/100)</f>
        <v>69.650929647960012</v>
      </c>
      <c r="AK46">
        <f>[1]data!AH47*(_xlfn.XLOOKUP([1]data!$C47,[2]data!$B$2:$B$218,[2]data!AG$2:AG$218)/100)</f>
        <v>69.180606646079994</v>
      </c>
      <c r="AL46">
        <f>[1]data!AI47*(_xlfn.XLOOKUP([1]data!$C47,[2]data!$B$2:$B$218,[2]data!AH$2:AH$218)/100)</f>
        <v>68.607988822799911</v>
      </c>
      <c r="AM46">
        <f>[1]data!AJ47*(_xlfn.XLOOKUP([1]data!$C47,[2]data!$B$2:$B$218,[2]data!AI$2:AI$218)/100)</f>
        <v>67.941320526650003</v>
      </c>
    </row>
    <row r="47" spans="1:39" x14ac:dyDescent="0.25">
      <c r="A47" t="s">
        <v>30</v>
      </c>
      <c r="B47" t="s">
        <v>31</v>
      </c>
      <c r="C47" t="s">
        <v>78</v>
      </c>
      <c r="D47" t="s">
        <v>320</v>
      </c>
      <c r="E47" t="str">
        <f>_xlfn.XLOOKUP(D47,[6]Feuil1!$C$2:$C$248,[6]Feuil1!$B$2:$B$248)</f>
        <v>DJ</v>
      </c>
      <c r="F47" t="s">
        <v>33</v>
      </c>
      <c r="G47" t="str">
        <f>_xlfn.XLOOKUP(C47,[3]Sheet1!$B$2:$B$172,[3]Sheet1!$D$2:$D$172)</f>
        <v>Eastern Africa</v>
      </c>
      <c r="H47" t="s">
        <v>34</v>
      </c>
      <c r="I47">
        <f>[1]data!F48*(_xlfn.XLOOKUP([1]data!$C48,[2]data!$B$2:$B$218,[2]data!E$2:E$218)/100)</f>
        <v>2.4421677999999999E-2</v>
      </c>
      <c r="J47">
        <f>[1]data!G48*(_xlfn.XLOOKUP([1]data!$C48,[2]data!$B$2:$B$218,[2]data!F$2:F$218)/100)</f>
        <v>3.2327550000000004E-2</v>
      </c>
      <c r="K47">
        <f>[1]data!H48*(_xlfn.XLOOKUP([1]data!$C48,[2]data!$B$2:$B$218,[2]data!G$2:G$218)/100)</f>
        <v>4.2435092000000008E-2</v>
      </c>
      <c r="L47">
        <f>[1]data!I48*(_xlfn.XLOOKUP([1]data!$C48,[2]data!$B$2:$B$218,[2]data!H$2:H$218)/100)</f>
        <v>5.9336409000000007E-2</v>
      </c>
      <c r="M47">
        <f>[1]data!J48*(_xlfn.XLOOKUP([1]data!$C48,[2]data!$B$2:$B$218,[2]data!I$2:I$218)/100)</f>
        <v>8.6400108000000003E-2</v>
      </c>
      <c r="N47">
        <f>[1]data!K48*(_xlfn.XLOOKUP([1]data!$C48,[2]data!$B$2:$B$218,[2]data!J$2:J$218)/100)</f>
        <v>0.13359341599999999</v>
      </c>
      <c r="O47">
        <f>[1]data!L48*(_xlfn.XLOOKUP([1]data!$C48,[2]data!$B$2:$B$218,[2]data!K$2:K$218)/100)</f>
        <v>0.22674440599999998</v>
      </c>
      <c r="P47">
        <f>[1]data!M48*(_xlfn.XLOOKUP([1]data!$C48,[2]data!$B$2:$B$218,[2]data!L$2:L$218)/100)</f>
        <v>0.29226429400000009</v>
      </c>
      <c r="Q47">
        <f>[1]data!N48*(_xlfn.XLOOKUP([1]data!$C48,[2]data!$B$2:$B$218,[2]data!M$2:M$218)/100)</f>
        <v>0.41398644000000007</v>
      </c>
      <c r="R47">
        <f>[1]data!O48*(_xlfn.XLOOKUP([1]data!$C48,[2]data!$B$2:$B$218,[2]data!N$2:N$218)/100)</f>
        <v>0.47570989899999999</v>
      </c>
      <c r="S47">
        <f>[1]data!P48*(_xlfn.XLOOKUP([1]data!$C48,[2]data!$B$2:$B$218,[2]data!O$2:O$218)/100)</f>
        <v>0.55916910000000009</v>
      </c>
      <c r="T47">
        <f>[1]data!Q48*(_xlfn.XLOOKUP([1]data!$C48,[2]data!$B$2:$B$218,[2]data!P$2:P$218)/100)</f>
        <v>0.63308160000000013</v>
      </c>
      <c r="U47">
        <f>[1]data!R48*(_xlfn.XLOOKUP([1]data!$C48,[2]data!$B$2:$B$218,[2]data!Q$2:Q$218)/100)</f>
        <v>0.70095487000000001</v>
      </c>
      <c r="V47">
        <f>[1]data!S48*(_xlfn.XLOOKUP([1]data!$C48,[2]data!$B$2:$B$218,[2]data!R$2:R$218)/100)</f>
        <v>0.77222599200000008</v>
      </c>
      <c r="W47">
        <f>[1]data!T48*(_xlfn.XLOOKUP([1]data!$C48,[2]data!$B$2:$B$218,[2]data!S$2:S$218)/100)</f>
        <v>0.84530832099999986</v>
      </c>
      <c r="X47">
        <f>[1]data!U48*(_xlfn.XLOOKUP([1]data!$C48,[2]data!$B$2:$B$218,[2]data!T$2:T$218)/100)</f>
        <v>0.91875512091999911</v>
      </c>
      <c r="Y47">
        <f>[1]data!V48*(_xlfn.XLOOKUP([1]data!$C48,[2]data!$B$2:$B$218,[2]data!U$2:U$218)/100)</f>
        <v>0.99130973403</v>
      </c>
      <c r="Z47">
        <f>[1]data!W48*(_xlfn.XLOOKUP([1]data!$C48,[2]data!$B$2:$B$218,[2]data!V$2:V$218)/100)</f>
        <v>1.0603600065000001</v>
      </c>
      <c r="AA47">
        <f>[1]data!X48*(_xlfn.XLOOKUP([1]data!$C48,[2]data!$B$2:$B$218,[2]data!W$2:W$218)/100)</f>
        <v>1.12353945048</v>
      </c>
      <c r="AB47">
        <f>[1]data!Y48*(_xlfn.XLOOKUP([1]data!$C48,[2]data!$B$2:$B$218,[2]data!X$2:X$218)/100)</f>
        <v>1.1792488903000002</v>
      </c>
      <c r="AC47">
        <f>[1]data!Z48*(_xlfn.XLOOKUP([1]data!$C48,[2]data!$B$2:$B$218,[2]data!Y$2:Y$218)/100)</f>
        <v>1.2240265031399999</v>
      </c>
      <c r="AD47">
        <f>[1]data!AA48*(_xlfn.XLOOKUP([1]data!$C48,[2]data!$B$2:$B$218,[2]data!Z$2:Z$218)/100)</f>
        <v>1.2592532588999998</v>
      </c>
      <c r="AE47">
        <f>[1]data!AB48*(_xlfn.XLOOKUP([1]data!$C48,[2]data!$B$2:$B$218,[2]data!AA$2:AA$218)/100)</f>
        <v>1.2847843623999999</v>
      </c>
      <c r="AF47">
        <f>[1]data!AC48*(_xlfn.XLOOKUP([1]data!$C48,[2]data!$B$2:$B$218,[2]data!AB$2:AB$218)/100)</f>
        <v>1.3032837579299998</v>
      </c>
      <c r="AG47">
        <f>[1]data!AD48*(_xlfn.XLOOKUP([1]data!$C48,[2]data!$B$2:$B$218,[2]data!AC$2:AC$218)/100)</f>
        <v>1.3161470647</v>
      </c>
      <c r="AH47">
        <f>[1]data!AE48*(_xlfn.XLOOKUP([1]data!$C48,[2]data!$B$2:$B$218,[2]data!AD$2:AD$218)/100)</f>
        <v>1.3236321178800001</v>
      </c>
      <c r="AI47">
        <f>[1]data!AF48*(_xlfn.XLOOKUP([1]data!$C48,[2]data!$B$2:$B$218,[2]data!AE$2:AE$218)/100)</f>
        <v>1.3245786621</v>
      </c>
      <c r="AJ47">
        <f>[1]data!AG48*(_xlfn.XLOOKUP([1]data!$C48,[2]data!$B$2:$B$218,[2]data!AF$2:AF$218)/100)</f>
        <v>1.3195047717499999</v>
      </c>
      <c r="AK47">
        <f>[1]data!AH48*(_xlfn.XLOOKUP([1]data!$C48,[2]data!$B$2:$B$218,[2]data!AG$2:AG$218)/100)</f>
        <v>1.3086569698200001</v>
      </c>
      <c r="AL47">
        <f>[1]data!AI48*(_xlfn.XLOOKUP([1]data!$C48,[2]data!$B$2:$B$218,[2]data!AH$2:AH$218)/100)</f>
        <v>1.2934041563099998</v>
      </c>
      <c r="AM47">
        <f>[1]data!AJ48*(_xlfn.XLOOKUP([1]data!$C48,[2]data!$B$2:$B$218,[2]data!AI$2:AI$218)/100)</f>
        <v>1.27468049112</v>
      </c>
    </row>
    <row r="48" spans="1:39" x14ac:dyDescent="0.25">
      <c r="A48" t="s">
        <v>30</v>
      </c>
      <c r="B48" t="s">
        <v>31</v>
      </c>
      <c r="C48" t="s">
        <v>79</v>
      </c>
      <c r="D48" t="s">
        <v>321</v>
      </c>
      <c r="E48" t="str">
        <f>_xlfn.XLOOKUP(D48,[6]Feuil1!$C$2:$C$248,[6]Feuil1!$B$2:$B$248)</f>
        <v>DK</v>
      </c>
      <c r="F48" t="s">
        <v>33</v>
      </c>
      <c r="G48" t="str">
        <f>_xlfn.XLOOKUP(C48,[3]Sheet1!$B$2:$B$172,[3]Sheet1!$D$2:$D$172)</f>
        <v>Western Europe</v>
      </c>
      <c r="H48" t="s">
        <v>34</v>
      </c>
      <c r="I48">
        <f>[1]data!F49*(_xlfn.XLOOKUP([1]data!$C49,[2]data!$B$2:$B$218,[2]data!E$2:E$218)/100)</f>
        <v>2.8910376800000002</v>
      </c>
      <c r="J48">
        <f>[1]data!G49*(_xlfn.XLOOKUP([1]data!$C49,[2]data!$B$2:$B$218,[2]data!F$2:F$218)/100)</f>
        <v>3.0692841359999998</v>
      </c>
      <c r="K48">
        <f>[1]data!H49*(_xlfn.XLOOKUP([1]data!$C49,[2]data!$B$2:$B$218,[2]data!G$2:G$218)/100)</f>
        <v>3.3653866840000002</v>
      </c>
      <c r="L48">
        <f>[1]data!I49*(_xlfn.XLOOKUP([1]data!$C49,[2]data!$B$2:$B$218,[2]data!H$2:H$218)/100)</f>
        <v>3.6472220400000004</v>
      </c>
      <c r="M48">
        <f>[1]data!J49*(_xlfn.XLOOKUP([1]data!$C49,[2]data!$B$2:$B$218,[2]data!I$2:I$218)/100)</f>
        <v>3.9128906280000004</v>
      </c>
      <c r="N48">
        <f>[1]data!K49*(_xlfn.XLOOKUP([1]data!$C49,[2]data!$B$2:$B$218,[2]data!J$2:J$218)/100)</f>
        <v>4.1424113279999997</v>
      </c>
      <c r="O48">
        <f>[1]data!L49*(_xlfn.XLOOKUP([1]data!$C49,[2]data!$B$2:$B$218,[2]data!K$2:K$218)/100)</f>
        <v>4.2883402050000008</v>
      </c>
      <c r="P48">
        <f>[1]data!M49*(_xlfn.XLOOKUP([1]data!$C49,[2]data!$B$2:$B$218,[2]data!L$2:L$218)/100)</f>
        <v>4.3213804360000001</v>
      </c>
      <c r="Q48">
        <f>[1]data!N49*(_xlfn.XLOOKUP([1]data!$C49,[2]data!$B$2:$B$218,[2]data!M$2:M$218)/100)</f>
        <v>4.3576277760000002</v>
      </c>
      <c r="R48">
        <f>[1]data!O49*(_xlfn.XLOOKUP([1]data!$C49,[2]data!$B$2:$B$218,[2]data!N$2:N$218)/100)</f>
        <v>4.4411403500000004</v>
      </c>
      <c r="S48">
        <f>[1]data!P49*(_xlfn.XLOOKUP([1]data!$C49,[2]data!$B$2:$B$218,[2]data!O$2:O$218)/100)</f>
        <v>4.5358248940000001</v>
      </c>
      <c r="T48">
        <f>[1]data!Q49*(_xlfn.XLOOKUP([1]data!$C49,[2]data!$B$2:$B$218,[2]data!P$2:P$218)/100)</f>
        <v>4.6606548250000008</v>
      </c>
      <c r="U48">
        <f>[1]data!R49*(_xlfn.XLOOKUP([1]data!$C49,[2]data!$B$2:$B$218,[2]data!Q$2:Q$218)/100)</f>
        <v>4.8070421559999996</v>
      </c>
      <c r="V48">
        <f>[1]data!S49*(_xlfn.XLOOKUP([1]data!$C49,[2]data!$B$2:$B$218,[2]data!R$2:R$218)/100)</f>
        <v>4.9560463749999997</v>
      </c>
      <c r="W48">
        <f>[1]data!T49*(_xlfn.XLOOKUP([1]data!$C49,[2]data!$B$2:$B$218,[2]data!S$2:S$218)/100)</f>
        <v>5.1192892509999997</v>
      </c>
      <c r="X48">
        <f>[1]data!U49*(_xlfn.XLOOKUP([1]data!$C49,[2]data!$B$2:$B$218,[2]data!T$2:T$218)/100)</f>
        <v>5.2480688999400007</v>
      </c>
      <c r="Y48">
        <f>[1]data!V49*(_xlfn.XLOOKUP([1]data!$C49,[2]data!$B$2:$B$218,[2]data!U$2:U$218)/100)</f>
        <v>5.3492495028000011</v>
      </c>
      <c r="Z48">
        <f>[1]data!W49*(_xlfn.XLOOKUP([1]data!$C49,[2]data!$B$2:$B$218,[2]data!V$2:V$218)/100)</f>
        <v>5.4426445561199994</v>
      </c>
      <c r="AA48">
        <f>[1]data!X49*(_xlfn.XLOOKUP([1]data!$C49,[2]data!$B$2:$B$218,[2]data!W$2:W$218)/100)</f>
        <v>5.5276493943299991</v>
      </c>
      <c r="AB48">
        <f>[1]data!Y49*(_xlfn.XLOOKUP([1]data!$C49,[2]data!$B$2:$B$218,[2]data!X$2:X$218)/100)</f>
        <v>5.6108452891399985</v>
      </c>
      <c r="AC48">
        <f>[1]data!Z49*(_xlfn.XLOOKUP([1]data!$C49,[2]data!$B$2:$B$218,[2]data!Y$2:Y$218)/100)</f>
        <v>5.7033233771200011</v>
      </c>
      <c r="AD48">
        <f>[1]data!AA49*(_xlfn.XLOOKUP([1]data!$C49,[2]data!$B$2:$B$218,[2]data!Z$2:Z$218)/100)</f>
        <v>5.7929823670799996</v>
      </c>
      <c r="AE48">
        <f>[1]data!AB49*(_xlfn.XLOOKUP([1]data!$C49,[2]data!$B$2:$B$218,[2]data!AA$2:AA$218)/100)</f>
        <v>5.8825171708799999</v>
      </c>
      <c r="AF48">
        <f>[1]data!AC49*(_xlfn.XLOOKUP([1]data!$C49,[2]data!$B$2:$B$218,[2]data!AB$2:AB$218)/100)</f>
        <v>5.9699134287300009</v>
      </c>
      <c r="AG48">
        <f>[1]data!AD49*(_xlfn.XLOOKUP([1]data!$C49,[2]data!$B$2:$B$218,[2]data!AC$2:AC$218)/100)</f>
        <v>6.057632721150001</v>
      </c>
      <c r="AH48">
        <f>[1]data!AE49*(_xlfn.XLOOKUP([1]data!$C49,[2]data!$B$2:$B$218,[2]data!AD$2:AD$218)/100)</f>
        <v>6.1444624107799992</v>
      </c>
      <c r="AI48">
        <f>[1]data!AF49*(_xlfn.XLOOKUP([1]data!$C49,[2]data!$B$2:$B$218,[2]data!AE$2:AE$218)/100)</f>
        <v>6.2247145386299989</v>
      </c>
      <c r="AJ48">
        <f>[1]data!AG49*(_xlfn.XLOOKUP([1]data!$C49,[2]data!$B$2:$B$218,[2]data!AF$2:AF$218)/100)</f>
        <v>6.2889792453600002</v>
      </c>
      <c r="AK48">
        <f>[1]data!AH49*(_xlfn.XLOOKUP([1]data!$C49,[2]data!$B$2:$B$218,[2]data!AG$2:AG$218)/100)</f>
        <v>6.3336045860000096</v>
      </c>
      <c r="AL48">
        <f>[1]data!AI49*(_xlfn.XLOOKUP([1]data!$C49,[2]data!$B$2:$B$218,[2]data!AH$2:AH$218)/100)</f>
        <v>6.3648188565500012</v>
      </c>
      <c r="AM48">
        <f>[1]data!AJ49*(_xlfn.XLOOKUP([1]data!$C49,[2]data!$B$2:$B$218,[2]data!AI$2:AI$218)/100)</f>
        <v>6.3902595660600001</v>
      </c>
    </row>
    <row r="49" spans="1:39" x14ac:dyDescent="0.25">
      <c r="A49" t="s">
        <v>30</v>
      </c>
      <c r="B49" t="s">
        <v>31</v>
      </c>
      <c r="C49" t="s">
        <v>80</v>
      </c>
      <c r="D49" t="s">
        <v>322</v>
      </c>
      <c r="E49" t="str">
        <f>_xlfn.XLOOKUP(D49,[6]Feuil1!$C$2:$C$248,[6]Feuil1!$B$2:$B$248)</f>
        <v>DO</v>
      </c>
      <c r="F49" t="s">
        <v>33</v>
      </c>
      <c r="G49" t="s">
        <v>236</v>
      </c>
      <c r="H49" t="s">
        <v>34</v>
      </c>
      <c r="I49">
        <f>[1]data!F50*(_xlfn.XLOOKUP([1]data!$C50,[2]data!$B$2:$B$218,[2]data!E$2:E$218)/100)</f>
        <v>0.55595862900000004</v>
      </c>
      <c r="J49">
        <f>[1]data!G50*(_xlfn.XLOOKUP([1]data!$C50,[2]data!$B$2:$B$218,[2]data!F$2:F$218)/100)</f>
        <v>0.73562542800000008</v>
      </c>
      <c r="K49">
        <f>[1]data!H50*(_xlfn.XLOOKUP([1]data!$C50,[2]data!$B$2:$B$218,[2]data!G$2:G$218)/100)</f>
        <v>0.97952099400000003</v>
      </c>
      <c r="L49">
        <f>[1]data!I50*(_xlfn.XLOOKUP([1]data!$C50,[2]data!$B$2:$B$218,[2]data!H$2:H$218)/100)</f>
        <v>1.3377034710000002</v>
      </c>
      <c r="M49">
        <f>[1]data!J50*(_xlfn.XLOOKUP([1]data!$C50,[2]data!$B$2:$B$218,[2]data!I$2:I$218)/100)</f>
        <v>1.7788855240000001</v>
      </c>
      <c r="N49">
        <f>[1]data!K50*(_xlfn.XLOOKUP([1]data!$C50,[2]data!$B$2:$B$218,[2]data!J$2:J$218)/100)</f>
        <v>2.304354864</v>
      </c>
      <c r="O49">
        <f>[1]data!L50*(_xlfn.XLOOKUP([1]data!$C50,[2]data!$B$2:$B$218,[2]data!K$2:K$218)/100)</f>
        <v>2.91943683</v>
      </c>
      <c r="P49">
        <f>[1]data!M50*(_xlfn.XLOOKUP([1]data!$C50,[2]data!$B$2:$B$218,[2]data!L$2:L$218)/100)</f>
        <v>3.4226181990000004</v>
      </c>
      <c r="Q49">
        <f>[1]data!N50*(_xlfn.XLOOKUP([1]data!$C50,[2]data!$B$2:$B$218,[2]data!M$2:M$218)/100)</f>
        <v>3.893860992</v>
      </c>
      <c r="R49">
        <f>[1]data!O50*(_xlfn.XLOOKUP([1]data!$C50,[2]data!$B$2:$B$218,[2]data!N$2:N$218)/100)</f>
        <v>4.4913646080000005</v>
      </c>
      <c r="S49">
        <f>[1]data!P50*(_xlfn.XLOOKUP([1]data!$C50,[2]data!$B$2:$B$218,[2]data!O$2:O$218)/100)</f>
        <v>5.2381803600000003</v>
      </c>
      <c r="T49">
        <f>[1]data!Q50*(_xlfn.XLOOKUP([1]data!$C50,[2]data!$B$2:$B$218,[2]data!P$2:P$218)/100)</f>
        <v>6.1362550640000002</v>
      </c>
      <c r="U49">
        <f>[1]data!R50*(_xlfn.XLOOKUP([1]data!$C50,[2]data!$B$2:$B$218,[2]data!Q$2:Q$218)/100)</f>
        <v>7.1671630139999998</v>
      </c>
      <c r="V49">
        <f>[1]data!S50*(_xlfn.XLOOKUP([1]data!$C50,[2]data!$B$2:$B$218,[2]data!R$2:R$218)/100)</f>
        <v>8.1306402359999979</v>
      </c>
      <c r="W49">
        <f>[1]data!T50*(_xlfn.XLOOKUP([1]data!$C50,[2]data!$B$2:$B$218,[2]data!S$2:S$218)/100)</f>
        <v>9.0249563249999998</v>
      </c>
      <c r="X49">
        <f>[1]data!U50*(_xlfn.XLOOKUP([1]data!$C50,[2]data!$B$2:$B$218,[2]data!T$2:T$218)/100)</f>
        <v>9.6516058121900006</v>
      </c>
      <c r="Y49">
        <f>[1]data!V50*(_xlfn.XLOOKUP([1]data!$C50,[2]data!$B$2:$B$218,[2]data!U$2:U$218)/100)</f>
        <v>10.233970582500001</v>
      </c>
      <c r="Z49">
        <f>[1]data!W50*(_xlfn.XLOOKUP([1]data!$C50,[2]data!$B$2:$B$218,[2]data!V$2:V$218)/100)</f>
        <v>10.757726218200002</v>
      </c>
      <c r="AA49">
        <f>[1]data!X50*(_xlfn.XLOOKUP([1]data!$C50,[2]data!$B$2:$B$218,[2]data!W$2:W$218)/100)</f>
        <v>11.209612816050001</v>
      </c>
      <c r="AB49">
        <f>[1]data!Y50*(_xlfn.XLOOKUP([1]data!$C50,[2]data!$B$2:$B$218,[2]data!X$2:X$218)/100)</f>
        <v>11.580174445839999</v>
      </c>
      <c r="AC49">
        <f>[1]data!Z50*(_xlfn.XLOOKUP([1]data!$C50,[2]data!$B$2:$B$218,[2]data!Y$2:Y$218)/100)</f>
        <v>11.891385967120002</v>
      </c>
      <c r="AD49">
        <f>[1]data!AA50*(_xlfn.XLOOKUP([1]data!$C50,[2]data!$B$2:$B$218,[2]data!Z$2:Z$218)/100)</f>
        <v>12.147194044259999</v>
      </c>
      <c r="AE49">
        <f>[1]data!AB50*(_xlfn.XLOOKUP([1]data!$C50,[2]data!$B$2:$B$218,[2]data!AA$2:AA$218)/100)</f>
        <v>12.349491931439999</v>
      </c>
      <c r="AF49">
        <f>[1]data!AC50*(_xlfn.XLOOKUP([1]data!$C50,[2]data!$B$2:$B$218,[2]data!AB$2:AB$218)/100)</f>
        <v>12.499077861629999</v>
      </c>
      <c r="AG49">
        <f>[1]data!AD50*(_xlfn.XLOOKUP([1]data!$C50,[2]data!$B$2:$B$218,[2]data!AC$2:AC$218)/100)</f>
        <v>12.59694482514</v>
      </c>
      <c r="AH49">
        <f>[1]data!AE50*(_xlfn.XLOOKUP([1]data!$C50,[2]data!$B$2:$B$218,[2]data!AD$2:AD$218)/100)</f>
        <v>12.64942331604</v>
      </c>
      <c r="AI49">
        <f>[1]data!AF50*(_xlfn.XLOOKUP([1]data!$C50,[2]data!$B$2:$B$218,[2]data!AE$2:AE$218)/100)</f>
        <v>12.65789740068</v>
      </c>
      <c r="AJ49">
        <f>[1]data!AG50*(_xlfn.XLOOKUP([1]data!$C50,[2]data!$B$2:$B$218,[2]data!AF$2:AF$218)/100)</f>
        <v>12.6326621148</v>
      </c>
      <c r="AK49">
        <f>[1]data!AH50*(_xlfn.XLOOKUP([1]data!$C50,[2]data!$B$2:$B$218,[2]data!AG$2:AG$218)/100)</f>
        <v>12.578059824</v>
      </c>
      <c r="AL49">
        <f>[1]data!AI50*(_xlfn.XLOOKUP([1]data!$C50,[2]data!$B$2:$B$218,[2]data!AH$2:AH$218)/100)</f>
        <v>12.500132551919998</v>
      </c>
      <c r="AM49">
        <f>[1]data!AJ50*(_xlfn.XLOOKUP([1]data!$C50,[2]data!$B$2:$B$218,[2]data!AI$2:AI$218)/100)</f>
        <v>12.398624885350001</v>
      </c>
    </row>
    <row r="50" spans="1:39" x14ac:dyDescent="0.25">
      <c r="A50" t="s">
        <v>30</v>
      </c>
      <c r="B50" t="s">
        <v>31</v>
      </c>
      <c r="C50" t="s">
        <v>81</v>
      </c>
      <c r="D50" t="s">
        <v>323</v>
      </c>
      <c r="E50" t="str">
        <f>_xlfn.XLOOKUP(D50,[6]Feuil1!$C$2:$C$248,[6]Feuil1!$B$2:$B$248)</f>
        <v>DZ</v>
      </c>
      <c r="F50" t="s">
        <v>33</v>
      </c>
      <c r="G50" t="str">
        <f>_xlfn.XLOOKUP(C50,[3]Sheet1!$B$2:$B$172,[3]Sheet1!$D$2:$D$172)</f>
        <v>Northern Africa</v>
      </c>
      <c r="H50" t="s">
        <v>34</v>
      </c>
      <c r="I50">
        <f>[1]data!F51*(_xlfn.XLOOKUP([1]data!$C51,[2]data!$B$2:$B$218,[2]data!E$2:E$218)/100)</f>
        <v>1.974199824</v>
      </c>
      <c r="J50">
        <f>[1]data!G51*(_xlfn.XLOOKUP([1]data!$C51,[2]data!$B$2:$B$218,[2]data!F$2:F$218)/100)</f>
        <v>2.643039468</v>
      </c>
      <c r="K50">
        <f>[1]data!H51*(_xlfn.XLOOKUP([1]data!$C51,[2]data!$B$2:$B$218,[2]data!G$2:G$218)/100)</f>
        <v>3.4402386549999995</v>
      </c>
      <c r="L50">
        <f>[1]data!I51*(_xlfn.XLOOKUP([1]data!$C51,[2]data!$B$2:$B$218,[2]data!H$2:H$218)/100)</f>
        <v>4.6201913680000004</v>
      </c>
      <c r="M50">
        <f>[1]data!J51*(_xlfn.XLOOKUP([1]data!$C51,[2]data!$B$2:$B$218,[2]data!I$2:I$218)/100)</f>
        <v>5.388710080000001</v>
      </c>
      <c r="N50">
        <f>[1]data!K51*(_xlfn.XLOOKUP([1]data!$C51,[2]data!$B$2:$B$218,[2]data!J$2:J$218)/100)</f>
        <v>6.1831270409999997</v>
      </c>
      <c r="O50">
        <f>[1]data!L51*(_xlfn.XLOOKUP([1]data!$C51,[2]data!$B$2:$B$218,[2]data!K$2:K$218)/100)</f>
        <v>8.0225566649999998</v>
      </c>
      <c r="P50">
        <f>[1]data!M51*(_xlfn.XLOOKUP([1]data!$C51,[2]data!$B$2:$B$218,[2]data!L$2:L$218)/100)</f>
        <v>10.44307968</v>
      </c>
      <c r="Q50">
        <f>[1]data!N51*(_xlfn.XLOOKUP([1]data!$C51,[2]data!$B$2:$B$218,[2]data!M$2:M$218)/100)</f>
        <v>13.134132307</v>
      </c>
      <c r="R50">
        <f>[1]data!O51*(_xlfn.XLOOKUP([1]data!$C51,[2]data!$B$2:$B$218,[2]data!N$2:N$218)/100)</f>
        <v>15.80366648</v>
      </c>
      <c r="S50">
        <f>[1]data!P51*(_xlfn.XLOOKUP([1]data!$C51,[2]data!$B$2:$B$218,[2]data!O$2:O$218)/100)</f>
        <v>18.305938966999999</v>
      </c>
      <c r="T50">
        <f>[1]data!Q51*(_xlfn.XLOOKUP([1]data!$C51,[2]data!$B$2:$B$218,[2]data!P$2:P$218)/100)</f>
        <v>20.890948892000001</v>
      </c>
      <c r="U50">
        <f>[1]data!R51*(_xlfn.XLOOKUP([1]data!$C51,[2]data!$B$2:$B$218,[2]data!Q$2:Q$218)/100)</f>
        <v>23.975548425000003</v>
      </c>
      <c r="V50">
        <f>[1]data!S51*(_xlfn.XLOOKUP([1]data!$C51,[2]data!$B$2:$B$218,[2]data!R$2:R$218)/100)</f>
        <v>27.71570784</v>
      </c>
      <c r="W50">
        <f>[1]data!T51*(_xlfn.XLOOKUP([1]data!$C51,[2]data!$B$2:$B$218,[2]data!S$2:S$218)/100)</f>
        <v>31.758061103999925</v>
      </c>
      <c r="X50">
        <f>[1]data!U51*(_xlfn.XLOOKUP([1]data!$C51,[2]data!$B$2:$B$218,[2]data!T$2:T$218)/100)</f>
        <v>35.116119923940005</v>
      </c>
      <c r="Y50">
        <f>[1]data!V51*(_xlfn.XLOOKUP([1]data!$C51,[2]data!$B$2:$B$218,[2]data!U$2:U$218)/100)</f>
        <v>38.153761202899993</v>
      </c>
      <c r="Z50">
        <f>[1]data!W51*(_xlfn.XLOOKUP([1]data!$C51,[2]data!$B$2:$B$218,[2]data!V$2:V$218)/100)</f>
        <v>40.945094165200004</v>
      </c>
      <c r="AA50">
        <f>[1]data!X51*(_xlfn.XLOOKUP([1]data!$C51,[2]data!$B$2:$B$218,[2]data!W$2:W$218)/100)</f>
        <v>43.653913884940003</v>
      </c>
      <c r="AB50">
        <f>[1]data!Y51*(_xlfn.XLOOKUP([1]data!$C51,[2]data!$B$2:$B$218,[2]data!X$2:X$218)/100)</f>
        <v>46.319495900820002</v>
      </c>
      <c r="AC50">
        <f>[1]data!Z51*(_xlfn.XLOOKUP([1]data!$C51,[2]data!$B$2:$B$218,[2]data!Y$2:Y$218)/100)</f>
        <v>48.863050229820004</v>
      </c>
      <c r="AD50">
        <f>[1]data!AA51*(_xlfn.XLOOKUP([1]data!$C51,[2]data!$B$2:$B$218,[2]data!Z$2:Z$218)/100)</f>
        <v>51.031355001449917</v>
      </c>
      <c r="AE50">
        <f>[1]data!AB51*(_xlfn.XLOOKUP([1]data!$C51,[2]data!$B$2:$B$218,[2]data!AA$2:AA$218)/100)</f>
        <v>52.742912171039997</v>
      </c>
      <c r="AF50">
        <f>[1]data!AC51*(_xlfn.XLOOKUP([1]data!$C51,[2]data!$B$2:$B$218,[2]data!AB$2:AB$218)/100)</f>
        <v>54.010908336</v>
      </c>
      <c r="AG50">
        <f>[1]data!AD51*(_xlfn.XLOOKUP([1]data!$C51,[2]data!$B$2:$B$218,[2]data!AC$2:AC$218)/100)</f>
        <v>54.998423537140006</v>
      </c>
      <c r="AH50">
        <f>[1]data!AE51*(_xlfn.XLOOKUP([1]data!$C51,[2]data!$B$2:$B$218,[2]data!AD$2:AD$218)/100)</f>
        <v>55.852281658199999</v>
      </c>
      <c r="AI50">
        <f>[1]data!AF51*(_xlfn.XLOOKUP([1]data!$C51,[2]data!$B$2:$B$218,[2]data!AE$2:AE$218)/100)</f>
        <v>56.637263387250002</v>
      </c>
      <c r="AJ50">
        <f>[1]data!AG51*(_xlfn.XLOOKUP([1]data!$C51,[2]data!$B$2:$B$218,[2]data!AF$2:AF$218)/100)</f>
        <v>57.341866272370005</v>
      </c>
      <c r="AK50">
        <f>[1]data!AH51*(_xlfn.XLOOKUP([1]data!$C51,[2]data!$B$2:$B$218,[2]data!AG$2:AG$218)/100)</f>
        <v>57.899999877399999</v>
      </c>
      <c r="AL50">
        <f>[1]data!AI51*(_xlfn.XLOOKUP([1]data!$C51,[2]data!$B$2:$B$218,[2]data!AH$2:AH$218)/100)</f>
        <v>58.271839563599997</v>
      </c>
      <c r="AM50">
        <f>[1]data!AJ51*(_xlfn.XLOOKUP([1]data!$C51,[2]data!$B$2:$B$218,[2]data!AI$2:AI$218)/100)</f>
        <v>58.399728192149915</v>
      </c>
    </row>
    <row r="51" spans="1:39" x14ac:dyDescent="0.25">
      <c r="A51" t="s">
        <v>30</v>
      </c>
      <c r="B51" t="s">
        <v>31</v>
      </c>
      <c r="C51" t="s">
        <v>82</v>
      </c>
      <c r="D51" t="s">
        <v>324</v>
      </c>
      <c r="E51" t="str">
        <f>_xlfn.XLOOKUP(D51,[6]Feuil1!$C$2:$C$248,[6]Feuil1!$B$2:$B$248)</f>
        <v>EC</v>
      </c>
      <c r="F51" t="s">
        <v>33</v>
      </c>
      <c r="G51" t="str">
        <f>_xlfn.XLOOKUP(C51,[3]Sheet1!$B$2:$B$172,[3]Sheet1!$D$2:$D$172)</f>
        <v>Rest of South America</v>
      </c>
      <c r="H51" t="s">
        <v>34</v>
      </c>
      <c r="I51">
        <f>[1]data!F52*(_xlfn.XLOOKUP([1]data!$C52,[2]data!$B$2:$B$218,[2]data!E$2:E$218)/100)</f>
        <v>0.98262835500000012</v>
      </c>
      <c r="J51">
        <f>[1]data!G52*(_xlfn.XLOOKUP([1]data!$C52,[2]data!$B$2:$B$218,[2]data!F$2:F$218)/100)</f>
        <v>1.2300638799999999</v>
      </c>
      <c r="K51">
        <f>[1]data!H52*(_xlfn.XLOOKUP([1]data!$C52,[2]data!$B$2:$B$218,[2]data!G$2:G$218)/100)</f>
        <v>1.5434558129999998</v>
      </c>
      <c r="L51">
        <f>[1]data!I52*(_xlfn.XLOOKUP([1]data!$C52,[2]data!$B$2:$B$218,[2]data!H$2:H$218)/100)</f>
        <v>1.9248247439999999</v>
      </c>
      <c r="M51">
        <f>[1]data!J52*(_xlfn.XLOOKUP([1]data!$C52,[2]data!$B$2:$B$218,[2]data!I$2:I$218)/100)</f>
        <v>2.3909090339999999</v>
      </c>
      <c r="N51">
        <f>[1]data!K52*(_xlfn.XLOOKUP([1]data!$C52,[2]data!$B$2:$B$218,[2]data!J$2:J$218)/100)</f>
        <v>2.971147352</v>
      </c>
      <c r="O51">
        <f>[1]data!L52*(_xlfn.XLOOKUP([1]data!$C52,[2]data!$B$2:$B$218,[2]data!K$2:K$218)/100)</f>
        <v>3.7733127500000001</v>
      </c>
      <c r="P51">
        <f>[1]data!M52*(_xlfn.XLOOKUP([1]data!$C52,[2]data!$B$2:$B$218,[2]data!L$2:L$218)/100)</f>
        <v>4.6784440319999998</v>
      </c>
      <c r="Q51">
        <f>[1]data!N52*(_xlfn.XLOOKUP([1]data!$C52,[2]data!$B$2:$B$218,[2]data!M$2:M$218)/100)</f>
        <v>5.6920459920000006</v>
      </c>
      <c r="R51">
        <f>[1]data!O52*(_xlfn.XLOOKUP([1]data!$C52,[2]data!$B$2:$B$218,[2]data!N$2:N$218)/100)</f>
        <v>6.6208830699999996</v>
      </c>
      <c r="S51">
        <f>[1]data!P52*(_xlfn.XLOOKUP([1]data!$C52,[2]data!$B$2:$B$218,[2]data!O$2:O$218)/100)</f>
        <v>7.5486488669999998</v>
      </c>
      <c r="T51">
        <f>[1]data!Q52*(_xlfn.XLOOKUP([1]data!$C52,[2]data!$B$2:$B$218,[2]data!P$2:P$218)/100)</f>
        <v>8.4229853719999994</v>
      </c>
      <c r="U51">
        <f>[1]data!R52*(_xlfn.XLOOKUP([1]data!$C52,[2]data!$B$2:$B$218,[2]data!Q$2:Q$218)/100)</f>
        <v>9.320977611</v>
      </c>
      <c r="V51">
        <f>[1]data!S52*(_xlfn.XLOOKUP([1]data!$C52,[2]data!$B$2:$B$218,[2]data!R$2:R$218)/100)</f>
        <v>10.191865097999999</v>
      </c>
      <c r="W51">
        <f>[1]data!T52*(_xlfn.XLOOKUP([1]data!$C52,[2]data!$B$2:$B$218,[2]data!S$2:S$218)/100)</f>
        <v>11.226755436000001</v>
      </c>
      <c r="X51">
        <f>[1]data!U52*(_xlfn.XLOOKUP([1]data!$C52,[2]data!$B$2:$B$218,[2]data!T$2:T$218)/100)</f>
        <v>12.10020650934</v>
      </c>
      <c r="Y51">
        <f>[1]data!V52*(_xlfn.XLOOKUP([1]data!$C52,[2]data!$B$2:$B$218,[2]data!U$2:U$218)/100)</f>
        <v>12.976133822240001</v>
      </c>
      <c r="Z51">
        <f>[1]data!W52*(_xlfn.XLOOKUP([1]data!$C52,[2]data!$B$2:$B$218,[2]data!V$2:V$218)/100)</f>
        <v>13.781825250479997</v>
      </c>
      <c r="AA51">
        <f>[1]data!X52*(_xlfn.XLOOKUP([1]data!$C52,[2]data!$B$2:$B$218,[2]data!W$2:W$218)/100)</f>
        <v>14.499307787570002</v>
      </c>
      <c r="AB51">
        <f>[1]data!Y52*(_xlfn.XLOOKUP([1]data!$C52,[2]data!$B$2:$B$218,[2]data!X$2:X$218)/100)</f>
        <v>15.142434918349998</v>
      </c>
      <c r="AC51">
        <f>[1]data!Z52*(_xlfn.XLOOKUP([1]data!$C52,[2]data!$B$2:$B$218,[2]data!Y$2:Y$218)/100)</f>
        <v>15.712411765289998</v>
      </c>
      <c r="AD51">
        <f>[1]data!AA52*(_xlfn.XLOOKUP([1]data!$C52,[2]data!$B$2:$B$218,[2]data!Z$2:Z$218)/100)</f>
        <v>16.203411169599999</v>
      </c>
      <c r="AE51">
        <f>[1]data!AB52*(_xlfn.XLOOKUP([1]data!$C52,[2]data!$B$2:$B$218,[2]data!AA$2:AA$218)/100)</f>
        <v>16.610207271840004</v>
      </c>
      <c r="AF51">
        <f>[1]data!AC52*(_xlfn.XLOOKUP([1]data!$C52,[2]data!$B$2:$B$218,[2]data!AB$2:AB$218)/100)</f>
        <v>16.93398460289</v>
      </c>
      <c r="AG51">
        <f>[1]data!AD52*(_xlfn.XLOOKUP([1]data!$C52,[2]data!$B$2:$B$218,[2]data!AC$2:AC$218)/100)</f>
        <v>17.174399531240002</v>
      </c>
      <c r="AH51">
        <f>[1]data!AE52*(_xlfn.XLOOKUP([1]data!$C52,[2]data!$B$2:$B$218,[2]data!AD$2:AD$218)/100)</f>
        <v>17.326235075730004</v>
      </c>
      <c r="AI51">
        <f>[1]data!AF52*(_xlfn.XLOOKUP([1]data!$C52,[2]data!$B$2:$B$218,[2]data!AE$2:AE$218)/100)</f>
        <v>17.396156750220001</v>
      </c>
      <c r="AJ51">
        <f>[1]data!AG52*(_xlfn.XLOOKUP([1]data!$C52,[2]data!$B$2:$B$218,[2]data!AF$2:AF$218)/100)</f>
        <v>17.391040889100001</v>
      </c>
      <c r="AK51">
        <f>[1]data!AH52*(_xlfn.XLOOKUP([1]data!$C52,[2]data!$B$2:$B$218,[2]data!AG$2:AG$218)/100)</f>
        <v>17.324426410280005</v>
      </c>
      <c r="AL51">
        <f>[1]data!AI52*(_xlfn.XLOOKUP([1]data!$C52,[2]data!$B$2:$B$218,[2]data!AH$2:AH$218)/100)</f>
        <v>17.208300164000001</v>
      </c>
      <c r="AM51">
        <f>[1]data!AJ52*(_xlfn.XLOOKUP([1]data!$C52,[2]data!$B$2:$B$218,[2]data!AI$2:AI$218)/100)</f>
        <v>17.062942522290005</v>
      </c>
    </row>
    <row r="52" spans="1:39" x14ac:dyDescent="0.25">
      <c r="A52" t="s">
        <v>30</v>
      </c>
      <c r="B52" t="s">
        <v>31</v>
      </c>
      <c r="C52" t="s">
        <v>83</v>
      </c>
      <c r="D52" t="s">
        <v>259</v>
      </c>
      <c r="E52" t="str">
        <f>_xlfn.XLOOKUP(D52,[6]Feuil1!$C$2:$C$248,[6]Feuil1!$B$2:$B$248)</f>
        <v>EG</v>
      </c>
      <c r="F52" t="s">
        <v>33</v>
      </c>
      <c r="G52" t="str">
        <f>_xlfn.XLOOKUP(C52,[3]Sheet1!$B$2:$B$172,[3]Sheet1!$D$2:$D$172)</f>
        <v>Northern Africa</v>
      </c>
      <c r="H52" t="s">
        <v>34</v>
      </c>
      <c r="I52">
        <f>[1]data!F53*(_xlfn.XLOOKUP([1]data!$C53,[2]data!$B$2:$B$218,[2]data!E$2:E$218)/100)</f>
        <v>6.6762935800000003</v>
      </c>
      <c r="J52">
        <f>[1]data!G53*(_xlfn.XLOOKUP([1]data!$C53,[2]data!$B$2:$B$218,[2]data!F$2:F$218)/100)</f>
        <v>8.1915110999999996</v>
      </c>
      <c r="K52">
        <f>[1]data!H53*(_xlfn.XLOOKUP([1]data!$C53,[2]data!$B$2:$B$218,[2]data!G$2:G$218)/100)</f>
        <v>10.113206817</v>
      </c>
      <c r="L52">
        <f>[1]data!I53*(_xlfn.XLOOKUP([1]data!$C53,[2]data!$B$2:$B$218,[2]data!H$2:H$218)/100)</f>
        <v>12.077061967000001</v>
      </c>
      <c r="M52">
        <f>[1]data!J53*(_xlfn.XLOOKUP([1]data!$C53,[2]data!$B$2:$B$218,[2]data!I$2:I$218)/100)</f>
        <v>14.271577345000001</v>
      </c>
      <c r="N52">
        <f>[1]data!K53*(_xlfn.XLOOKUP([1]data!$C53,[2]data!$B$2:$B$218,[2]data!J$2:J$218)/100)</f>
        <v>16.602701725999999</v>
      </c>
      <c r="O52">
        <f>[1]data!L53*(_xlfn.XLOOKUP([1]data!$C53,[2]data!$B$2:$B$218,[2]data!K$2:K$218)/100)</f>
        <v>18.954264000000002</v>
      </c>
      <c r="P52">
        <f>[1]data!M53*(_xlfn.XLOOKUP([1]data!$C53,[2]data!$B$2:$B$218,[2]data!L$2:L$218)/100)</f>
        <v>21.662374663000001</v>
      </c>
      <c r="Q52">
        <f>[1]data!N53*(_xlfn.XLOOKUP([1]data!$C53,[2]data!$B$2:$B$218,[2]data!M$2:M$218)/100)</f>
        <v>24.57561819</v>
      </c>
      <c r="R52">
        <f>[1]data!O53*(_xlfn.XLOOKUP([1]data!$C53,[2]data!$B$2:$B$218,[2]data!N$2:N$218)/100)</f>
        <v>27.168199228000002</v>
      </c>
      <c r="S52">
        <f>[1]data!P53*(_xlfn.XLOOKUP([1]data!$C53,[2]data!$B$2:$B$218,[2]data!O$2:O$218)/100)</f>
        <v>30.232863696000003</v>
      </c>
      <c r="T52">
        <f>[1]data!Q53*(_xlfn.XLOOKUP([1]data!$C53,[2]data!$B$2:$B$218,[2]data!P$2:P$218)/100)</f>
        <v>33.67003845</v>
      </c>
      <c r="U52">
        <f>[1]data!R53*(_xlfn.XLOOKUP([1]data!$C53,[2]data!$B$2:$B$218,[2]data!Q$2:Q$218)/100)</f>
        <v>37.12574334</v>
      </c>
      <c r="V52">
        <f>[1]data!S53*(_xlfn.XLOOKUP([1]data!$C53,[2]data!$B$2:$B$218,[2]data!R$2:R$218)/100)</f>
        <v>41.377071627999996</v>
      </c>
      <c r="W52">
        <f>[1]data!T53*(_xlfn.XLOOKUP([1]data!$C53,[2]data!$B$2:$B$218,[2]data!S$2:S$218)/100)</f>
        <v>45.598570876000004</v>
      </c>
      <c r="X52">
        <f>[1]data!U53*(_xlfn.XLOOKUP([1]data!$C53,[2]data!$B$2:$B$218,[2]data!T$2:T$218)/100)</f>
        <v>53.100277465500007</v>
      </c>
      <c r="Y52">
        <f>[1]data!V53*(_xlfn.XLOOKUP([1]data!$C53,[2]data!$B$2:$B$218,[2]data!U$2:U$218)/100)</f>
        <v>61.06474569956</v>
      </c>
      <c r="Z52">
        <f>[1]data!W53*(_xlfn.XLOOKUP([1]data!$C53,[2]data!$B$2:$B$218,[2]data!V$2:V$218)/100)</f>
        <v>69.448600785449997</v>
      </c>
      <c r="AA52">
        <f>[1]data!X53*(_xlfn.XLOOKUP([1]data!$C53,[2]data!$B$2:$B$218,[2]data!W$2:W$218)/100)</f>
        <v>78.207277049249996</v>
      </c>
      <c r="AB52">
        <f>[1]data!Y53*(_xlfn.XLOOKUP([1]data!$C53,[2]data!$B$2:$B$218,[2]data!X$2:X$218)/100)</f>
        <v>87.040876982260002</v>
      </c>
      <c r="AC52">
        <f>[1]data!Z53*(_xlfn.XLOOKUP([1]data!$C53,[2]data!$B$2:$B$218,[2]data!Y$2:Y$218)/100)</f>
        <v>95.637859938679995</v>
      </c>
      <c r="AD52">
        <f>[1]data!AA53*(_xlfn.XLOOKUP([1]data!$C53,[2]data!$B$2:$B$218,[2]data!Z$2:Z$218)/100)</f>
        <v>103.83162725376</v>
      </c>
      <c r="AE52">
        <f>[1]data!AB53*(_xlfn.XLOOKUP([1]data!$C53,[2]data!$B$2:$B$218,[2]data!AA$2:AA$218)/100)</f>
        <v>111.55118045792</v>
      </c>
      <c r="AF52">
        <f>[1]data!AC53*(_xlfn.XLOOKUP([1]data!$C53,[2]data!$B$2:$B$218,[2]data!AB$2:AB$218)/100)</f>
        <v>118.5739804743</v>
      </c>
      <c r="AG52">
        <f>[1]data!AD53*(_xlfn.XLOOKUP([1]data!$C53,[2]data!$B$2:$B$218,[2]data!AC$2:AC$218)/100)</f>
        <v>124.85998784625001</v>
      </c>
      <c r="AH52">
        <f>[1]data!AE53*(_xlfn.XLOOKUP([1]data!$C53,[2]data!$B$2:$B$218,[2]data!AD$2:AD$218)/100)</f>
        <v>130.52374054089998</v>
      </c>
      <c r="AI52">
        <f>[1]data!AF53*(_xlfn.XLOOKUP([1]data!$C53,[2]data!$B$2:$B$218,[2]data!AE$2:AE$218)/100)</f>
        <v>135.60377207409999</v>
      </c>
      <c r="AJ52">
        <f>[1]data!AG53*(_xlfn.XLOOKUP([1]data!$C53,[2]data!$B$2:$B$218,[2]data!AF$2:AF$218)/100)</f>
        <v>140.05974871795999</v>
      </c>
      <c r="AK52">
        <f>[1]data!AH53*(_xlfn.XLOOKUP([1]data!$C53,[2]data!$B$2:$B$218,[2]data!AG$2:AG$218)/100)</f>
        <v>143.99634994200002</v>
      </c>
      <c r="AL52">
        <f>[1]data!AI53*(_xlfn.XLOOKUP([1]data!$C53,[2]data!$B$2:$B$218,[2]data!AH$2:AH$218)/100)</f>
        <v>147.24765973085999</v>
      </c>
      <c r="AM52">
        <f>[1]data!AJ53*(_xlfn.XLOOKUP([1]data!$C53,[2]data!$B$2:$B$218,[2]data!AI$2:AI$218)/100)</f>
        <v>149.8139904816</v>
      </c>
    </row>
    <row r="53" spans="1:39" x14ac:dyDescent="0.25">
      <c r="A53" t="s">
        <v>30</v>
      </c>
      <c r="B53" t="s">
        <v>31</v>
      </c>
      <c r="C53" t="s">
        <v>84</v>
      </c>
      <c r="D53" t="s">
        <v>325</v>
      </c>
      <c r="E53" t="str">
        <f>_xlfn.XLOOKUP(D53,[6]Feuil1!$C$2:$C$248,[6]Feuil1!$B$2:$B$248)</f>
        <v>ER</v>
      </c>
      <c r="F53" t="s">
        <v>33</v>
      </c>
      <c r="G53" t="str">
        <f>_xlfn.XLOOKUP(C53,[3]Sheet1!$B$2:$B$172,[3]Sheet1!$D$2:$D$172)</f>
        <v>Eastern Africa</v>
      </c>
      <c r="H53" t="s">
        <v>34</v>
      </c>
      <c r="I53">
        <f>[1]data!F54*(_xlfn.XLOOKUP([1]data!$C54,[2]data!$B$2:$B$218,[2]data!E$2:E$218)/100)</f>
        <v>5.798598399999999E-2</v>
      </c>
      <c r="J53">
        <f>[1]data!G54*(_xlfn.XLOOKUP([1]data!$C54,[2]data!$B$2:$B$218,[2]data!F$2:F$218)/100)</f>
        <v>7.4470116000000003E-2</v>
      </c>
      <c r="K53">
        <f>[1]data!H54*(_xlfn.XLOOKUP([1]data!$C54,[2]data!$B$2:$B$218,[2]data!G$2:G$218)/100)</f>
        <v>9.6254718000000003E-2</v>
      </c>
      <c r="L53">
        <f>[1]data!I54*(_xlfn.XLOOKUP([1]data!$C54,[2]data!$B$2:$B$218,[2]data!H$2:H$218)/100)</f>
        <v>0.1273832</v>
      </c>
      <c r="M53">
        <f>[1]data!J54*(_xlfn.XLOOKUP([1]data!$C54,[2]data!$B$2:$B$218,[2]data!I$2:I$218)/100)</f>
        <v>0.15954971900000001</v>
      </c>
      <c r="N53">
        <f>[1]data!K54*(_xlfn.XLOOKUP([1]data!$C54,[2]data!$B$2:$B$218,[2]data!J$2:J$218)/100)</f>
        <v>0.19329489000000002</v>
      </c>
      <c r="O53">
        <f>[1]data!L54*(_xlfn.XLOOKUP([1]data!$C54,[2]data!$B$2:$B$218,[2]data!K$2:K$218)/100)</f>
        <v>0.23550955200000004</v>
      </c>
      <c r="P53">
        <f>[1]data!M54*(_xlfn.XLOOKUP([1]data!$C54,[2]data!$B$2:$B$218,[2]data!L$2:L$218)/100)</f>
        <v>0.29617937400000005</v>
      </c>
      <c r="Q53">
        <f>[1]data!N54*(_xlfn.XLOOKUP([1]data!$C54,[2]data!$B$2:$B$218,[2]data!M$2:M$218)/100)</f>
        <v>0.40192569899999991</v>
      </c>
      <c r="R53">
        <f>[1]data!O54*(_xlfn.XLOOKUP([1]data!$C54,[2]data!$B$2:$B$218,[2]data!N$2:N$218)/100)</f>
        <v>0.46335510000000008</v>
      </c>
      <c r="S53">
        <f>[1]data!P54*(_xlfn.XLOOKUP([1]data!$C54,[2]data!$B$2:$B$218,[2]data!O$2:O$218)/100)</f>
        <v>0.632416596</v>
      </c>
      <c r="T53">
        <f>[1]data!Q54*(_xlfn.XLOOKUP([1]data!$C54,[2]data!$B$2:$B$218,[2]data!P$2:P$218)/100)</f>
        <v>0.87041000599999996</v>
      </c>
      <c r="U53">
        <f>[1]data!R54*(_xlfn.XLOOKUP([1]data!$C54,[2]data!$B$2:$B$218,[2]data!Q$2:Q$218)/100)</f>
        <v>1.0958059200000001</v>
      </c>
      <c r="V53">
        <f>[1]data!S54*(_xlfn.XLOOKUP([1]data!$C54,[2]data!$B$2:$B$218,[2]data!R$2:R$218)/100)</f>
        <v>1.270737134</v>
      </c>
      <c r="W53">
        <f>[1]data!T54*(_xlfn.XLOOKUP([1]data!$C54,[2]data!$B$2:$B$218,[2]data!S$2:S$218)/100)</f>
        <v>1.455268276</v>
      </c>
      <c r="X53">
        <f>[1]data!U54*(_xlfn.XLOOKUP([1]data!$C54,[2]data!$B$2:$B$218,[2]data!T$2:T$218)/100)</f>
        <v>1.70946851009</v>
      </c>
      <c r="Y53">
        <f>[1]data!V54*(_xlfn.XLOOKUP([1]data!$C54,[2]data!$B$2:$B$218,[2]data!U$2:U$218)/100)</f>
        <v>1.9912575272999999</v>
      </c>
      <c r="Z53">
        <f>[1]data!W54*(_xlfn.XLOOKUP([1]data!$C54,[2]data!$B$2:$B$218,[2]data!V$2:V$218)/100)</f>
        <v>2.2874252744200052</v>
      </c>
      <c r="AA53">
        <f>[1]data!X54*(_xlfn.XLOOKUP([1]data!$C54,[2]data!$B$2:$B$218,[2]data!W$2:W$218)/100)</f>
        <v>2.5834598557399993</v>
      </c>
      <c r="AB53">
        <f>[1]data!Y54*(_xlfn.XLOOKUP([1]data!$C54,[2]data!$B$2:$B$218,[2]data!X$2:X$218)/100)</f>
        <v>2.86645873832</v>
      </c>
      <c r="AC53">
        <f>[1]data!Z54*(_xlfn.XLOOKUP([1]data!$C54,[2]data!$B$2:$B$218,[2]data!Y$2:Y$218)/100)</f>
        <v>3.1327549845800005</v>
      </c>
      <c r="AD53">
        <f>[1]data!AA54*(_xlfn.XLOOKUP([1]data!$C54,[2]data!$B$2:$B$218,[2]data!Z$2:Z$218)/100)</f>
        <v>3.3805919186000062</v>
      </c>
      <c r="AE53">
        <f>[1]data!AB54*(_xlfn.XLOOKUP([1]data!$C54,[2]data!$B$2:$B$218,[2]data!AA$2:AA$218)/100)</f>
        <v>3.6086848126400004</v>
      </c>
      <c r="AF53">
        <f>[1]data!AC54*(_xlfn.XLOOKUP([1]data!$C54,[2]data!$B$2:$B$218,[2]data!AB$2:AB$218)/100)</f>
        <v>3.8210699147400007</v>
      </c>
      <c r="AG53">
        <f>[1]data!AD54*(_xlfn.XLOOKUP([1]data!$C54,[2]data!$B$2:$B$218,[2]data!AC$2:AC$218)/100)</f>
        <v>4.0072691412000001</v>
      </c>
      <c r="AH53">
        <f>[1]data!AE54*(_xlfn.XLOOKUP([1]data!$C54,[2]data!$B$2:$B$218,[2]data!AD$2:AD$218)/100)</f>
        <v>4.1636018324999995</v>
      </c>
      <c r="AI53">
        <f>[1]data!AF54*(_xlfn.XLOOKUP([1]data!$C54,[2]data!$B$2:$B$218,[2]data!AE$2:AE$218)/100)</f>
        <v>4.2970770643799998</v>
      </c>
      <c r="AJ53">
        <f>[1]data!AG54*(_xlfn.XLOOKUP([1]data!$C54,[2]data!$B$2:$B$218,[2]data!AF$2:AF$218)/100)</f>
        <v>4.4126630499999999</v>
      </c>
      <c r="AK53">
        <f>[1]data!AH54*(_xlfn.XLOOKUP([1]data!$C54,[2]data!$B$2:$B$218,[2]data!AG$2:AG$218)/100)</f>
        <v>4.512594631529999</v>
      </c>
      <c r="AL53">
        <f>[1]data!AI54*(_xlfn.XLOOKUP([1]data!$C54,[2]data!$B$2:$B$218,[2]data!AH$2:AH$218)/100)</f>
        <v>4.5961097705599991</v>
      </c>
      <c r="AM53">
        <f>[1]data!AJ54*(_xlfn.XLOOKUP([1]data!$C54,[2]data!$B$2:$B$218,[2]data!AI$2:AI$218)/100)</f>
        <v>4.66551133888</v>
      </c>
    </row>
    <row r="54" spans="1:39" x14ac:dyDescent="0.25">
      <c r="A54" t="s">
        <v>30</v>
      </c>
      <c r="B54" t="s">
        <v>31</v>
      </c>
      <c r="C54" t="s">
        <v>85</v>
      </c>
      <c r="D54" t="e">
        <v>#N/A</v>
      </c>
      <c r="E54" t="e">
        <f>_xlfn.XLOOKUP(D54,[6]Feuil1!$C$2:$C$248,[6]Feuil1!$B$2:$B$248)</f>
        <v>#N/A</v>
      </c>
      <c r="F54" t="s">
        <v>33</v>
      </c>
      <c r="G54" t="s">
        <v>249</v>
      </c>
      <c r="H54" t="s">
        <v>34</v>
      </c>
      <c r="I54">
        <f>[1]data!F55*(_xlfn.XLOOKUP([1]data!$C55,[2]data!$B$2:$B$218,[2]data!E$2:E$218)/100)</f>
        <v>3.8350099999999998E-3</v>
      </c>
      <c r="J54">
        <f>[1]data!G55*(_xlfn.XLOOKUP([1]data!$C55,[2]data!$B$2:$B$218,[2]data!F$2:F$218)/100)</f>
        <v>6.1335420000000014E-3</v>
      </c>
      <c r="K54">
        <f>[1]data!H55*(_xlfn.XLOOKUP([1]data!$C55,[2]data!$B$2:$B$218,[2]data!G$2:G$218)/100)</f>
        <v>9.8279999999999999E-3</v>
      </c>
      <c r="L54">
        <f>[1]data!I55*(_xlfn.XLOOKUP([1]data!$C55,[2]data!$B$2:$B$218,[2]data!H$2:H$218)/100)</f>
        <v>1.7755376000000003E-2</v>
      </c>
      <c r="M54">
        <f>[1]data!J55*(_xlfn.XLOOKUP([1]data!$C55,[2]data!$B$2:$B$218,[2]data!I$2:I$218)/100)</f>
        <v>3.1073589000000002E-2</v>
      </c>
      <c r="N54">
        <f>[1]data!K55*(_xlfn.XLOOKUP([1]data!$C55,[2]data!$B$2:$B$218,[2]data!J$2:J$218)/100)</f>
        <v>4.4996874999999999E-2</v>
      </c>
      <c r="O54">
        <f>[1]data!L55*(_xlfn.XLOOKUP([1]data!$C55,[2]data!$B$2:$B$218,[2]data!K$2:K$218)/100)</f>
        <v>8.4490283999999999E-2</v>
      </c>
      <c r="P54">
        <f>[1]data!M55*(_xlfn.XLOOKUP([1]data!$C55,[2]data!$B$2:$B$218,[2]data!L$2:L$218)/100)</f>
        <v>0.12130773099999999</v>
      </c>
      <c r="Q54">
        <f>[1]data!N55*(_xlfn.XLOOKUP([1]data!$C55,[2]data!$B$2:$B$218,[2]data!M$2:M$218)/100)</f>
        <v>0.14765352900000001</v>
      </c>
      <c r="R54">
        <f>[1]data!O55*(_xlfn.XLOOKUP([1]data!$C55,[2]data!$B$2:$B$218,[2]data!N$2:N$218)/100)</f>
        <v>0.17366247000000001</v>
      </c>
      <c r="S54">
        <f>[1]data!P55*(_xlfn.XLOOKUP([1]data!$C55,[2]data!$B$2:$B$218,[2]data!O$2:O$218)/100)</f>
        <v>0.22625031000000001</v>
      </c>
      <c r="T54">
        <f>[1]data!Q55*(_xlfn.XLOOKUP([1]data!$C55,[2]data!$B$2:$B$218,[2]data!P$2:P$218)/100)</f>
        <v>0.28562664000000004</v>
      </c>
      <c r="U54">
        <f>[1]data!R55*(_xlfn.XLOOKUP([1]data!$C55,[2]data!$B$2:$B$218,[2]data!Q$2:Q$218)/100)</f>
        <v>0.34991543199999997</v>
      </c>
      <c r="V54">
        <f>[1]data!S55*(_xlfn.XLOOKUP([1]data!$C55,[2]data!$B$2:$B$218,[2]data!R$2:R$218)/100)</f>
        <v>0.41948434499999998</v>
      </c>
      <c r="W54">
        <f>[1]data!T55*(_xlfn.XLOOKUP([1]data!$C55,[2]data!$B$2:$B$218,[2]data!S$2:S$218)/100)</f>
        <v>0.478477188</v>
      </c>
      <c r="X54">
        <f>[1]data!U55*(_xlfn.XLOOKUP([1]data!$C55,[2]data!$B$2:$B$218,[2]data!T$2:T$218)/100)</f>
        <v>0.52412973047999922</v>
      </c>
      <c r="Y54">
        <f>[1]data!V55*(_xlfn.XLOOKUP([1]data!$C55,[2]data!$B$2:$B$218,[2]data!U$2:U$218)/100)</f>
        <v>0.56601977982000096</v>
      </c>
      <c r="Z54">
        <f>[1]data!W55*(_xlfn.XLOOKUP([1]data!$C55,[2]data!$B$2:$B$218,[2]data!V$2:V$218)/100)</f>
        <v>0.60480656255999909</v>
      </c>
      <c r="AA54">
        <f>[1]data!X55*(_xlfn.XLOOKUP([1]data!$C55,[2]data!$B$2:$B$218,[2]data!W$2:W$218)/100)</f>
        <v>0.64114707839999829</v>
      </c>
      <c r="AB54">
        <f>[1]data!Y55*(_xlfn.XLOOKUP([1]data!$C55,[2]data!$B$2:$B$218,[2]data!X$2:X$218)/100)</f>
        <v>0.6747102731900001</v>
      </c>
      <c r="AC54">
        <f>[1]data!Z55*(_xlfn.XLOOKUP([1]data!$C55,[2]data!$B$2:$B$218,[2]data!Y$2:Y$218)/100)</f>
        <v>0.70575065559999983</v>
      </c>
      <c r="AD54">
        <f>[1]data!AA55*(_xlfn.XLOOKUP([1]data!$C55,[2]data!$B$2:$B$218,[2]data!Z$2:Z$218)/100)</f>
        <v>0.73350830447999993</v>
      </c>
      <c r="AE54">
        <f>[1]data!AB55*(_xlfn.XLOOKUP([1]data!$C55,[2]data!$B$2:$B$218,[2]data!AA$2:AA$218)/100)</f>
        <v>0.75736809306000008</v>
      </c>
      <c r="AF54">
        <f>[1]data!AC55*(_xlfn.XLOOKUP([1]data!$C55,[2]data!$B$2:$B$218,[2]data!AB$2:AB$218)/100)</f>
        <v>0.77514326408999989</v>
      </c>
      <c r="AG54">
        <f>[1]data!AD55*(_xlfn.XLOOKUP([1]data!$C55,[2]data!$B$2:$B$218,[2]data!AC$2:AC$218)/100)</f>
        <v>0.78746237120000007</v>
      </c>
      <c r="AH54">
        <f>[1]data!AE55*(_xlfn.XLOOKUP([1]data!$C55,[2]data!$B$2:$B$218,[2]data!AD$2:AD$218)/100)</f>
        <v>0.79550017723999999</v>
      </c>
      <c r="AI54">
        <f>[1]data!AF55*(_xlfn.XLOOKUP([1]data!$C55,[2]data!$B$2:$B$218,[2]data!AE$2:AE$218)/100)</f>
        <v>0.80014550615999991</v>
      </c>
      <c r="AJ54">
        <f>[1]data!AG55*(_xlfn.XLOOKUP([1]data!$C55,[2]data!$B$2:$B$218,[2]data!AF$2:AF$218)/100)</f>
        <v>0.80121024368999993</v>
      </c>
      <c r="AK54">
        <f>[1]data!AH55*(_xlfn.XLOOKUP([1]data!$C55,[2]data!$B$2:$B$218,[2]data!AG$2:AG$218)/100)</f>
        <v>0.79791256439999902</v>
      </c>
      <c r="AL54">
        <f>[1]data!AI55*(_xlfn.XLOOKUP([1]data!$C55,[2]data!$B$2:$B$218,[2]data!AH$2:AH$218)/100)</f>
        <v>0.78945611419999995</v>
      </c>
      <c r="AM54">
        <f>[1]data!AJ55*(_xlfn.XLOOKUP([1]data!$C55,[2]data!$B$2:$B$218,[2]data!AI$2:AI$218)/100)</f>
        <v>0.77562252924999908</v>
      </c>
    </row>
    <row r="55" spans="1:39" x14ac:dyDescent="0.25">
      <c r="A55" t="s">
        <v>30</v>
      </c>
      <c r="B55" t="s">
        <v>31</v>
      </c>
      <c r="C55" t="s">
        <v>86</v>
      </c>
      <c r="D55" t="s">
        <v>326</v>
      </c>
      <c r="E55" t="str">
        <f>_xlfn.XLOOKUP(D55,[6]Feuil1!$C$2:$C$248,[6]Feuil1!$B$2:$B$248)</f>
        <v>ES</v>
      </c>
      <c r="F55" t="s">
        <v>33</v>
      </c>
      <c r="G55" t="str">
        <f>_xlfn.XLOOKUP(C55,[3]Sheet1!$B$2:$B$172,[3]Sheet1!$D$2:$D$172)</f>
        <v>Western Europe</v>
      </c>
      <c r="H55" t="s">
        <v>34</v>
      </c>
      <c r="I55">
        <f>[1]data!F56*(_xlfn.XLOOKUP([1]data!$C56,[2]data!$B$2:$B$218,[2]data!E$2:E$218)/100)</f>
        <v>14.540077197</v>
      </c>
      <c r="J55">
        <f>[1]data!G56*(_xlfn.XLOOKUP([1]data!$C56,[2]data!$B$2:$B$218,[2]data!F$2:F$218)/100)</f>
        <v>15.705471670000001</v>
      </c>
      <c r="K55">
        <f>[1]data!H56*(_xlfn.XLOOKUP([1]data!$C56,[2]data!$B$2:$B$218,[2]data!G$2:G$218)/100)</f>
        <v>17.147164704000001</v>
      </c>
      <c r="L55">
        <f>[1]data!I56*(_xlfn.XLOOKUP([1]data!$C56,[2]data!$B$2:$B$218,[2]data!H$2:H$218)/100)</f>
        <v>19.576494602</v>
      </c>
      <c r="M55">
        <f>[1]data!J56*(_xlfn.XLOOKUP([1]data!$C56,[2]data!$B$2:$B$218,[2]data!I$2:I$218)/100)</f>
        <v>22.201244340000002</v>
      </c>
      <c r="N55">
        <f>[1]data!K56*(_xlfn.XLOOKUP([1]data!$C56,[2]data!$B$2:$B$218,[2]data!J$2:J$218)/100)</f>
        <v>24.759212375999997</v>
      </c>
      <c r="O55">
        <f>[1]data!L56*(_xlfn.XLOOKUP([1]data!$C56,[2]data!$B$2:$B$218,[2]data!K$2:K$218)/100)</f>
        <v>27.185238079999998</v>
      </c>
      <c r="P55">
        <f>[1]data!M56*(_xlfn.XLOOKUP([1]data!$C56,[2]data!$B$2:$B$218,[2]data!L$2:L$218)/100)</f>
        <v>28.498961567999995</v>
      </c>
      <c r="Q55">
        <f>[1]data!N56*(_xlfn.XLOOKUP([1]data!$C56,[2]data!$B$2:$B$218,[2]data!M$2:M$218)/100)</f>
        <v>29.311130212000002</v>
      </c>
      <c r="R55">
        <f>[1]data!O56*(_xlfn.XLOOKUP([1]data!$C56,[2]data!$B$2:$B$218,[2]data!N$2:N$218)/100)</f>
        <v>30.149251506000002</v>
      </c>
      <c r="S55">
        <f>[1]data!P56*(_xlfn.XLOOKUP([1]data!$C56,[2]data!$B$2:$B$218,[2]data!O$2:O$218)/100)</f>
        <v>31.003526071</v>
      </c>
      <c r="T55">
        <f>[1]data!Q56*(_xlfn.XLOOKUP([1]data!$C56,[2]data!$B$2:$B$218,[2]data!P$2:P$218)/100)</f>
        <v>33.494699124</v>
      </c>
      <c r="U55">
        <f>[1]data!R56*(_xlfn.XLOOKUP([1]data!$C56,[2]data!$B$2:$B$218,[2]data!Q$2:Q$218)/100)</f>
        <v>36.446850720000008</v>
      </c>
      <c r="V55">
        <f>[1]data!S56*(_xlfn.XLOOKUP([1]data!$C56,[2]data!$B$2:$B$218,[2]data!R$2:R$218)/100)</f>
        <v>36.960745211999999</v>
      </c>
      <c r="W55">
        <f>[1]data!T56*(_xlfn.XLOOKUP([1]data!$C56,[2]data!$B$2:$B$218,[2]data!S$2:S$218)/100)</f>
        <v>38.242603639999999</v>
      </c>
      <c r="X55">
        <f>[1]data!U56*(_xlfn.XLOOKUP([1]data!$C56,[2]data!$B$2:$B$218,[2]data!T$2:T$218)/100)</f>
        <v>38.917397132140003</v>
      </c>
      <c r="Y55">
        <f>[1]data!V56*(_xlfn.XLOOKUP([1]data!$C56,[2]data!$B$2:$B$218,[2]data!U$2:U$218)/100)</f>
        <v>39.562889798050008</v>
      </c>
      <c r="Z55">
        <f>[1]data!W56*(_xlfn.XLOOKUP([1]data!$C56,[2]data!$B$2:$B$218,[2]data!V$2:V$218)/100)</f>
        <v>40.267750291950001</v>
      </c>
      <c r="AA55">
        <f>[1]data!X56*(_xlfn.XLOOKUP([1]data!$C56,[2]data!$B$2:$B$218,[2]data!W$2:W$218)/100)</f>
        <v>41.059741288000005</v>
      </c>
      <c r="AB55">
        <f>[1]data!Y56*(_xlfn.XLOOKUP([1]data!$C56,[2]data!$B$2:$B$218,[2]data!X$2:X$218)/100)</f>
        <v>41.920507085600001</v>
      </c>
      <c r="AC55">
        <f>[1]data!Z56*(_xlfn.XLOOKUP([1]data!$C56,[2]data!$B$2:$B$218,[2]data!Y$2:Y$218)/100)</f>
        <v>42.836486288579998</v>
      </c>
      <c r="AD55">
        <f>[1]data!AA56*(_xlfn.XLOOKUP([1]data!$C56,[2]data!$B$2:$B$218,[2]data!Z$2:Z$218)/100)</f>
        <v>43.537123464049913</v>
      </c>
      <c r="AE55">
        <f>[1]data!AB56*(_xlfn.XLOOKUP([1]data!$C56,[2]data!$B$2:$B$218,[2]data!AA$2:AA$218)/100)</f>
        <v>44.004234776250001</v>
      </c>
      <c r="AF55">
        <f>[1]data!AC56*(_xlfn.XLOOKUP([1]data!$C56,[2]data!$B$2:$B$218,[2]data!AB$2:AB$218)/100)</f>
        <v>44.220406261240001</v>
      </c>
      <c r="AG55">
        <f>[1]data!AD56*(_xlfn.XLOOKUP([1]data!$C56,[2]data!$B$2:$B$218,[2]data!AC$2:AC$218)/100)</f>
        <v>44.288783521919996</v>
      </c>
      <c r="AH55">
        <f>[1]data!AE56*(_xlfn.XLOOKUP([1]data!$C56,[2]data!$B$2:$B$218,[2]data!AD$2:AD$218)/100)</f>
        <v>44.311801305499998</v>
      </c>
      <c r="AI55">
        <f>[1]data!AF56*(_xlfn.XLOOKUP([1]data!$C56,[2]data!$B$2:$B$218,[2]data!AE$2:AE$218)/100)</f>
        <v>44.380780877219998</v>
      </c>
      <c r="AJ55">
        <f>[1]data!AG56*(_xlfn.XLOOKUP([1]data!$C56,[2]data!$B$2:$B$218,[2]data!AF$2:AF$218)/100)</f>
        <v>44.50648184736</v>
      </c>
      <c r="AK55">
        <f>[1]data!AH56*(_xlfn.XLOOKUP([1]data!$C56,[2]data!$B$2:$B$218,[2]data!AG$2:AG$218)/100)</f>
        <v>44.590382435360006</v>
      </c>
      <c r="AL55">
        <f>[1]data!AI56*(_xlfn.XLOOKUP([1]data!$C56,[2]data!$B$2:$B$218,[2]data!AH$2:AH$218)/100)</f>
        <v>44.517262330599998</v>
      </c>
      <c r="AM55">
        <f>[1]data!AJ56*(_xlfn.XLOOKUP([1]data!$C56,[2]data!$B$2:$B$218,[2]data!AI$2:AI$218)/100)</f>
        <v>44.222402606039999</v>
      </c>
    </row>
    <row r="56" spans="1:39" x14ac:dyDescent="0.25">
      <c r="A56" t="s">
        <v>30</v>
      </c>
      <c r="B56" t="s">
        <v>31</v>
      </c>
      <c r="C56" t="s">
        <v>87</v>
      </c>
      <c r="D56" t="s">
        <v>327</v>
      </c>
      <c r="E56" t="str">
        <f>_xlfn.XLOOKUP(D56,[6]Feuil1!$C$2:$C$248,[6]Feuil1!$B$2:$B$248)</f>
        <v>EE</v>
      </c>
      <c r="F56" t="s">
        <v>33</v>
      </c>
      <c r="G56" t="str">
        <f>_xlfn.XLOOKUP(C56,[3]Sheet1!$B$2:$B$172,[3]Sheet1!$D$2:$D$172)</f>
        <v>Central Europe</v>
      </c>
      <c r="H56" t="s">
        <v>34</v>
      </c>
      <c r="I56">
        <f>[1]data!F57*(_xlfn.XLOOKUP([1]data!$C57,[2]data!$B$2:$B$218,[2]data!E$2:E$218)/100)</f>
        <v>0.54413100700000006</v>
      </c>
      <c r="J56">
        <f>[1]data!G57*(_xlfn.XLOOKUP([1]data!$C57,[2]data!$B$2:$B$218,[2]data!F$2:F$218)/100)</f>
        <v>0.62289953600000003</v>
      </c>
      <c r="K56">
        <f>[1]data!H57*(_xlfn.XLOOKUP([1]data!$C57,[2]data!$B$2:$B$218,[2]data!G$2:G$218)/100)</f>
        <v>0.69606049999999997</v>
      </c>
      <c r="L56">
        <f>[1]data!I57*(_xlfn.XLOOKUP([1]data!$C57,[2]data!$B$2:$B$218,[2]data!H$2:H$218)/100)</f>
        <v>0.787712356</v>
      </c>
      <c r="M56">
        <f>[1]data!J57*(_xlfn.XLOOKUP([1]data!$C57,[2]data!$B$2:$B$218,[2]data!I$2:I$218)/100)</f>
        <v>0.87992458400000007</v>
      </c>
      <c r="N56">
        <f>[1]data!K57*(_xlfn.XLOOKUP([1]data!$C57,[2]data!$B$2:$B$218,[2]data!J$2:J$218)/100)</f>
        <v>0.95882285199999995</v>
      </c>
      <c r="O56">
        <f>[1]data!L57*(_xlfn.XLOOKUP([1]data!$C57,[2]data!$B$2:$B$218,[2]data!K$2:K$218)/100)</f>
        <v>1.0265771470000002</v>
      </c>
      <c r="P56">
        <f>[1]data!M57*(_xlfn.XLOOKUP([1]data!$C57,[2]data!$B$2:$B$218,[2]data!L$2:L$218)/100)</f>
        <v>1.0769720759999999</v>
      </c>
      <c r="Q56">
        <f>[1]data!N57*(_xlfn.XLOOKUP([1]data!$C57,[2]data!$B$2:$B$218,[2]data!M$2:M$218)/100)</f>
        <v>1.1183419600000002</v>
      </c>
      <c r="R56">
        <f>[1]data!O57*(_xlfn.XLOOKUP([1]data!$C57,[2]data!$B$2:$B$218,[2]data!N$2:N$218)/100)</f>
        <v>1.0283027049999998</v>
      </c>
      <c r="S56">
        <f>[1]data!P57*(_xlfn.XLOOKUP([1]data!$C57,[2]data!$B$2:$B$218,[2]data!O$2:O$218)/100)</f>
        <v>0.97240434600000014</v>
      </c>
      <c r="T56">
        <f>[1]data!Q57*(_xlfn.XLOOKUP([1]data!$C57,[2]data!$B$2:$B$218,[2]data!P$2:P$218)/100)</f>
        <v>0.93344407500000004</v>
      </c>
      <c r="U56">
        <f>[1]data!R57*(_xlfn.XLOOKUP([1]data!$C57,[2]data!$B$2:$B$218,[2]data!Q$2:Q$218)/100)</f>
        <v>0.90805221000000003</v>
      </c>
      <c r="V56">
        <f>[1]data!S57*(_xlfn.XLOOKUP([1]data!$C57,[2]data!$B$2:$B$218,[2]data!R$2:R$218)/100)</f>
        <v>0.89826642000000012</v>
      </c>
      <c r="W56">
        <f>[1]data!T57*(_xlfn.XLOOKUP([1]data!$C57,[2]data!$B$2:$B$218,[2]data!S$2:S$218)/100)</f>
        <v>0.91973097200000009</v>
      </c>
      <c r="X56">
        <f>[1]data!U57*(_xlfn.XLOOKUP([1]data!$C57,[2]data!$B$2:$B$218,[2]data!T$2:T$218)/100)</f>
        <v>0.95481501388000001</v>
      </c>
      <c r="Y56">
        <f>[1]data!V57*(_xlfn.XLOOKUP([1]data!$C57,[2]data!$B$2:$B$218,[2]data!U$2:U$218)/100)</f>
        <v>0.95046061039999985</v>
      </c>
      <c r="Z56">
        <f>[1]data!W57*(_xlfn.XLOOKUP([1]data!$C57,[2]data!$B$2:$B$218,[2]data!V$2:V$218)/100)</f>
        <v>0.94662478019999996</v>
      </c>
      <c r="AA56">
        <f>[1]data!X57*(_xlfn.XLOOKUP([1]data!$C57,[2]data!$B$2:$B$218,[2]data!W$2:W$218)/100)</f>
        <v>0.9451883875</v>
      </c>
      <c r="AB56">
        <f>[1]data!Y57*(_xlfn.XLOOKUP([1]data!$C57,[2]data!$B$2:$B$218,[2]data!X$2:X$218)/100)</f>
        <v>0.94641090548999984</v>
      </c>
      <c r="AC56">
        <f>[1]data!Z57*(_xlfn.XLOOKUP([1]data!$C57,[2]data!$B$2:$B$218,[2]data!Y$2:Y$218)/100)</f>
        <v>0.94880477355000004</v>
      </c>
      <c r="AD56">
        <f>[1]data!AA57*(_xlfn.XLOOKUP([1]data!$C57,[2]data!$B$2:$B$218,[2]data!Z$2:Z$218)/100)</f>
        <v>0.95003171640999995</v>
      </c>
      <c r="AE56">
        <f>[1]data!AB57*(_xlfn.XLOOKUP([1]data!$C57,[2]data!$B$2:$B$218,[2]data!AA$2:AA$218)/100)</f>
        <v>0.94945905215999993</v>
      </c>
      <c r="AF56">
        <f>[1]data!AC57*(_xlfn.XLOOKUP([1]data!$C57,[2]data!$B$2:$B$218,[2]data!AB$2:AB$218)/100)</f>
        <v>0.94707932784000004</v>
      </c>
      <c r="AG56">
        <f>[1]data!AD57*(_xlfn.XLOOKUP([1]data!$C57,[2]data!$B$2:$B$218,[2]data!AC$2:AC$218)/100)</f>
        <v>0.94348781323999908</v>
      </c>
      <c r="AH56">
        <f>[1]data!AE57*(_xlfn.XLOOKUP([1]data!$C57,[2]data!$B$2:$B$218,[2]data!AD$2:AD$218)/100)</f>
        <v>0.93931951856999985</v>
      </c>
      <c r="AI56">
        <f>[1]data!AF57*(_xlfn.XLOOKUP([1]data!$C57,[2]data!$B$2:$B$218,[2]data!AE$2:AE$218)/100)</f>
        <v>0.93475205604</v>
      </c>
      <c r="AJ56">
        <f>[1]data!AG57*(_xlfn.XLOOKUP([1]data!$C57,[2]data!$B$2:$B$218,[2]data!AF$2:AF$218)/100)</f>
        <v>0.93004500071999996</v>
      </c>
      <c r="AK56">
        <f>[1]data!AH57*(_xlfn.XLOOKUP([1]data!$C57,[2]data!$B$2:$B$218,[2]data!AG$2:AG$218)/100)</f>
        <v>0.92531105306000005</v>
      </c>
      <c r="AL56">
        <f>[1]data!AI57*(_xlfn.XLOOKUP([1]data!$C57,[2]data!$B$2:$B$218,[2]data!AH$2:AH$218)/100)</f>
        <v>0.92043968185000002</v>
      </c>
      <c r="AM56">
        <f>[1]data!AJ57*(_xlfn.XLOOKUP([1]data!$C57,[2]data!$B$2:$B$218,[2]data!AI$2:AI$218)/100)</f>
        <v>0.91428570774000018</v>
      </c>
    </row>
    <row r="57" spans="1:39" x14ac:dyDescent="0.25">
      <c r="A57" t="s">
        <v>30</v>
      </c>
      <c r="B57" t="s">
        <v>31</v>
      </c>
      <c r="C57" t="s">
        <v>88</v>
      </c>
      <c r="D57" t="s">
        <v>328</v>
      </c>
      <c r="E57" t="str">
        <f>_xlfn.XLOOKUP(D57,[6]Feuil1!$C$2:$C$248,[6]Feuil1!$B$2:$B$248)</f>
        <v>ET</v>
      </c>
      <c r="F57" t="s">
        <v>33</v>
      </c>
      <c r="G57" t="str">
        <f>_xlfn.XLOOKUP(C57,[3]Sheet1!$B$2:$B$172,[3]Sheet1!$D$2:$D$172)</f>
        <v>Eastern Africa</v>
      </c>
      <c r="H57" t="s">
        <v>34</v>
      </c>
      <c r="I57">
        <f>[1]data!F58*(_xlfn.XLOOKUP([1]data!$C58,[2]data!$B$2:$B$218,[2]data!E$2:E$218)/100)</f>
        <v>0.80576704999999993</v>
      </c>
      <c r="J57">
        <f>[1]data!G58*(_xlfn.XLOOKUP([1]data!$C58,[2]data!$B$2:$B$218,[2]data!F$2:F$218)/100)</f>
        <v>1.0527299460000001</v>
      </c>
      <c r="K57">
        <f>[1]data!H58*(_xlfn.XLOOKUP([1]data!$C58,[2]data!$B$2:$B$218,[2]data!G$2:G$218)/100)</f>
        <v>1.3745097600000002</v>
      </c>
      <c r="L57">
        <f>[1]data!I58*(_xlfn.XLOOKUP([1]data!$C58,[2]data!$B$2:$B$218,[2]data!H$2:H$218)/100)</f>
        <v>1.8538759799999998</v>
      </c>
      <c r="M57">
        <f>[1]data!J58*(_xlfn.XLOOKUP([1]data!$C58,[2]data!$B$2:$B$218,[2]data!I$2:I$218)/100)</f>
        <v>2.4005418219999997</v>
      </c>
      <c r="N57">
        <f>[1]data!K58*(_xlfn.XLOOKUP([1]data!$C58,[2]data!$B$2:$B$218,[2]data!J$2:J$218)/100)</f>
        <v>3.0281513150000001</v>
      </c>
      <c r="O57">
        <f>[1]data!L58*(_xlfn.XLOOKUP([1]data!$C58,[2]data!$B$2:$B$218,[2]data!K$2:K$218)/100)</f>
        <v>3.6291227440000005</v>
      </c>
      <c r="P57">
        <f>[1]data!M58*(_xlfn.XLOOKUP([1]data!$C58,[2]data!$B$2:$B$218,[2]data!L$2:L$218)/100)</f>
        <v>4.5678036800000008</v>
      </c>
      <c r="Q57">
        <f>[1]data!N58*(_xlfn.XLOOKUP([1]data!$C58,[2]data!$B$2:$B$218,[2]data!M$2:M$218)/100)</f>
        <v>5.9237672760000004</v>
      </c>
      <c r="R57">
        <f>[1]data!O58*(_xlfn.XLOOKUP([1]data!$C58,[2]data!$B$2:$B$218,[2]data!N$2:N$218)/100)</f>
        <v>7.8035475480000018</v>
      </c>
      <c r="S57">
        <f>[1]data!P58*(_xlfn.XLOOKUP([1]data!$C58,[2]data!$B$2:$B$218,[2]data!O$2:O$218)/100)</f>
        <v>9.7107406199999993</v>
      </c>
      <c r="T57">
        <f>[1]data!Q58*(_xlfn.XLOOKUP([1]data!$C58,[2]data!$B$2:$B$218,[2]data!P$2:P$218)/100)</f>
        <v>11.991222441000001</v>
      </c>
      <c r="U57">
        <f>[1]data!R58*(_xlfn.XLOOKUP([1]data!$C58,[2]data!$B$2:$B$218,[2]data!Q$2:Q$218)/100)</f>
        <v>15.218792354000001</v>
      </c>
      <c r="V57">
        <f>[1]data!S58*(_xlfn.XLOOKUP([1]data!$C58,[2]data!$B$2:$B$218,[2]data!R$2:R$218)/100)</f>
        <v>19.612853695999998</v>
      </c>
      <c r="W57">
        <f>[1]data!T58*(_xlfn.XLOOKUP([1]data!$C58,[2]data!$B$2:$B$218,[2]data!S$2:S$218)/100)</f>
        <v>25.093522818</v>
      </c>
      <c r="X57">
        <f>[1]data!U58*(_xlfn.XLOOKUP([1]data!$C58,[2]data!$B$2:$B$218,[2]data!T$2:T$218)/100)</f>
        <v>31.15291465728</v>
      </c>
      <c r="Y57">
        <f>[1]data!V58*(_xlfn.XLOOKUP([1]data!$C58,[2]data!$B$2:$B$218,[2]data!U$2:U$218)/100)</f>
        <v>38.178396758150001</v>
      </c>
      <c r="Z57">
        <f>[1]data!W58*(_xlfn.XLOOKUP([1]data!$C58,[2]data!$B$2:$B$218,[2]data!V$2:V$218)/100)</f>
        <v>46.089797269559995</v>
      </c>
      <c r="AA57">
        <f>[1]data!X58*(_xlfn.XLOOKUP([1]data!$C58,[2]data!$B$2:$B$218,[2]data!W$2:W$218)/100)</f>
        <v>54.793920744360001</v>
      </c>
      <c r="AB57">
        <f>[1]data!Y58*(_xlfn.XLOOKUP([1]data!$C58,[2]data!$B$2:$B$218,[2]data!X$2:X$218)/100)</f>
        <v>64.207421231799998</v>
      </c>
      <c r="AC57">
        <f>[1]data!Z58*(_xlfn.XLOOKUP([1]data!$C58,[2]data!$B$2:$B$218,[2]data!Y$2:Y$218)/100)</f>
        <v>74.284084527120001</v>
      </c>
      <c r="AD57">
        <f>[1]data!AA58*(_xlfn.XLOOKUP([1]data!$C58,[2]data!$B$2:$B$218,[2]data!Z$2:Z$218)/100)</f>
        <v>84.889589034470006</v>
      </c>
      <c r="AE57">
        <f>[1]data!AB58*(_xlfn.XLOOKUP([1]data!$C58,[2]data!$B$2:$B$218,[2]data!AA$2:AA$218)/100)</f>
        <v>95.86352463930001</v>
      </c>
      <c r="AF57">
        <f>[1]data!AC58*(_xlfn.XLOOKUP([1]data!$C58,[2]data!$B$2:$B$218,[2]data!AB$2:AB$218)/100)</f>
        <v>106.78642809033002</v>
      </c>
      <c r="AG57">
        <f>[1]data!AD58*(_xlfn.XLOOKUP([1]data!$C58,[2]data!$B$2:$B$218,[2]data!AC$2:AC$218)/100)</f>
        <v>117.47773627704001</v>
      </c>
      <c r="AH57">
        <f>[1]data!AE58*(_xlfn.XLOOKUP([1]data!$C58,[2]data!$B$2:$B$218,[2]data!AD$2:AD$218)/100)</f>
        <v>127.58305775666</v>
      </c>
      <c r="AI57">
        <f>[1]data!AF58*(_xlfn.XLOOKUP([1]data!$C58,[2]data!$B$2:$B$218,[2]data!AE$2:AE$218)/100)</f>
        <v>137.01103724414</v>
      </c>
      <c r="AJ57">
        <f>[1]data!AG58*(_xlfn.XLOOKUP([1]data!$C58,[2]data!$B$2:$B$218,[2]data!AF$2:AF$218)/100)</f>
        <v>145.84596310384001</v>
      </c>
      <c r="AK57">
        <f>[1]data!AH58*(_xlfn.XLOOKUP([1]data!$C58,[2]data!$B$2:$B$218,[2]data!AG$2:AG$218)/100)</f>
        <v>154.0547322198</v>
      </c>
      <c r="AL57">
        <f>[1]data!AI58*(_xlfn.XLOOKUP([1]data!$C58,[2]data!$B$2:$B$218,[2]data!AH$2:AH$218)/100)</f>
        <v>161.50661965490002</v>
      </c>
      <c r="AM57">
        <f>[1]data!AJ58*(_xlfn.XLOOKUP([1]data!$C58,[2]data!$B$2:$B$218,[2]data!AI$2:AI$218)/100)</f>
        <v>168.10017005499938</v>
      </c>
    </row>
    <row r="58" spans="1:39" x14ac:dyDescent="0.25">
      <c r="A58" t="s">
        <v>30</v>
      </c>
      <c r="B58" t="s">
        <v>31</v>
      </c>
      <c r="C58" t="s">
        <v>89</v>
      </c>
      <c r="D58" t="s">
        <v>329</v>
      </c>
      <c r="E58" t="str">
        <f>_xlfn.XLOOKUP(D58,[6]Feuil1!$C$2:$C$248,[6]Feuil1!$B$2:$B$248)</f>
        <v>FI</v>
      </c>
      <c r="F58" t="s">
        <v>33</v>
      </c>
      <c r="G58" t="str">
        <f>_xlfn.XLOOKUP(C58,[3]Sheet1!$B$2:$B$172,[3]Sheet1!$D$2:$D$172)</f>
        <v>Western Europe</v>
      </c>
      <c r="H58" t="s">
        <v>34</v>
      </c>
      <c r="I58">
        <f>[1]data!F59*(_xlfn.XLOOKUP([1]data!$C59,[2]data!$B$2:$B$218,[2]data!E$2:E$218)/100)</f>
        <v>1.7142509000000001</v>
      </c>
      <c r="J58">
        <f>[1]data!G59*(_xlfn.XLOOKUP([1]data!$C59,[2]data!$B$2:$B$218,[2]data!F$2:F$218)/100)</f>
        <v>2.0679481370000001</v>
      </c>
      <c r="K58">
        <f>[1]data!H59*(_xlfn.XLOOKUP([1]data!$C59,[2]data!$B$2:$B$218,[2]data!G$2:G$218)/100)</f>
        <v>2.4407434729999999</v>
      </c>
      <c r="L58">
        <f>[1]data!I59*(_xlfn.XLOOKUP([1]data!$C59,[2]data!$B$2:$B$218,[2]data!H$2:H$218)/100)</f>
        <v>2.7214268879999999</v>
      </c>
      <c r="M58">
        <f>[1]data!J59*(_xlfn.XLOOKUP([1]data!$C59,[2]data!$B$2:$B$218,[2]data!I$2:I$218)/100)</f>
        <v>2.9394549730000006</v>
      </c>
      <c r="N58">
        <f>[1]data!K59*(_xlfn.XLOOKUP([1]data!$C59,[2]data!$B$2:$B$218,[2]data!J$2:J$218)/100)</f>
        <v>3.1881919439999997</v>
      </c>
      <c r="O58">
        <f>[1]data!L59*(_xlfn.XLOOKUP([1]data!$C59,[2]data!$B$2:$B$218,[2]data!K$2:K$218)/100)</f>
        <v>3.4209245880000001</v>
      </c>
      <c r="P58">
        <f>[1]data!M59*(_xlfn.XLOOKUP([1]data!$C59,[2]data!$B$2:$B$218,[2]data!L$2:L$218)/100)</f>
        <v>3.7094185359999998</v>
      </c>
      <c r="Q58">
        <f>[1]data!N59*(_xlfn.XLOOKUP([1]data!$C59,[2]data!$B$2:$B$218,[2]data!M$2:M$218)/100)</f>
        <v>3.9497466480000005</v>
      </c>
      <c r="R58">
        <f>[1]data!O59*(_xlfn.XLOOKUP([1]data!$C59,[2]data!$B$2:$B$218,[2]data!N$2:N$218)/100)</f>
        <v>4.13011062</v>
      </c>
      <c r="S58">
        <f>[1]data!P59*(_xlfn.XLOOKUP([1]data!$C59,[2]data!$B$2:$B$218,[2]data!O$2:O$218)/100)</f>
        <v>4.2508291499999995</v>
      </c>
      <c r="T58">
        <f>[1]data!Q59*(_xlfn.XLOOKUP([1]data!$C59,[2]data!$B$2:$B$218,[2]data!P$2:P$218)/100)</f>
        <v>4.3411273069999998</v>
      </c>
      <c r="U58">
        <f>[1]data!R59*(_xlfn.XLOOKUP([1]data!$C59,[2]data!$B$2:$B$218,[2]data!Q$2:Q$218)/100)</f>
        <v>4.4844438699999998</v>
      </c>
      <c r="V58">
        <f>[1]data!S59*(_xlfn.XLOOKUP([1]data!$C59,[2]data!$B$2:$B$218,[2]data!R$2:R$218)/100)</f>
        <v>4.6618875480000002</v>
      </c>
      <c r="W58">
        <f>[1]data!T59*(_xlfn.XLOOKUP([1]data!$C59,[2]data!$B$2:$B$218,[2]data!S$2:S$218)/100)</f>
        <v>4.7240571149999999</v>
      </c>
      <c r="X58">
        <f>[1]data!U59*(_xlfn.XLOOKUP([1]data!$C59,[2]data!$B$2:$B$218,[2]data!T$2:T$218)/100)</f>
        <v>4.8065154700300008</v>
      </c>
      <c r="Y58">
        <f>[1]data!V59*(_xlfn.XLOOKUP([1]data!$C59,[2]data!$B$2:$B$218,[2]data!U$2:U$218)/100)</f>
        <v>4.8488385254399997</v>
      </c>
      <c r="Z58">
        <f>[1]data!W59*(_xlfn.XLOOKUP([1]data!$C59,[2]data!$B$2:$B$218,[2]data!V$2:V$218)/100)</f>
        <v>4.8841186785600001</v>
      </c>
      <c r="AA58">
        <f>[1]data!X59*(_xlfn.XLOOKUP([1]data!$C59,[2]data!$B$2:$B$218,[2]data!W$2:W$218)/100)</f>
        <v>4.9155707442400001</v>
      </c>
      <c r="AB58">
        <f>[1]data!Y59*(_xlfn.XLOOKUP([1]data!$C59,[2]data!$B$2:$B$218,[2]data!X$2:X$218)/100)</f>
        <v>4.9465363356000003</v>
      </c>
      <c r="AC58">
        <f>[1]data!Z59*(_xlfn.XLOOKUP([1]data!$C59,[2]data!$B$2:$B$218,[2]data!Y$2:Y$218)/100)</f>
        <v>4.9879595529400005</v>
      </c>
      <c r="AD58">
        <f>[1]data!AA59*(_xlfn.XLOOKUP([1]data!$C59,[2]data!$B$2:$B$218,[2]data!Z$2:Z$218)/100)</f>
        <v>5.0173586767499998</v>
      </c>
      <c r="AE58">
        <f>[1]data!AB59*(_xlfn.XLOOKUP([1]data!$C59,[2]data!$B$2:$B$218,[2]data!AA$2:AA$218)/100)</f>
        <v>5.04546639428</v>
      </c>
      <c r="AF58">
        <f>[1]data!AC59*(_xlfn.XLOOKUP([1]data!$C59,[2]data!$B$2:$B$218,[2]data!AB$2:AB$218)/100)</f>
        <v>5.0782823020800096</v>
      </c>
      <c r="AG58">
        <f>[1]data!AD59*(_xlfn.XLOOKUP([1]data!$C59,[2]data!$B$2:$B$218,[2]data!AC$2:AC$218)/100)</f>
        <v>5.1167741226300008</v>
      </c>
      <c r="AH58">
        <f>[1]data!AE59*(_xlfn.XLOOKUP([1]data!$C59,[2]data!$B$2:$B$218,[2]data!AD$2:AD$218)/100)</f>
        <v>5.1522731054499991</v>
      </c>
      <c r="AI58">
        <f>[1]data!AF59*(_xlfn.XLOOKUP([1]data!$C59,[2]data!$B$2:$B$218,[2]data!AE$2:AE$218)/100)</f>
        <v>5.1764073251999996</v>
      </c>
      <c r="AJ58">
        <f>[1]data!AG59*(_xlfn.XLOOKUP([1]data!$C59,[2]data!$B$2:$B$218,[2]data!AF$2:AF$218)/100)</f>
        <v>5.1871205275200003</v>
      </c>
      <c r="AK58">
        <f>[1]data!AH59*(_xlfn.XLOOKUP([1]data!$C59,[2]data!$B$2:$B$218,[2]data!AG$2:AG$218)/100)</f>
        <v>5.186701986690001</v>
      </c>
      <c r="AL58">
        <f>[1]data!AI59*(_xlfn.XLOOKUP([1]data!$C59,[2]data!$B$2:$B$218,[2]data!AH$2:AH$218)/100)</f>
        <v>5.1816560744699993</v>
      </c>
      <c r="AM58">
        <f>[1]data!AJ59*(_xlfn.XLOOKUP([1]data!$C59,[2]data!$B$2:$B$218,[2]data!AI$2:AI$218)/100)</f>
        <v>5.1765093211000002</v>
      </c>
    </row>
    <row r="59" spans="1:39" x14ac:dyDescent="0.25">
      <c r="A59" t="s">
        <v>30</v>
      </c>
      <c r="B59" t="s">
        <v>31</v>
      </c>
      <c r="C59" t="s">
        <v>90</v>
      </c>
      <c r="D59" t="s">
        <v>330</v>
      </c>
      <c r="E59" t="str">
        <f>_xlfn.XLOOKUP(D59,[6]Feuil1!$C$2:$C$248,[6]Feuil1!$B$2:$B$248)</f>
        <v>FJ</v>
      </c>
      <c r="F59" t="s">
        <v>33</v>
      </c>
      <c r="G59" t="str">
        <f>_xlfn.XLOOKUP(C59,[3]Sheet1!$B$2:$B$172,[3]Sheet1!$D$2:$D$172)</f>
        <v>Oceania</v>
      </c>
      <c r="H59" t="s">
        <v>34</v>
      </c>
      <c r="I59">
        <f>[1]data!F60*(_xlfn.XLOOKUP([1]data!$C60,[2]data!$B$2:$B$218,[2]data!E$2:E$218)/100)</f>
        <v>7.4754524000000003E-2</v>
      </c>
      <c r="J59">
        <f>[1]data!G60*(_xlfn.XLOOKUP([1]data!$C60,[2]data!$B$2:$B$218,[2]data!F$2:F$218)/100)</f>
        <v>9.1110568999999988E-2</v>
      </c>
      <c r="K59">
        <f>[1]data!H60*(_xlfn.XLOOKUP([1]data!$C60,[2]data!$B$2:$B$218,[2]data!G$2:G$218)/100)</f>
        <v>0.117469737</v>
      </c>
      <c r="L59">
        <f>[1]data!I60*(_xlfn.XLOOKUP([1]data!$C60,[2]data!$B$2:$B$218,[2]data!H$2:H$218)/100)</f>
        <v>0.150658292</v>
      </c>
      <c r="M59">
        <f>[1]data!J60*(_xlfn.XLOOKUP([1]data!$C60,[2]data!$B$2:$B$218,[2]data!I$2:I$218)/100)</f>
        <v>0.18178615199999998</v>
      </c>
      <c r="N59">
        <f>[1]data!K60*(_xlfn.XLOOKUP([1]data!$C60,[2]data!$B$2:$B$218,[2]data!J$2:J$218)/100)</f>
        <v>0.20949571100000003</v>
      </c>
      <c r="O59">
        <f>[1]data!L60*(_xlfn.XLOOKUP([1]data!$C60,[2]data!$B$2:$B$218,[2]data!K$2:K$218)/100)</f>
        <v>0.24064878599999998</v>
      </c>
      <c r="P59">
        <f>[1]data!M60*(_xlfn.XLOOKUP([1]data!$C60,[2]data!$B$2:$B$218,[2]data!L$2:L$218)/100)</f>
        <v>0.276867745</v>
      </c>
      <c r="Q59">
        <f>[1]data!N60*(_xlfn.XLOOKUP([1]data!$C60,[2]data!$B$2:$B$218,[2]data!M$2:M$218)/100)</f>
        <v>0.32310470400000002</v>
      </c>
      <c r="R59">
        <f>[1]data!O60*(_xlfn.XLOOKUP([1]data!$C60,[2]data!$B$2:$B$218,[2]data!N$2:N$218)/100)</f>
        <v>0.36010019500000001</v>
      </c>
      <c r="S59">
        <f>[1]data!P60*(_xlfn.XLOOKUP([1]data!$C60,[2]data!$B$2:$B$218,[2]data!O$2:O$218)/100)</f>
        <v>0.39664936199999995</v>
      </c>
      <c r="T59">
        <f>[1]data!Q60*(_xlfn.XLOOKUP([1]data!$C60,[2]data!$B$2:$B$218,[2]data!P$2:P$218)/100)</f>
        <v>0.43455914000000007</v>
      </c>
      <c r="U59">
        <f>[1]data!R60*(_xlfn.XLOOKUP([1]data!$C60,[2]data!$B$2:$B$218,[2]data!Q$2:Q$218)/100)</f>
        <v>0.47158576200000002</v>
      </c>
      <c r="V59">
        <f>[1]data!S60*(_xlfn.XLOOKUP([1]data!$C60,[2]data!$B$2:$B$218,[2]data!R$2:R$218)/100)</f>
        <v>0.50134792700000008</v>
      </c>
      <c r="W59">
        <f>[1]data!T60*(_xlfn.XLOOKUP([1]data!$C60,[2]data!$B$2:$B$218,[2]data!S$2:S$218)/100)</f>
        <v>0.52514747999999956</v>
      </c>
      <c r="X59">
        <f>[1]data!U60*(_xlfn.XLOOKUP([1]data!$C60,[2]data!$B$2:$B$218,[2]data!T$2:T$218)/100)</f>
        <v>0.56207609870999942</v>
      </c>
      <c r="Y59">
        <f>[1]data!V60*(_xlfn.XLOOKUP([1]data!$C60,[2]data!$B$2:$B$218,[2]data!U$2:U$218)/100)</f>
        <v>0.59463401149999995</v>
      </c>
      <c r="Z59">
        <f>[1]data!W60*(_xlfn.XLOOKUP([1]data!$C60,[2]data!$B$2:$B$218,[2]data!V$2:V$218)/100)</f>
        <v>0.6221043807999993</v>
      </c>
      <c r="AA59">
        <f>[1]data!X60*(_xlfn.XLOOKUP([1]data!$C60,[2]data!$B$2:$B$218,[2]data!W$2:W$218)/100)</f>
        <v>0.64474860943999934</v>
      </c>
      <c r="AB59">
        <f>[1]data!Y60*(_xlfn.XLOOKUP([1]data!$C60,[2]data!$B$2:$B$218,[2]data!X$2:X$218)/100)</f>
        <v>0.66186166843999994</v>
      </c>
      <c r="AC59">
        <f>[1]data!Z60*(_xlfn.XLOOKUP([1]data!$C60,[2]data!$B$2:$B$218,[2]data!Y$2:Y$218)/100)</f>
        <v>0.67351875587999943</v>
      </c>
      <c r="AD59">
        <f>[1]data!AA60*(_xlfn.XLOOKUP([1]data!$C60,[2]data!$B$2:$B$218,[2]data!Z$2:Z$218)/100)</f>
        <v>0.68114445723000006</v>
      </c>
      <c r="AE59">
        <f>[1]data!AB60*(_xlfn.XLOOKUP([1]data!$C60,[2]data!$B$2:$B$218,[2]data!AA$2:AA$218)/100)</f>
        <v>0.68510975200000013</v>
      </c>
      <c r="AF59">
        <f>[1]data!AC60*(_xlfn.XLOOKUP([1]data!$C60,[2]data!$B$2:$B$218,[2]data!AB$2:AB$218)/100)</f>
        <v>0.68755389273</v>
      </c>
      <c r="AG59">
        <f>[1]data!AD60*(_xlfn.XLOOKUP([1]data!$C60,[2]data!$B$2:$B$218,[2]data!AC$2:AC$218)/100)</f>
        <v>0.68804358809999933</v>
      </c>
      <c r="AH59">
        <f>[1]data!AE60*(_xlfn.XLOOKUP([1]data!$C60,[2]data!$B$2:$B$218,[2]data!AD$2:AD$218)/100)</f>
        <v>0.68723176312000001</v>
      </c>
      <c r="AI59">
        <f>[1]data!AF60*(_xlfn.XLOOKUP([1]data!$C60,[2]data!$B$2:$B$218,[2]data!AE$2:AE$218)/100)</f>
        <v>0.68624530875</v>
      </c>
      <c r="AJ59">
        <f>[1]data!AG60*(_xlfn.XLOOKUP([1]data!$C60,[2]data!$B$2:$B$218,[2]data!AF$2:AF$218)/100)</f>
        <v>0.68510252755999923</v>
      </c>
      <c r="AK59">
        <f>[1]data!AH60*(_xlfn.XLOOKUP([1]data!$C60,[2]data!$B$2:$B$218,[2]data!AG$2:AG$218)/100)</f>
        <v>0.68445664763999925</v>
      </c>
      <c r="AL59">
        <f>[1]data!AI60*(_xlfn.XLOOKUP([1]data!$C60,[2]data!$B$2:$B$218,[2]data!AH$2:AH$218)/100)</f>
        <v>0.68391932481000006</v>
      </c>
      <c r="AM59">
        <f>[1]data!AJ60*(_xlfn.XLOOKUP([1]data!$C60,[2]data!$B$2:$B$218,[2]data!AI$2:AI$218)/100)</f>
        <v>0.68379997531999837</v>
      </c>
    </row>
    <row r="60" spans="1:39" x14ac:dyDescent="0.25">
      <c r="A60" t="s">
        <v>30</v>
      </c>
      <c r="B60" t="s">
        <v>31</v>
      </c>
      <c r="C60" t="s">
        <v>91</v>
      </c>
      <c r="D60" t="s">
        <v>331</v>
      </c>
      <c r="E60" t="str">
        <f>_xlfn.XLOOKUP(D60,[6]Feuil1!$C$2:$C$248,[6]Feuil1!$B$2:$B$248)</f>
        <v>FR</v>
      </c>
      <c r="F60" t="s">
        <v>33</v>
      </c>
      <c r="G60" t="str">
        <f>_xlfn.XLOOKUP(C60,[3]Sheet1!$B$2:$B$172,[3]Sheet1!$D$2:$D$172)</f>
        <v>Western Europe</v>
      </c>
      <c r="H60" t="s">
        <v>34</v>
      </c>
      <c r="I60">
        <f>[1]data!F61*(_xlfn.XLOOKUP([1]data!$C61,[2]data!$B$2:$B$218,[2]data!E$2:E$218)/100)</f>
        <v>22.991680991999999</v>
      </c>
      <c r="J60">
        <f>[1]data!G61*(_xlfn.XLOOKUP([1]data!$C61,[2]data!$B$2:$B$218,[2]data!F$2:F$218)/100)</f>
        <v>25.264208526000001</v>
      </c>
      <c r="K60">
        <f>[1]data!H61*(_xlfn.XLOOKUP([1]data!$C61,[2]data!$B$2:$B$218,[2]data!G$2:G$218)/100)</f>
        <v>28.121870089000002</v>
      </c>
      <c r="L60">
        <f>[1]data!I61*(_xlfn.XLOOKUP([1]data!$C61,[2]data!$B$2:$B$218,[2]data!H$2:H$218)/100)</f>
        <v>32.150124237</v>
      </c>
      <c r="M60">
        <f>[1]data!J61*(_xlfn.XLOOKUP([1]data!$C61,[2]data!$B$2:$B$218,[2]data!I$2:I$218)/100)</f>
        <v>35.763334839000002</v>
      </c>
      <c r="N60">
        <f>[1]data!K61*(_xlfn.XLOOKUP([1]data!$C61,[2]data!$B$2:$B$218,[2]data!J$2:J$218)/100)</f>
        <v>38.145220974000004</v>
      </c>
      <c r="O60">
        <f>[1]data!L61*(_xlfn.XLOOKUP([1]data!$C61,[2]data!$B$2:$B$218,[2]data!K$2:K$218)/100)</f>
        <v>39.260910815999999</v>
      </c>
      <c r="P60">
        <f>[1]data!M61*(_xlfn.XLOOKUP([1]data!$C61,[2]data!$B$2:$B$218,[2]data!L$2:L$218)/100)</f>
        <v>40.519304111000004</v>
      </c>
      <c r="Q60">
        <f>[1]data!N61*(_xlfn.XLOOKUP([1]data!$C61,[2]data!$B$2:$B$218,[2]data!M$2:M$218)/100)</f>
        <v>41.714042954999996</v>
      </c>
      <c r="R60">
        <f>[1]data!O61*(_xlfn.XLOOKUP([1]data!$C61,[2]data!$B$2:$B$218,[2]data!N$2:N$218)/100)</f>
        <v>42.934080630000011</v>
      </c>
      <c r="S60">
        <f>[1]data!P61*(_xlfn.XLOOKUP([1]data!$C61,[2]data!$B$2:$B$218,[2]data!O$2:O$218)/100)</f>
        <v>44.397656424000004</v>
      </c>
      <c r="T60">
        <f>[1]data!Q61*(_xlfn.XLOOKUP([1]data!$C61,[2]data!$B$2:$B$218,[2]data!P$2:P$218)/100)</f>
        <v>46.500821849999994</v>
      </c>
      <c r="U60">
        <f>[1]data!R61*(_xlfn.XLOOKUP([1]data!$C61,[2]data!$B$2:$B$218,[2]data!Q$2:Q$218)/100)</f>
        <v>48.821901856000004</v>
      </c>
      <c r="V60">
        <f>[1]data!S61*(_xlfn.XLOOKUP([1]data!$C61,[2]data!$B$2:$B$218,[2]data!R$2:R$218)/100)</f>
        <v>50.781027152000007</v>
      </c>
      <c r="W60">
        <f>[1]data!T61*(_xlfn.XLOOKUP([1]data!$C61,[2]data!$B$2:$B$218,[2]data!S$2:S$218)/100)</f>
        <v>52.21078155</v>
      </c>
      <c r="X60">
        <f>[1]data!U61*(_xlfn.XLOOKUP([1]data!$C61,[2]data!$B$2:$B$218,[2]data!T$2:T$218)/100)</f>
        <v>53.359459799429999</v>
      </c>
      <c r="Y60">
        <f>[1]data!V61*(_xlfn.XLOOKUP([1]data!$C61,[2]data!$B$2:$B$218,[2]data!U$2:U$218)/100)</f>
        <v>54.54614561773009</v>
      </c>
      <c r="Z60">
        <f>[1]data!W61*(_xlfn.XLOOKUP([1]data!$C61,[2]data!$B$2:$B$218,[2]data!V$2:V$218)/100)</f>
        <v>55.825990048080001</v>
      </c>
      <c r="AA60">
        <f>[1]data!X61*(_xlfn.XLOOKUP([1]data!$C61,[2]data!$B$2:$B$218,[2]data!W$2:W$218)/100)</f>
        <v>57.154468441440009</v>
      </c>
      <c r="AB60">
        <f>[1]data!Y61*(_xlfn.XLOOKUP([1]data!$C61,[2]data!$B$2:$B$218,[2]data!X$2:X$218)/100)</f>
        <v>58.427350062960002</v>
      </c>
      <c r="AC60">
        <f>[1]data!Z61*(_xlfn.XLOOKUP([1]data!$C61,[2]data!$B$2:$B$218,[2]data!Y$2:Y$218)/100)</f>
        <v>59.617558619250005</v>
      </c>
      <c r="AD60">
        <f>[1]data!AA61*(_xlfn.XLOOKUP([1]data!$C61,[2]data!$B$2:$B$218,[2]data!Z$2:Z$218)/100)</f>
        <v>60.71037628788001</v>
      </c>
      <c r="AE60">
        <f>[1]data!AB61*(_xlfn.XLOOKUP([1]data!$C61,[2]data!$B$2:$B$218,[2]data!AA$2:AA$218)/100)</f>
        <v>61.774445520900095</v>
      </c>
      <c r="AF60">
        <f>[1]data!AC61*(_xlfn.XLOOKUP([1]data!$C61,[2]data!$B$2:$B$218,[2]data!AB$2:AB$218)/100)</f>
        <v>62.826898656159919</v>
      </c>
      <c r="AG60">
        <f>[1]data!AD61*(_xlfn.XLOOKUP([1]data!$C61,[2]data!$B$2:$B$218,[2]data!AC$2:AC$218)/100)</f>
        <v>63.878809825439994</v>
      </c>
      <c r="AH60">
        <f>[1]data!AE61*(_xlfn.XLOOKUP([1]data!$C61,[2]data!$B$2:$B$218,[2]data!AD$2:AD$218)/100)</f>
        <v>64.942004503560085</v>
      </c>
      <c r="AI60">
        <f>[1]data!AF61*(_xlfn.XLOOKUP([1]data!$C61,[2]data!$B$2:$B$218,[2]data!AE$2:AE$218)/100)</f>
        <v>65.98730577565</v>
      </c>
      <c r="AJ60">
        <f>[1]data!AG61*(_xlfn.XLOOKUP([1]data!$C61,[2]data!$B$2:$B$218,[2]data!AF$2:AF$218)/100)</f>
        <v>66.959556252660008</v>
      </c>
      <c r="AK60">
        <f>[1]data!AH61*(_xlfn.XLOOKUP([1]data!$C61,[2]data!$B$2:$B$218,[2]data!AG$2:AG$218)/100)</f>
        <v>67.845808120050094</v>
      </c>
      <c r="AL60">
        <f>[1]data!AI61*(_xlfn.XLOOKUP([1]data!$C61,[2]data!$B$2:$B$218,[2]data!AH$2:AH$218)/100)</f>
        <v>68.639042956199916</v>
      </c>
      <c r="AM60">
        <f>[1]data!AJ61*(_xlfn.XLOOKUP([1]data!$C61,[2]data!$B$2:$B$218,[2]data!AI$2:AI$218)/100)</f>
        <v>69.280751025200004</v>
      </c>
    </row>
    <row r="61" spans="1:39" x14ac:dyDescent="0.25">
      <c r="A61" t="s">
        <v>30</v>
      </c>
      <c r="B61" t="s">
        <v>31</v>
      </c>
      <c r="C61" t="s">
        <v>92</v>
      </c>
      <c r="D61" t="e">
        <v>#N/A</v>
      </c>
      <c r="E61" t="e">
        <f>_xlfn.XLOOKUP(D61,[6]Feuil1!$C$2:$C$248,[6]Feuil1!$B$2:$B$248)</f>
        <v>#N/A</v>
      </c>
      <c r="F61" t="s">
        <v>33</v>
      </c>
      <c r="G61" t="s">
        <v>250</v>
      </c>
      <c r="H61" t="s">
        <v>34</v>
      </c>
      <c r="I61">
        <f>[1]data!F62*(_xlfn.XLOOKUP([1]data!$C62,[2]data!$B$2:$B$218,[2]data!E$2:E$218)/100)</f>
        <v>6.2909999999999997E-3</v>
      </c>
      <c r="J61">
        <f>[1]data!G62*(_xlfn.XLOOKUP([1]data!$C62,[2]data!$B$2:$B$218,[2]data!F$2:F$218)/100)</f>
        <v>7.6527589999999994E-3</v>
      </c>
      <c r="K61">
        <f>[1]data!H62*(_xlfn.XLOOKUP([1]data!$C62,[2]data!$B$2:$B$218,[2]data!G$2:G$218)/100)</f>
        <v>9.4137220000000011E-3</v>
      </c>
      <c r="L61">
        <f>[1]data!I62*(_xlfn.XLOOKUP([1]data!$C62,[2]data!$B$2:$B$218,[2]data!H$2:H$218)/100)</f>
        <v>1.1745065000000001E-2</v>
      </c>
      <c r="M61">
        <f>[1]data!J62*(_xlfn.XLOOKUP([1]data!$C62,[2]data!$B$2:$B$218,[2]data!I$2:I$218)/100)</f>
        <v>1.4406815999999999E-2</v>
      </c>
      <c r="N61">
        <f>[1]data!K62*(_xlfn.XLOOKUP([1]data!$C62,[2]data!$B$2:$B$218,[2]data!J$2:J$218)/100)</f>
        <v>1.7196304999999999E-2</v>
      </c>
      <c r="O61">
        <f>[1]data!L62*(_xlfn.XLOOKUP([1]data!$C62,[2]data!$B$2:$B$218,[2]data!K$2:K$218)/100)</f>
        <v>1.9851480000000001E-2</v>
      </c>
      <c r="P61">
        <f>[1]data!M62*(_xlfn.XLOOKUP([1]data!$C62,[2]data!$B$2:$B$218,[2]data!L$2:L$218)/100)</f>
        <v>2.2642011000000004E-2</v>
      </c>
      <c r="Q61">
        <f>[1]data!N62*(_xlfn.XLOOKUP([1]data!$C62,[2]data!$B$2:$B$218,[2]data!M$2:M$218)/100)</f>
        <v>2.5205826000000001E-2</v>
      </c>
      <c r="R61">
        <f>[1]data!O62*(_xlfn.XLOOKUP([1]data!$C62,[2]data!$B$2:$B$218,[2]data!N$2:N$218)/100)</f>
        <v>2.7626816999999998E-2</v>
      </c>
      <c r="S61">
        <f>[1]data!P62*(_xlfn.XLOOKUP([1]data!$C62,[2]data!$B$2:$B$218,[2]data!O$2:O$218)/100)</f>
        <v>2.4875873E-2</v>
      </c>
      <c r="T61">
        <f>[1]data!Q62*(_xlfn.XLOOKUP([1]data!$C62,[2]data!$B$2:$B$218,[2]data!P$2:P$218)/100)</f>
        <v>2.4801390999999999E-2</v>
      </c>
      <c r="U61">
        <f>[1]data!R62*(_xlfn.XLOOKUP([1]data!$C62,[2]data!$B$2:$B$218,[2]data!Q$2:Q$218)/100)</f>
        <v>2.3961573E-2</v>
      </c>
      <c r="V61">
        <f>[1]data!S62*(_xlfn.XLOOKUP([1]data!$C62,[2]data!$B$2:$B$218,[2]data!R$2:R$218)/100)</f>
        <v>2.4579674999999999E-2</v>
      </c>
      <c r="W61">
        <f>[1]data!T62*(_xlfn.XLOOKUP([1]data!$C62,[2]data!$B$2:$B$218,[2]data!S$2:S$218)/100)</f>
        <v>0.14676220700000001</v>
      </c>
      <c r="X61">
        <f>[1]data!U62*(_xlfn.XLOOKUP([1]data!$C62,[2]data!$B$2:$B$218,[2]data!T$2:T$218)/100)</f>
        <v>0.16815431717999998</v>
      </c>
      <c r="Y61">
        <f>[1]data!V62*(_xlfn.XLOOKUP([1]data!$C62,[2]data!$B$2:$B$218,[2]data!U$2:U$218)/100)</f>
        <v>0.19076358195000001</v>
      </c>
      <c r="Z61">
        <f>[1]data!W62*(_xlfn.XLOOKUP([1]data!$C62,[2]data!$B$2:$B$218,[2]data!V$2:V$218)/100)</f>
        <v>0.21371870535000001</v>
      </c>
      <c r="AA61">
        <f>[1]data!X62*(_xlfn.XLOOKUP([1]data!$C62,[2]data!$B$2:$B$218,[2]data!W$2:W$218)/100)</f>
        <v>0.23629498017999995</v>
      </c>
      <c r="AB61">
        <f>[1]data!Y62*(_xlfn.XLOOKUP([1]data!$C62,[2]data!$B$2:$B$218,[2]data!X$2:X$218)/100)</f>
        <v>0.25829699229000003</v>
      </c>
      <c r="AC61">
        <f>[1]data!Z62*(_xlfn.XLOOKUP([1]data!$C62,[2]data!$B$2:$B$218,[2]data!Y$2:Y$218)/100)</f>
        <v>0.27903000743999962</v>
      </c>
      <c r="AD61">
        <f>[1]data!AA62*(_xlfn.XLOOKUP([1]data!$C62,[2]data!$B$2:$B$218,[2]data!Z$2:Z$218)/100)</f>
        <v>0.29805163115000038</v>
      </c>
      <c r="AE61">
        <f>[1]data!AB62*(_xlfn.XLOOKUP([1]data!$C62,[2]data!$B$2:$B$218,[2]data!AA$2:AA$218)/100)</f>
        <v>0.31533912575</v>
      </c>
      <c r="AF61">
        <f>[1]data!AC62*(_xlfn.XLOOKUP([1]data!$C62,[2]data!$B$2:$B$218,[2]data!AB$2:AB$218)/100)</f>
        <v>0.33187962948000005</v>
      </c>
      <c r="AG61">
        <f>[1]data!AD62*(_xlfn.XLOOKUP([1]data!$C62,[2]data!$B$2:$B$218,[2]data!AC$2:AC$218)/100)</f>
        <v>0.34770415833999996</v>
      </c>
      <c r="AH61">
        <f>[1]data!AE62*(_xlfn.XLOOKUP([1]data!$C62,[2]data!$B$2:$B$218,[2]data!AD$2:AD$218)/100)</f>
        <v>0.36286734176999996</v>
      </c>
      <c r="AI61">
        <f>[1]data!AF62*(_xlfn.XLOOKUP([1]data!$C62,[2]data!$B$2:$B$218,[2]data!AE$2:AE$218)/100)</f>
        <v>0.37696779144000009</v>
      </c>
      <c r="AJ61">
        <f>[1]data!AG62*(_xlfn.XLOOKUP([1]data!$C62,[2]data!$B$2:$B$218,[2]data!AF$2:AF$218)/100)</f>
        <v>0.38998588559999997</v>
      </c>
      <c r="AK61">
        <f>[1]data!AH62*(_xlfn.XLOOKUP([1]data!$C62,[2]data!$B$2:$B$218,[2]data!AG$2:AG$218)/100)</f>
        <v>0.40163504643000009</v>
      </c>
      <c r="AL61">
        <f>[1]data!AI62*(_xlfn.XLOOKUP([1]data!$C62,[2]data!$B$2:$B$218,[2]data!AH$2:AH$218)/100)</f>
        <v>0.41217076384999995</v>
      </c>
      <c r="AM61">
        <f>[1]data!AJ62*(_xlfn.XLOOKUP([1]data!$C62,[2]data!$B$2:$B$218,[2]data!AI$2:AI$218)/100)</f>
        <v>0.42187235475000001</v>
      </c>
    </row>
    <row r="62" spans="1:39" x14ac:dyDescent="0.25">
      <c r="A62" t="s">
        <v>30</v>
      </c>
      <c r="B62" t="s">
        <v>31</v>
      </c>
      <c r="C62" t="s">
        <v>93</v>
      </c>
      <c r="D62" t="s">
        <v>332</v>
      </c>
      <c r="E62" t="str">
        <f>_xlfn.XLOOKUP(D62,[6]Feuil1!$C$2:$C$248,[6]Feuil1!$B$2:$B$248)</f>
        <v>GA</v>
      </c>
      <c r="F62" t="s">
        <v>33</v>
      </c>
      <c r="G62" t="str">
        <f>_xlfn.XLOOKUP(C62,[3]Sheet1!$B$2:$B$172,[3]Sheet1!$D$2:$D$172)</f>
        <v>Western Africa</v>
      </c>
      <c r="H62" t="s">
        <v>34</v>
      </c>
      <c r="I62">
        <f>[1]data!F63*(_xlfn.XLOOKUP([1]data!$C63,[2]data!$B$2:$B$218,[2]data!E$2:E$218)/100)</f>
        <v>5.3748150000000008E-2</v>
      </c>
      <c r="J62">
        <f>[1]data!G63*(_xlfn.XLOOKUP([1]data!$C63,[2]data!$B$2:$B$218,[2]data!F$2:F$218)/100)</f>
        <v>6.8736935999999985E-2</v>
      </c>
      <c r="K62">
        <f>[1]data!H63*(_xlfn.XLOOKUP([1]data!$C63,[2]data!$B$2:$B$218,[2]data!G$2:G$218)/100)</f>
        <v>8.8818473999999994E-2</v>
      </c>
      <c r="L62">
        <f>[1]data!I63*(_xlfn.XLOOKUP([1]data!$C63,[2]data!$B$2:$B$218,[2]data!H$2:H$218)/100)</f>
        <v>0.129365852</v>
      </c>
      <c r="M62">
        <f>[1]data!J63*(_xlfn.XLOOKUP([1]data!$C63,[2]data!$B$2:$B$218,[2]data!I$2:I$218)/100)</f>
        <v>0.18909599999999999</v>
      </c>
      <c r="N62">
        <f>[1]data!K63*(_xlfn.XLOOKUP([1]data!$C63,[2]data!$B$2:$B$218,[2]data!J$2:J$218)/100)</f>
        <v>0.28204517000000001</v>
      </c>
      <c r="O62">
        <f>[1]data!L63*(_xlfn.XLOOKUP([1]data!$C63,[2]data!$B$2:$B$218,[2]data!K$2:K$218)/100)</f>
        <v>0.40445508200000002</v>
      </c>
      <c r="P62">
        <f>[1]data!M63*(_xlfn.XLOOKUP([1]data!$C63,[2]data!$B$2:$B$218,[2]data!L$2:L$218)/100)</f>
        <v>0.52712337600000003</v>
      </c>
      <c r="Q62">
        <f>[1]data!N63*(_xlfn.XLOOKUP([1]data!$C63,[2]data!$B$2:$B$218,[2]data!M$2:M$218)/100)</f>
        <v>0.6700350599999999</v>
      </c>
      <c r="R62">
        <f>[1]data!O63*(_xlfn.XLOOKUP([1]data!$C63,[2]data!$B$2:$B$218,[2]data!N$2:N$218)/100)</f>
        <v>0.82858802400000009</v>
      </c>
      <c r="S62">
        <f>[1]data!P63*(_xlfn.XLOOKUP([1]data!$C63,[2]data!$B$2:$B$218,[2]data!O$2:O$218)/100)</f>
        <v>0.99135088500000001</v>
      </c>
      <c r="T62">
        <f>[1]data!Q63*(_xlfn.XLOOKUP([1]data!$C63,[2]data!$B$2:$B$218,[2]data!P$2:P$218)/100)</f>
        <v>1.1855580000000001</v>
      </c>
      <c r="U62">
        <f>[1]data!R63*(_xlfn.XLOOKUP([1]data!$C63,[2]data!$B$2:$B$218,[2]data!Q$2:Q$218)/100)</f>
        <v>1.437486705</v>
      </c>
      <c r="V62">
        <f>[1]data!S63*(_xlfn.XLOOKUP([1]data!$C63,[2]data!$B$2:$B$218,[2]data!R$2:R$218)/100)</f>
        <v>1.7607727669999997</v>
      </c>
      <c r="W62">
        <f>[1]data!T63*(_xlfn.XLOOKUP([1]data!$C63,[2]data!$B$2:$B$218,[2]data!S$2:S$218)/100)</f>
        <v>2.0434625939999997</v>
      </c>
      <c r="X62">
        <f>[1]data!U63*(_xlfn.XLOOKUP([1]data!$C63,[2]data!$B$2:$B$218,[2]data!T$2:T$218)/100)</f>
        <v>2.2805073874000001</v>
      </c>
      <c r="Y62">
        <f>[1]data!V63*(_xlfn.XLOOKUP([1]data!$C63,[2]data!$B$2:$B$218,[2]data!U$2:U$218)/100)</f>
        <v>2.5138789526399998</v>
      </c>
      <c r="Z62">
        <f>[1]data!W63*(_xlfn.XLOOKUP([1]data!$C63,[2]data!$B$2:$B$218,[2]data!V$2:V$218)/100)</f>
        <v>2.7408059199900001</v>
      </c>
      <c r="AA62">
        <f>[1]data!X63*(_xlfn.XLOOKUP([1]data!$C63,[2]data!$B$2:$B$218,[2]data!W$2:W$218)/100)</f>
        <v>2.9613413124600001</v>
      </c>
      <c r="AB62">
        <f>[1]data!Y63*(_xlfn.XLOOKUP([1]data!$C63,[2]data!$B$2:$B$218,[2]data!X$2:X$218)/100)</f>
        <v>3.1717854178599989</v>
      </c>
      <c r="AC62">
        <f>[1]data!Z63*(_xlfn.XLOOKUP([1]data!$C63,[2]data!$B$2:$B$218,[2]data!Y$2:Y$218)/100)</f>
        <v>3.3664196055600097</v>
      </c>
      <c r="AD62">
        <f>[1]data!AA63*(_xlfn.XLOOKUP([1]data!$C63,[2]data!$B$2:$B$218,[2]data!Z$2:Z$218)/100)</f>
        <v>3.54129382635</v>
      </c>
      <c r="AE62">
        <f>[1]data!AB63*(_xlfn.XLOOKUP([1]data!$C63,[2]data!$B$2:$B$218,[2]data!AA$2:AA$218)/100)</f>
        <v>3.6895733363500001</v>
      </c>
      <c r="AF62">
        <f>[1]data!AC63*(_xlfn.XLOOKUP([1]data!$C63,[2]data!$B$2:$B$218,[2]data!AB$2:AB$218)/100)</f>
        <v>3.8084364162299997</v>
      </c>
      <c r="AG62">
        <f>[1]data!AD63*(_xlfn.XLOOKUP([1]data!$C63,[2]data!$B$2:$B$218,[2]data!AC$2:AC$218)/100)</f>
        <v>3.8990504369000001</v>
      </c>
      <c r="AH62">
        <f>[1]data!AE63*(_xlfn.XLOOKUP([1]data!$C63,[2]data!$B$2:$B$218,[2]data!AD$2:AD$218)/100)</f>
        <v>3.9709331140600006</v>
      </c>
      <c r="AI62">
        <f>[1]data!AF63*(_xlfn.XLOOKUP([1]data!$C63,[2]data!$B$2:$B$218,[2]data!AE$2:AE$218)/100)</f>
        <v>4.0269945009599999</v>
      </c>
      <c r="AJ62">
        <f>[1]data!AG63*(_xlfn.XLOOKUP([1]data!$C63,[2]data!$B$2:$B$218,[2]data!AF$2:AF$218)/100)</f>
        <v>4.0653767672000001</v>
      </c>
      <c r="AK62">
        <f>[1]data!AH63*(_xlfn.XLOOKUP([1]data!$C63,[2]data!$B$2:$B$218,[2]data!AG$2:AG$218)/100)</f>
        <v>4.0844930316300001</v>
      </c>
      <c r="AL62">
        <f>[1]data!AI63*(_xlfn.XLOOKUP([1]data!$C63,[2]data!$B$2:$B$218,[2]data!AH$2:AH$218)/100)</f>
        <v>4.0809041862599997</v>
      </c>
      <c r="AM62">
        <f>[1]data!AJ63*(_xlfn.XLOOKUP([1]data!$C63,[2]data!$B$2:$B$218,[2]data!AI$2:AI$218)/100)</f>
        <v>4.0572921583800001</v>
      </c>
    </row>
    <row r="63" spans="1:39" x14ac:dyDescent="0.25">
      <c r="A63" t="s">
        <v>30</v>
      </c>
      <c r="B63" t="s">
        <v>31</v>
      </c>
      <c r="C63" t="s">
        <v>94</v>
      </c>
      <c r="D63" t="s">
        <v>333</v>
      </c>
      <c r="E63" t="str">
        <f>_xlfn.XLOOKUP(D63,[6]Feuil1!$C$2:$C$248,[6]Feuil1!$B$2:$B$248)</f>
        <v>GB</v>
      </c>
      <c r="F63" t="s">
        <v>33</v>
      </c>
      <c r="G63" t="s">
        <v>251</v>
      </c>
      <c r="H63" t="s">
        <v>34</v>
      </c>
      <c r="I63">
        <f>[1]data!F64*(_xlfn.XLOOKUP([1]data!$C64,[2]data!$B$2:$B$218,[2]data!E$2:E$218)/100)</f>
        <v>39.445523180000009</v>
      </c>
      <c r="J63">
        <f>[1]data!G64*(_xlfn.XLOOKUP([1]data!$C64,[2]data!$B$2:$B$218,[2]data!F$2:F$218)/100)</f>
        <v>40.205896340999999</v>
      </c>
      <c r="K63">
        <f>[1]data!H64*(_xlfn.XLOOKUP([1]data!$C64,[2]data!$B$2:$B$218,[2]data!G$2:G$218)/100)</f>
        <v>41.067667536000002</v>
      </c>
      <c r="L63">
        <f>[1]data!I64*(_xlfn.XLOOKUP([1]data!$C64,[2]data!$B$2:$B$218,[2]data!H$2:H$218)/100)</f>
        <v>42.054428229999999</v>
      </c>
      <c r="M63">
        <f>[1]data!J64*(_xlfn.XLOOKUP([1]data!$C64,[2]data!$B$2:$B$218,[2]data!I$2:I$218)/100)</f>
        <v>42.820469540999994</v>
      </c>
      <c r="N63">
        <f>[1]data!K64*(_xlfn.XLOOKUP([1]data!$C64,[2]data!$B$2:$B$218,[2]data!J$2:J$218)/100)</f>
        <v>43.712915106000004</v>
      </c>
      <c r="O63">
        <f>[1]data!L64*(_xlfn.XLOOKUP([1]data!$C64,[2]data!$B$2:$B$218,[2]data!K$2:K$218)/100)</f>
        <v>44.185369575000003</v>
      </c>
      <c r="P63">
        <f>[1]data!M64*(_xlfn.XLOOKUP([1]data!$C64,[2]data!$B$2:$B$218,[2]data!L$2:L$218)/100)</f>
        <v>44.380213360000006</v>
      </c>
      <c r="Q63">
        <f>[1]data!N64*(_xlfn.XLOOKUP([1]data!$C64,[2]data!$B$2:$B$218,[2]data!M$2:M$218)/100)</f>
        <v>44.621967961999999</v>
      </c>
      <c r="R63">
        <f>[1]data!O64*(_xlfn.XLOOKUP([1]data!$C64,[2]data!$B$2:$B$218,[2]data!N$2:N$218)/100)</f>
        <v>45.364537903999995</v>
      </c>
      <c r="S63">
        <f>[1]data!P64*(_xlfn.XLOOKUP([1]data!$C64,[2]data!$B$2:$B$218,[2]data!O$2:O$218)/100)</f>
        <v>46.224273434000004</v>
      </c>
      <c r="T63">
        <f>[1]data!Q64*(_xlfn.XLOOKUP([1]data!$C64,[2]data!$B$2:$B$218,[2]data!P$2:P$218)/100)</f>
        <v>48.087620044000005</v>
      </c>
      <c r="U63">
        <f>[1]data!R64*(_xlfn.XLOOKUP([1]data!$C64,[2]data!$B$2:$B$218,[2]data!Q$2:Q$218)/100)</f>
        <v>50.811795128999997</v>
      </c>
      <c r="V63">
        <f>[1]data!S64*(_xlfn.XLOOKUP([1]data!$C64,[2]data!$B$2:$B$218,[2]data!R$2:R$218)/100)</f>
        <v>53.696680688000001</v>
      </c>
      <c r="W63">
        <f>[1]data!T64*(_xlfn.XLOOKUP([1]data!$C64,[2]data!$B$2:$B$218,[2]data!S$2:S$218)/100)</f>
        <v>56.172033308000017</v>
      </c>
      <c r="X63">
        <f>[1]data!U64*(_xlfn.XLOOKUP([1]data!$C64,[2]data!$B$2:$B$218,[2]data!T$2:T$218)/100)</f>
        <v>57.541252391999919</v>
      </c>
      <c r="Y63">
        <f>[1]data!V64*(_xlfn.XLOOKUP([1]data!$C64,[2]data!$B$2:$B$218,[2]data!U$2:U$218)/100)</f>
        <v>58.914542610360009</v>
      </c>
      <c r="Z63">
        <f>[1]data!W64*(_xlfn.XLOOKUP([1]data!$C64,[2]data!$B$2:$B$218,[2]data!V$2:V$218)/100)</f>
        <v>60.313761122999999</v>
      </c>
      <c r="AA63">
        <f>[1]data!X64*(_xlfn.XLOOKUP([1]data!$C64,[2]data!$B$2:$B$218,[2]data!W$2:W$218)/100)</f>
        <v>61.790540860860006</v>
      </c>
      <c r="AB63">
        <f>[1]data!Y64*(_xlfn.XLOOKUP([1]data!$C64,[2]data!$B$2:$B$218,[2]data!X$2:X$218)/100)</f>
        <v>63.377766552250002</v>
      </c>
      <c r="AC63">
        <f>[1]data!Z64*(_xlfn.XLOOKUP([1]data!$C64,[2]data!$B$2:$B$218,[2]data!Y$2:Y$218)/100)</f>
        <v>65.055938716840004</v>
      </c>
      <c r="AD63">
        <f>[1]data!AA64*(_xlfn.XLOOKUP([1]data!$C64,[2]data!$B$2:$B$218,[2]data!Z$2:Z$218)/100)</f>
        <v>66.537190686120098</v>
      </c>
      <c r="AE63">
        <f>[1]data!AB64*(_xlfn.XLOOKUP([1]data!$C64,[2]data!$B$2:$B$218,[2]data!AA$2:AA$218)/100)</f>
        <v>67.862737278560104</v>
      </c>
      <c r="AF63">
        <f>[1]data!AC64*(_xlfn.XLOOKUP([1]data!$C64,[2]data!$B$2:$B$218,[2]data!AB$2:AB$218)/100)</f>
        <v>69.085560663620001</v>
      </c>
      <c r="AG63">
        <f>[1]data!AD64*(_xlfn.XLOOKUP([1]data!$C64,[2]data!$B$2:$B$218,[2]data!AC$2:AC$218)/100)</f>
        <v>70.299225210100005</v>
      </c>
      <c r="AH63">
        <f>[1]data!AE64*(_xlfn.XLOOKUP([1]data!$C64,[2]data!$B$2:$B$218,[2]data!AD$2:AD$218)/100)</f>
        <v>71.48837488974992</v>
      </c>
      <c r="AI63">
        <f>[1]data!AF64*(_xlfn.XLOOKUP([1]data!$C64,[2]data!$B$2:$B$218,[2]data!AE$2:AE$218)/100)</f>
        <v>72.540452698899998</v>
      </c>
      <c r="AJ63">
        <f>[1]data!AG64*(_xlfn.XLOOKUP([1]data!$C64,[2]data!$B$2:$B$218,[2]data!AF$2:AF$218)/100)</f>
        <v>73.356425017329997</v>
      </c>
      <c r="AK63">
        <f>[1]data!AH64*(_xlfn.XLOOKUP([1]data!$C64,[2]data!$B$2:$B$218,[2]data!AG$2:AG$218)/100)</f>
        <v>73.932156357919993</v>
      </c>
      <c r="AL63">
        <f>[1]data!AI64*(_xlfn.XLOOKUP([1]data!$C64,[2]data!$B$2:$B$218,[2]data!AH$2:AH$218)/100)</f>
        <v>74.337752588640001</v>
      </c>
      <c r="AM63">
        <f>[1]data!AJ64*(_xlfn.XLOOKUP([1]data!$C64,[2]data!$B$2:$B$218,[2]data!AI$2:AI$218)/100)</f>
        <v>74.626660929420012</v>
      </c>
    </row>
    <row r="64" spans="1:39" x14ac:dyDescent="0.25">
      <c r="A64" t="s">
        <v>30</v>
      </c>
      <c r="B64" t="s">
        <v>31</v>
      </c>
      <c r="C64" t="s">
        <v>95</v>
      </c>
      <c r="D64" t="s">
        <v>334</v>
      </c>
      <c r="E64" t="str">
        <f>_xlfn.XLOOKUP(D64,[6]Feuil1!$C$2:$C$248,[6]Feuil1!$B$2:$B$248)</f>
        <v>GE</v>
      </c>
      <c r="F64" t="s">
        <v>33</v>
      </c>
      <c r="G64" t="str">
        <f>_xlfn.XLOOKUP(C64,[3]Sheet1!$B$2:$B$172,[3]Sheet1!$D$2:$D$172)</f>
        <v>Russia region</v>
      </c>
      <c r="H64" t="s">
        <v>34</v>
      </c>
      <c r="I64">
        <f>[1]data!F65*(_xlfn.XLOOKUP([1]data!$C65,[2]data!$B$2:$B$218,[2]data!E$2:E$218)/100)</f>
        <v>1.2906701190000001</v>
      </c>
      <c r="J64">
        <f>[1]data!G65*(_xlfn.XLOOKUP([1]data!$C65,[2]data!$B$2:$B$218,[2]data!F$2:F$218)/100)</f>
        <v>1.4887770610000002</v>
      </c>
      <c r="K64">
        <f>[1]data!H65*(_xlfn.XLOOKUP([1]data!$C65,[2]data!$B$2:$B$218,[2]data!G$2:G$218)/100)</f>
        <v>1.7303408720000002</v>
      </c>
      <c r="L64">
        <f>[1]data!I65*(_xlfn.XLOOKUP([1]data!$C65,[2]data!$B$2:$B$218,[2]data!H$2:H$218)/100)</f>
        <v>1.9953315200000001</v>
      </c>
      <c r="M64">
        <f>[1]data!J65*(_xlfn.XLOOKUP([1]data!$C65,[2]data!$B$2:$B$218,[2]data!I$2:I$218)/100)</f>
        <v>2.2943990400000001</v>
      </c>
      <c r="N64">
        <f>[1]data!K65*(_xlfn.XLOOKUP([1]data!$C65,[2]data!$B$2:$B$218,[2]data!J$2:J$218)/100)</f>
        <v>2.4913388799999998</v>
      </c>
      <c r="O64">
        <f>[1]data!L65*(_xlfn.XLOOKUP([1]data!$C65,[2]data!$B$2:$B$218,[2]data!K$2:K$218)/100)</f>
        <v>2.6923317750000004</v>
      </c>
      <c r="P64">
        <f>[1]data!M65*(_xlfn.XLOOKUP([1]data!$C65,[2]data!$B$2:$B$218,[2]data!L$2:L$218)/100)</f>
        <v>2.8831196779999999</v>
      </c>
      <c r="Q64">
        <f>[1]data!N65*(_xlfn.XLOOKUP([1]data!$C65,[2]data!$B$2:$B$218,[2]data!M$2:M$218)/100)</f>
        <v>2.9834387000000007</v>
      </c>
      <c r="R64">
        <f>[1]data!O65*(_xlfn.XLOOKUP([1]data!$C65,[2]data!$B$2:$B$218,[2]data!N$2:N$218)/100)</f>
        <v>2.6545377299999999</v>
      </c>
      <c r="S64">
        <f>[1]data!P65*(_xlfn.XLOOKUP([1]data!$C65,[2]data!$B$2:$B$218,[2]data!O$2:O$218)/100)</f>
        <v>2.2780944280000002</v>
      </c>
      <c r="T64">
        <f>[1]data!Q65*(_xlfn.XLOOKUP([1]data!$C65,[2]data!$B$2:$B$218,[2]data!P$2:P$218)/100)</f>
        <v>2.1304542080000002</v>
      </c>
      <c r="U64">
        <f>[1]data!R65*(_xlfn.XLOOKUP([1]data!$C65,[2]data!$B$2:$B$218,[2]data!Q$2:Q$218)/100)</f>
        <v>2.1333328650000003</v>
      </c>
      <c r="V64">
        <f>[1]data!S65*(_xlfn.XLOOKUP([1]data!$C65,[2]data!$B$2:$B$218,[2]data!R$2:R$218)/100)</f>
        <v>2.1649167679999999</v>
      </c>
      <c r="W64">
        <f>[1]data!T65*(_xlfn.XLOOKUP([1]data!$C65,[2]data!$B$2:$B$218,[2]data!S$2:S$218)/100)</f>
        <v>2.2426638849999998</v>
      </c>
      <c r="X64">
        <f>[1]data!U65*(_xlfn.XLOOKUP([1]data!$C65,[2]data!$B$2:$B$218,[2]data!T$2:T$218)/100)</f>
        <v>2.2371350941500001</v>
      </c>
      <c r="Y64">
        <f>[1]data!V65*(_xlfn.XLOOKUP([1]data!$C65,[2]data!$B$2:$B$218,[2]data!U$2:U$218)/100)</f>
        <v>2.2164562005299997</v>
      </c>
      <c r="Z64">
        <f>[1]data!W65*(_xlfn.XLOOKUP([1]data!$C65,[2]data!$B$2:$B$218,[2]data!V$2:V$218)/100)</f>
        <v>2.1869957120299994</v>
      </c>
      <c r="AA64">
        <f>[1]data!X65*(_xlfn.XLOOKUP([1]data!$C65,[2]data!$B$2:$B$218,[2]data!W$2:W$218)/100)</f>
        <v>2.1569166739999992</v>
      </c>
      <c r="AB64">
        <f>[1]data!Y65*(_xlfn.XLOOKUP([1]data!$C65,[2]data!$B$2:$B$218,[2]data!X$2:X$218)/100)</f>
        <v>2.1241481404</v>
      </c>
      <c r="AC64">
        <f>[1]data!Z65*(_xlfn.XLOOKUP([1]data!$C65,[2]data!$B$2:$B$218,[2]data!Y$2:Y$218)/100)</f>
        <v>2.0850541374600002</v>
      </c>
      <c r="AD64">
        <f>[1]data!AA65*(_xlfn.XLOOKUP([1]data!$C65,[2]data!$B$2:$B$218,[2]data!Z$2:Z$218)/100)</f>
        <v>2.0377687104</v>
      </c>
      <c r="AE64">
        <f>[1]data!AB65*(_xlfn.XLOOKUP([1]data!$C65,[2]data!$B$2:$B$218,[2]data!AA$2:AA$218)/100)</f>
        <v>1.9841398139099999</v>
      </c>
      <c r="AF64">
        <f>[1]data!AC65*(_xlfn.XLOOKUP([1]data!$C65,[2]data!$B$2:$B$218,[2]data!AB$2:AB$218)/100)</f>
        <v>1.9350104963699999</v>
      </c>
      <c r="AG64">
        <f>[1]data!AD65*(_xlfn.XLOOKUP([1]data!$C65,[2]data!$B$2:$B$218,[2]data!AC$2:AC$218)/100)</f>
        <v>1.8922223147999999</v>
      </c>
      <c r="AH64">
        <f>[1]data!AE65*(_xlfn.XLOOKUP([1]data!$C65,[2]data!$B$2:$B$218,[2]data!AD$2:AD$218)/100)</f>
        <v>1.8552938671799999</v>
      </c>
      <c r="AI64">
        <f>[1]data!AF65*(_xlfn.XLOOKUP([1]data!$C65,[2]data!$B$2:$B$218,[2]data!AE$2:AE$218)/100)</f>
        <v>1.8235846230499997</v>
      </c>
      <c r="AJ64">
        <f>[1]data!AG65*(_xlfn.XLOOKUP([1]data!$C65,[2]data!$B$2:$B$218,[2]data!AF$2:AF$218)/100)</f>
        <v>1.79822867379</v>
      </c>
      <c r="AK64">
        <f>[1]data!AH65*(_xlfn.XLOOKUP([1]data!$C65,[2]data!$B$2:$B$218,[2]data!AG$2:AG$218)/100)</f>
        <v>1.7804608902000001</v>
      </c>
      <c r="AL64">
        <f>[1]data!AI65*(_xlfn.XLOOKUP([1]data!$C65,[2]data!$B$2:$B$218,[2]data!AH$2:AH$218)/100)</f>
        <v>1.7702750780000001</v>
      </c>
      <c r="AM64">
        <f>[1]data!AJ65*(_xlfn.XLOOKUP([1]data!$C65,[2]data!$B$2:$B$218,[2]data!AI$2:AI$218)/100)</f>
        <v>1.7649972703999999</v>
      </c>
    </row>
    <row r="65" spans="1:39" x14ac:dyDescent="0.25">
      <c r="A65" t="s">
        <v>30</v>
      </c>
      <c r="B65" t="s">
        <v>31</v>
      </c>
      <c r="C65" t="s">
        <v>96</v>
      </c>
      <c r="D65" t="s">
        <v>335</v>
      </c>
      <c r="E65" t="str">
        <f>_xlfn.XLOOKUP(D65,[6]Feuil1!$C$2:$C$248,[6]Feuil1!$B$2:$B$248)</f>
        <v>GH</v>
      </c>
      <c r="F65" t="s">
        <v>33</v>
      </c>
      <c r="G65" t="str">
        <f>_xlfn.XLOOKUP(C65,[3]Sheet1!$B$2:$B$172,[3]Sheet1!$D$2:$D$172)</f>
        <v>Western Africa</v>
      </c>
      <c r="H65" t="s">
        <v>34</v>
      </c>
      <c r="I65">
        <f>[1]data!F66*(_xlfn.XLOOKUP([1]data!$C66,[2]data!$B$2:$B$218,[2]data!E$2:E$218)/100)</f>
        <v>0.77140879200000012</v>
      </c>
      <c r="J65">
        <f>[1]data!G66*(_xlfn.XLOOKUP([1]data!$C66,[2]data!$B$2:$B$218,[2]data!F$2:F$218)/100)</f>
        <v>1.1067206590000001</v>
      </c>
      <c r="K65">
        <f>[1]data!H66*(_xlfn.XLOOKUP([1]data!$C66,[2]data!$B$2:$B$218,[2]data!G$2:G$218)/100)</f>
        <v>1.584176553</v>
      </c>
      <c r="L65">
        <f>[1]data!I66*(_xlfn.XLOOKUP([1]data!$C66,[2]data!$B$2:$B$218,[2]data!H$2:H$218)/100)</f>
        <v>2.0181070710000002</v>
      </c>
      <c r="M65">
        <f>[1]data!J66*(_xlfn.XLOOKUP([1]data!$C66,[2]data!$B$2:$B$218,[2]data!I$2:I$218)/100)</f>
        <v>2.5344570299999996</v>
      </c>
      <c r="N65">
        <f>[1]data!K66*(_xlfn.XLOOKUP([1]data!$C66,[2]data!$B$2:$B$218,[2]data!J$2:J$218)/100)</f>
        <v>3.0185987999999995</v>
      </c>
      <c r="O65">
        <f>[1]data!L66*(_xlfn.XLOOKUP([1]data!$C66,[2]data!$B$2:$B$218,[2]data!K$2:K$218)/100)</f>
        <v>3.6490172159999998</v>
      </c>
      <c r="P65">
        <f>[1]data!M66*(_xlfn.XLOOKUP([1]data!$C66,[2]data!$B$2:$B$218,[2]data!L$2:L$218)/100)</f>
        <v>4.4400744429999994</v>
      </c>
      <c r="Q65">
        <f>[1]data!N66*(_xlfn.XLOOKUP([1]data!$C66,[2]data!$B$2:$B$218,[2]data!M$2:M$218)/100)</f>
        <v>5.5498985359999997</v>
      </c>
      <c r="R65">
        <f>[1]data!O66*(_xlfn.XLOOKUP([1]data!$C66,[2]data!$B$2:$B$218,[2]data!N$2:N$218)/100)</f>
        <v>6.912270382</v>
      </c>
      <c r="S65">
        <f>[1]data!P66*(_xlfn.XLOOKUP([1]data!$C66,[2]data!$B$2:$B$218,[2]data!O$2:O$218)/100)</f>
        <v>8.5220418440000003</v>
      </c>
      <c r="T65">
        <f>[1]data!Q66*(_xlfn.XLOOKUP([1]data!$C66,[2]data!$B$2:$B$218,[2]data!P$2:P$218)/100)</f>
        <v>10.499637917999999</v>
      </c>
      <c r="U65">
        <f>[1]data!R66*(_xlfn.XLOOKUP([1]data!$C66,[2]data!$B$2:$B$218,[2]data!Q$2:Q$218)/100)</f>
        <v>12.809230277999999</v>
      </c>
      <c r="V65">
        <f>[1]data!S66*(_xlfn.XLOOKUP([1]data!$C66,[2]data!$B$2:$B$218,[2]data!R$2:R$218)/100)</f>
        <v>15.435730309</v>
      </c>
      <c r="W65">
        <f>[1]data!T66*(_xlfn.XLOOKUP([1]data!$C66,[2]data!$B$2:$B$218,[2]data!S$2:S$218)/100)</f>
        <v>18.249618530999996</v>
      </c>
      <c r="X65">
        <f>[1]data!U66*(_xlfn.XLOOKUP([1]data!$C66,[2]data!$B$2:$B$218,[2]data!T$2:T$218)/100)</f>
        <v>20.93218868828</v>
      </c>
      <c r="Y65">
        <f>[1]data!V66*(_xlfn.XLOOKUP([1]data!$C66,[2]data!$B$2:$B$218,[2]data!U$2:U$218)/100)</f>
        <v>23.747184496589998</v>
      </c>
      <c r="Z65">
        <f>[1]data!W66*(_xlfn.XLOOKUP([1]data!$C66,[2]data!$B$2:$B$218,[2]data!V$2:V$218)/100)</f>
        <v>26.659737775649997</v>
      </c>
      <c r="AA65">
        <f>[1]data!X66*(_xlfn.XLOOKUP([1]data!$C66,[2]data!$B$2:$B$218,[2]data!W$2:W$218)/100)</f>
        <v>29.669366540999999</v>
      </c>
      <c r="AB65">
        <f>[1]data!Y66*(_xlfn.XLOOKUP([1]data!$C66,[2]data!$B$2:$B$218,[2]data!X$2:X$218)/100)</f>
        <v>32.72311541058</v>
      </c>
      <c r="AC65">
        <f>[1]data!Z66*(_xlfn.XLOOKUP([1]data!$C66,[2]data!$B$2:$B$218,[2]data!Y$2:Y$218)/100)</f>
        <v>35.756965532199999</v>
      </c>
      <c r="AD65">
        <f>[1]data!AA66*(_xlfn.XLOOKUP([1]data!$C66,[2]data!$B$2:$B$218,[2]data!Z$2:Z$218)/100)</f>
        <v>38.641919230600003</v>
      </c>
      <c r="AE65">
        <f>[1]data!AB66*(_xlfn.XLOOKUP([1]data!$C66,[2]data!$B$2:$B$218,[2]data!AA$2:AA$218)/100)</f>
        <v>41.3808013899</v>
      </c>
      <c r="AF65">
        <f>[1]data!AC66*(_xlfn.XLOOKUP([1]data!$C66,[2]data!$B$2:$B$218,[2]data!AB$2:AB$218)/100)</f>
        <v>43.908609293430004</v>
      </c>
      <c r="AG65">
        <f>[1]data!AD66*(_xlfn.XLOOKUP([1]data!$C66,[2]data!$B$2:$B$218,[2]data!AC$2:AC$218)/100)</f>
        <v>46.260878273920007</v>
      </c>
      <c r="AH65">
        <f>[1]data!AE66*(_xlfn.XLOOKUP([1]data!$C66,[2]data!$B$2:$B$218,[2]data!AD$2:AD$218)/100)</f>
        <v>48.392393726610003</v>
      </c>
      <c r="AI65">
        <f>[1]data!AF66*(_xlfn.XLOOKUP([1]data!$C66,[2]data!$B$2:$B$218,[2]data!AE$2:AE$218)/100)</f>
        <v>50.252953564979933</v>
      </c>
      <c r="AJ65">
        <f>[1]data!AG66*(_xlfn.XLOOKUP([1]data!$C66,[2]data!$B$2:$B$218,[2]data!AF$2:AF$218)/100)</f>
        <v>51.855468748109999</v>
      </c>
      <c r="AK65">
        <f>[1]data!AH66*(_xlfn.XLOOKUP([1]data!$C66,[2]data!$B$2:$B$218,[2]data!AG$2:AG$218)/100)</f>
        <v>53.222017049849995</v>
      </c>
      <c r="AL65">
        <f>[1]data!AI66*(_xlfn.XLOOKUP([1]data!$C66,[2]data!$B$2:$B$218,[2]data!AH$2:AH$218)/100)</f>
        <v>54.353665178059998</v>
      </c>
      <c r="AM65">
        <f>[1]data!AJ66*(_xlfn.XLOOKUP([1]data!$C66,[2]data!$B$2:$B$218,[2]data!AI$2:AI$218)/100)</f>
        <v>55.266604718500005</v>
      </c>
    </row>
    <row r="66" spans="1:39" x14ac:dyDescent="0.25">
      <c r="A66" t="s">
        <v>30</v>
      </c>
      <c r="B66" t="s">
        <v>31</v>
      </c>
      <c r="C66" t="s">
        <v>97</v>
      </c>
      <c r="D66" t="s">
        <v>336</v>
      </c>
      <c r="E66" t="str">
        <f>_xlfn.XLOOKUP(D66,[6]Feuil1!$C$2:$C$248,[6]Feuil1!$B$2:$B$248)</f>
        <v>GN</v>
      </c>
      <c r="F66" t="s">
        <v>33</v>
      </c>
      <c r="G66" t="str">
        <f>_xlfn.XLOOKUP(C66,[3]Sheet1!$B$2:$B$172,[3]Sheet1!$D$2:$D$172)</f>
        <v>Western Africa</v>
      </c>
      <c r="H66" t="s">
        <v>34</v>
      </c>
      <c r="I66">
        <f>[1]data!F67*(_xlfn.XLOOKUP([1]data!$C67,[2]data!$B$2:$B$218,[2]data!E$2:E$218)/100)</f>
        <v>0.19825534500000003</v>
      </c>
      <c r="J66">
        <f>[1]data!G67*(_xlfn.XLOOKUP([1]data!$C67,[2]data!$B$2:$B$218,[2]data!F$2:F$218)/100)</f>
        <v>0.26944092000000003</v>
      </c>
      <c r="K66">
        <f>[1]data!H67*(_xlfn.XLOOKUP([1]data!$C67,[2]data!$B$2:$B$218,[2]data!G$2:G$218)/100)</f>
        <v>0.36607053000000001</v>
      </c>
      <c r="L66">
        <f>[1]data!I67*(_xlfn.XLOOKUP([1]data!$C67,[2]data!$B$2:$B$218,[2]data!H$2:H$218)/100)</f>
        <v>0.49526854000000003</v>
      </c>
      <c r="M66">
        <f>[1]data!J67*(_xlfn.XLOOKUP([1]data!$C67,[2]data!$B$2:$B$218,[2]data!I$2:I$218)/100)</f>
        <v>0.6694516800000001</v>
      </c>
      <c r="N66">
        <f>[1]data!K67*(_xlfn.XLOOKUP([1]data!$C67,[2]data!$B$2:$B$218,[2]data!J$2:J$218)/100)</f>
        <v>0.88776792000000004</v>
      </c>
      <c r="O66">
        <f>[1]data!L67*(_xlfn.XLOOKUP([1]data!$C67,[2]data!$B$2:$B$218,[2]data!K$2:K$218)/100)</f>
        <v>1.1628111760000002</v>
      </c>
      <c r="P66">
        <f>[1]data!M67*(_xlfn.XLOOKUP([1]data!$C67,[2]data!$B$2:$B$218,[2]data!L$2:L$218)/100)</f>
        <v>1.453498746</v>
      </c>
      <c r="Q66">
        <f>[1]data!N67*(_xlfn.XLOOKUP([1]data!$C67,[2]data!$B$2:$B$218,[2]data!M$2:M$218)/100)</f>
        <v>1.7404270800000001</v>
      </c>
      <c r="R66">
        <f>[1]data!O67*(_xlfn.XLOOKUP([1]data!$C67,[2]data!$B$2:$B$218,[2]data!N$2:N$218)/100)</f>
        <v>2.1704412599999996</v>
      </c>
      <c r="S66">
        <f>[1]data!P67*(_xlfn.XLOOKUP([1]data!$C67,[2]data!$B$2:$B$218,[2]data!O$2:O$218)/100)</f>
        <v>2.5533751500000004</v>
      </c>
      <c r="T66">
        <f>[1]data!Q67*(_xlfn.XLOOKUP([1]data!$C67,[2]data!$B$2:$B$218,[2]data!P$2:P$218)/100)</f>
        <v>2.9238922539999996</v>
      </c>
      <c r="U66">
        <f>[1]data!R67*(_xlfn.XLOOKUP([1]data!$C67,[2]data!$B$2:$B$218,[2]data!Q$2:Q$218)/100)</f>
        <v>3.4185010400000002</v>
      </c>
      <c r="V66">
        <f>[1]data!S67*(_xlfn.XLOOKUP([1]data!$C67,[2]data!$B$2:$B$218,[2]data!R$2:R$218)/100)</f>
        <v>4.0278534660000007</v>
      </c>
      <c r="W66">
        <f>[1]data!T67*(_xlfn.XLOOKUP([1]data!$C67,[2]data!$B$2:$B$218,[2]data!S$2:S$218)/100)</f>
        <v>4.8123467099999999</v>
      </c>
      <c r="X66">
        <f>[1]data!U67*(_xlfn.XLOOKUP([1]data!$C67,[2]data!$B$2:$B$218,[2]data!T$2:T$218)/100)</f>
        <v>5.8914542916899997</v>
      </c>
      <c r="Y66">
        <f>[1]data!V67*(_xlfn.XLOOKUP([1]data!$C67,[2]data!$B$2:$B$218,[2]data!U$2:U$218)/100)</f>
        <v>7.0752655763000005</v>
      </c>
      <c r="Z66">
        <f>[1]data!W67*(_xlfn.XLOOKUP([1]data!$C67,[2]data!$B$2:$B$218,[2]data!V$2:V$218)/100)</f>
        <v>8.332525747650001</v>
      </c>
      <c r="AA66">
        <f>[1]data!X67*(_xlfn.XLOOKUP([1]data!$C67,[2]data!$B$2:$B$218,[2]data!W$2:W$218)/100)</f>
        <v>9.6378902617199973</v>
      </c>
      <c r="AB66">
        <f>[1]data!Y67*(_xlfn.XLOOKUP([1]data!$C67,[2]data!$B$2:$B$218,[2]data!X$2:X$218)/100)</f>
        <v>10.96853558227</v>
      </c>
      <c r="AC66">
        <f>[1]data!Z67*(_xlfn.XLOOKUP([1]data!$C67,[2]data!$B$2:$B$218,[2]data!Y$2:Y$218)/100)</f>
        <v>12.288996922860001</v>
      </c>
      <c r="AD66">
        <f>[1]data!AA67*(_xlfn.XLOOKUP([1]data!$C67,[2]data!$B$2:$B$218,[2]data!Z$2:Z$218)/100)</f>
        <v>13.572840606569999</v>
      </c>
      <c r="AE66">
        <f>[1]data!AB67*(_xlfn.XLOOKUP([1]data!$C67,[2]data!$B$2:$B$218,[2]data!AA$2:AA$218)/100)</f>
        <v>14.792183440279999</v>
      </c>
      <c r="AF66">
        <f>[1]data!AC67*(_xlfn.XLOOKUP([1]data!$C67,[2]data!$B$2:$B$218,[2]data!AB$2:AB$218)/100)</f>
        <v>15.927720186960002</v>
      </c>
      <c r="AG66">
        <f>[1]data!AD67*(_xlfn.XLOOKUP([1]data!$C67,[2]data!$B$2:$B$218,[2]data!AC$2:AC$218)/100)</f>
        <v>16.962373826099999</v>
      </c>
      <c r="AH66">
        <f>[1]data!AE67*(_xlfn.XLOOKUP([1]data!$C67,[2]data!$B$2:$B$218,[2]data!AD$2:AD$218)/100)</f>
        <v>17.866803176209999</v>
      </c>
      <c r="AI66">
        <f>[1]data!AF67*(_xlfn.XLOOKUP([1]data!$C67,[2]data!$B$2:$B$218,[2]data!AE$2:AE$218)/100)</f>
        <v>18.650491400500002</v>
      </c>
      <c r="AJ66">
        <f>[1]data!AG67*(_xlfn.XLOOKUP([1]data!$C67,[2]data!$B$2:$B$218,[2]data!AF$2:AF$218)/100)</f>
        <v>19.298130367620001</v>
      </c>
      <c r="AK66">
        <f>[1]data!AH67*(_xlfn.XLOOKUP([1]data!$C67,[2]data!$B$2:$B$218,[2]data!AG$2:AG$218)/100)</f>
        <v>19.854765427019998</v>
      </c>
      <c r="AL66">
        <f>[1]data!AI67*(_xlfn.XLOOKUP([1]data!$C67,[2]data!$B$2:$B$218,[2]data!AH$2:AH$218)/100)</f>
        <v>20.327648450399998</v>
      </c>
      <c r="AM66">
        <f>[1]data!AJ67*(_xlfn.XLOOKUP([1]data!$C67,[2]data!$B$2:$B$218,[2]data!AI$2:AI$218)/100)</f>
        <v>20.721331142189999</v>
      </c>
    </row>
    <row r="67" spans="1:39" x14ac:dyDescent="0.25">
      <c r="A67" t="s">
        <v>30</v>
      </c>
      <c r="B67" t="s">
        <v>31</v>
      </c>
      <c r="C67" t="s">
        <v>98</v>
      </c>
      <c r="D67" t="e">
        <v>#N/A</v>
      </c>
      <c r="E67" t="e">
        <f>_xlfn.XLOOKUP(D67,[6]Feuil1!$C$2:$C$248,[6]Feuil1!$B$2:$B$248)</f>
        <v>#N/A</v>
      </c>
      <c r="F67" t="s">
        <v>33</v>
      </c>
      <c r="G67" t="s">
        <v>236</v>
      </c>
      <c r="H67" t="s">
        <v>34</v>
      </c>
      <c r="I67">
        <f>[1]data!F68*(_xlfn.XLOOKUP([1]data!$C68,[2]data!$B$2:$B$218,[2]data!E$2:E$218)/100)</f>
        <v>7.6762360000000002E-2</v>
      </c>
      <c r="J67">
        <f>[1]data!G68*(_xlfn.XLOOKUP([1]data!$C68,[2]data!$B$2:$B$218,[2]data!F$2:F$218)/100)</f>
        <v>0.11374872500000001</v>
      </c>
      <c r="K67">
        <f>[1]data!H68*(_xlfn.XLOOKUP([1]data!$C68,[2]data!$B$2:$B$218,[2]data!G$2:G$218)/100)</f>
        <v>0.16228614600000002</v>
      </c>
      <c r="L67">
        <f>[1]data!I68*(_xlfn.XLOOKUP([1]data!$C68,[2]data!$B$2:$B$218,[2]data!H$2:H$218)/100)</f>
        <v>0.21218489600000004</v>
      </c>
      <c r="M67">
        <f>[1]data!J68*(_xlfn.XLOOKUP([1]data!$C68,[2]data!$B$2:$B$218,[2]data!I$2:I$218)/100)</f>
        <v>0.25203545000000005</v>
      </c>
      <c r="N67">
        <f>[1]data!K68*(_xlfn.XLOOKUP([1]data!$C68,[2]data!$B$2:$B$218,[2]data!J$2:J$218)/100)</f>
        <v>0.27889492799999999</v>
      </c>
      <c r="O67">
        <f>[1]data!L68*(_xlfn.XLOOKUP([1]data!$C68,[2]data!$B$2:$B$218,[2]data!K$2:K$218)/100)</f>
        <v>0.30375709000000001</v>
      </c>
      <c r="P67">
        <f>[1]data!M68*(_xlfn.XLOOKUP([1]data!$C68,[2]data!$B$2:$B$218,[2]data!L$2:L$218)/100)</f>
        <v>0.33415865100000003</v>
      </c>
      <c r="Q67">
        <f>[1]data!N68*(_xlfn.XLOOKUP([1]data!$C68,[2]data!$B$2:$B$218,[2]data!M$2:M$218)/100)</f>
        <v>0.37518494400000008</v>
      </c>
      <c r="R67">
        <f>[1]data!O68*(_xlfn.XLOOKUP([1]data!$C68,[2]data!$B$2:$B$218,[2]data!N$2:N$218)/100)</f>
        <v>0.40245463300000001</v>
      </c>
      <c r="S67">
        <f>[1]data!P68*(_xlfn.XLOOKUP([1]data!$C68,[2]data!$B$2:$B$218,[2]data!O$2:O$218)/100)</f>
        <v>0.41851291200000001</v>
      </c>
      <c r="T67">
        <f>[1]data!Q68*(_xlfn.XLOOKUP([1]data!$C68,[2]data!$B$2:$B$218,[2]data!P$2:P$218)/100)</f>
        <v>0.39954532799999998</v>
      </c>
      <c r="U67">
        <f>[1]data!R68*(_xlfn.XLOOKUP([1]data!$C68,[2]data!$B$2:$B$218,[2]data!Q$2:Q$218)/100)</f>
        <v>0.39651755999999999</v>
      </c>
      <c r="V67">
        <f>[1]data!S68*(_xlfn.XLOOKUP([1]data!$C68,[2]data!$B$2:$B$218,[2]data!R$2:R$218)/100)</f>
        <v>0.39346224000000007</v>
      </c>
      <c r="W67">
        <f>[1]data!T68*(_xlfn.XLOOKUP([1]data!$C68,[2]data!$B$2:$B$218,[2]data!S$2:S$218)/100)</f>
        <v>0.38916660499999906</v>
      </c>
      <c r="X67">
        <f>[1]data!U68*(_xlfn.XLOOKUP([1]data!$C68,[2]data!$B$2:$B$218,[2]data!T$2:T$218)/100)</f>
        <v>0.38759518128000003</v>
      </c>
      <c r="Y67">
        <f>[1]data!V68*(_xlfn.XLOOKUP([1]data!$C68,[2]data!$B$2:$B$218,[2]data!U$2:U$218)/100)</f>
        <v>0.38497338648000001</v>
      </c>
      <c r="Z67">
        <f>[1]data!W68*(_xlfn.XLOOKUP([1]data!$C68,[2]data!$B$2:$B$218,[2]data!V$2:V$218)/100)</f>
        <v>0.37965875497000001</v>
      </c>
      <c r="AA67">
        <f>[1]data!X68*(_xlfn.XLOOKUP([1]data!$C68,[2]data!$B$2:$B$218,[2]data!W$2:W$218)/100)</f>
        <v>0.37330552465000005</v>
      </c>
      <c r="AB67">
        <f>[1]data!Y68*(_xlfn.XLOOKUP([1]data!$C68,[2]data!$B$2:$B$218,[2]data!X$2:X$218)/100)</f>
        <v>0.36680494305</v>
      </c>
      <c r="AC67">
        <f>[1]data!Z68*(_xlfn.XLOOKUP([1]data!$C68,[2]data!$B$2:$B$218,[2]data!Y$2:Y$218)/100)</f>
        <v>0.36093396220000001</v>
      </c>
      <c r="AD67">
        <f>[1]data!AA68*(_xlfn.XLOOKUP([1]data!$C68,[2]data!$B$2:$B$218,[2]data!Z$2:Z$218)/100)</f>
        <v>0.35615774648999909</v>
      </c>
      <c r="AE67">
        <f>[1]data!AB68*(_xlfn.XLOOKUP([1]data!$C68,[2]data!$B$2:$B$218,[2]data!AA$2:AA$218)/100)</f>
        <v>0.35232312734999993</v>
      </c>
      <c r="AF67">
        <f>[1]data!AC68*(_xlfn.XLOOKUP([1]data!$C68,[2]data!$B$2:$B$218,[2]data!AB$2:AB$218)/100)</f>
        <v>0.34969146305999999</v>
      </c>
      <c r="AG67">
        <f>[1]data!AD68*(_xlfn.XLOOKUP([1]data!$C68,[2]data!$B$2:$B$218,[2]data!AC$2:AC$218)/100)</f>
        <v>0.34824395880000003</v>
      </c>
      <c r="AH67">
        <f>[1]data!AE68*(_xlfn.XLOOKUP([1]data!$C68,[2]data!$B$2:$B$218,[2]data!AD$2:AD$218)/100)</f>
        <v>0.34800691583999993</v>
      </c>
      <c r="AI67">
        <f>[1]data!AF68*(_xlfn.XLOOKUP([1]data!$C68,[2]data!$B$2:$B$218,[2]data!AE$2:AE$218)/100)</f>
        <v>0.34898015174999997</v>
      </c>
      <c r="AJ67">
        <f>[1]data!AG68*(_xlfn.XLOOKUP([1]data!$C68,[2]data!$B$2:$B$218,[2]data!AF$2:AF$218)/100)</f>
        <v>0.35072183405000001</v>
      </c>
      <c r="AK67">
        <f>[1]data!AH68*(_xlfn.XLOOKUP([1]data!$C68,[2]data!$B$2:$B$218,[2]data!AG$2:AG$218)/100)</f>
        <v>0.35254574943</v>
      </c>
      <c r="AL67">
        <f>[1]data!AI68*(_xlfn.XLOOKUP([1]data!$C68,[2]data!$B$2:$B$218,[2]data!AH$2:AH$218)/100)</f>
        <v>0.35375931760000001</v>
      </c>
      <c r="AM67">
        <f>[1]data!AJ68*(_xlfn.XLOOKUP([1]data!$C68,[2]data!$B$2:$B$218,[2]data!AI$2:AI$218)/100)</f>
        <v>0.35416119283999997</v>
      </c>
    </row>
    <row r="68" spans="1:39" x14ac:dyDescent="0.25">
      <c r="A68" t="s">
        <v>30</v>
      </c>
      <c r="B68" t="s">
        <v>31</v>
      </c>
      <c r="C68" t="s">
        <v>99</v>
      </c>
      <c r="D68" t="s">
        <v>260</v>
      </c>
      <c r="E68" t="str">
        <f>_xlfn.XLOOKUP(D68,[6]Feuil1!$C$2:$C$248,[6]Feuil1!$B$2:$B$248)</f>
        <v>GM</v>
      </c>
      <c r="F68" t="s">
        <v>33</v>
      </c>
      <c r="G68" t="str">
        <f>_xlfn.XLOOKUP(C68,[3]Sheet1!$B$2:$B$172,[3]Sheet1!$D$2:$D$172)</f>
        <v>Western Africa</v>
      </c>
      <c r="H68" t="s">
        <v>34</v>
      </c>
      <c r="I68">
        <f>[1]data!F69*(_xlfn.XLOOKUP([1]data!$C69,[2]data!$B$2:$B$218,[2]data!E$2:E$218)/100)</f>
        <v>3.1206115999999999E-2</v>
      </c>
      <c r="J68">
        <f>[1]data!G69*(_xlfn.XLOOKUP([1]data!$C69,[2]data!$B$2:$B$218,[2]data!F$2:F$218)/100)</f>
        <v>3.8611328E-2</v>
      </c>
      <c r="K68">
        <f>[1]data!H69*(_xlfn.XLOOKUP([1]data!$C69,[2]data!$B$2:$B$218,[2]data!G$2:G$218)/100)</f>
        <v>4.7693602000000002E-2</v>
      </c>
      <c r="L68">
        <f>[1]data!I69*(_xlfn.XLOOKUP([1]data!$C69,[2]data!$B$2:$B$218,[2]data!H$2:H$218)/100)</f>
        <v>6.5620619999999991E-2</v>
      </c>
      <c r="M68">
        <f>[1]data!J69*(_xlfn.XLOOKUP([1]data!$C69,[2]data!$B$2:$B$218,[2]data!I$2:I$218)/100)</f>
        <v>0.10161138</v>
      </c>
      <c r="N68">
        <f>[1]data!K69*(_xlfn.XLOOKUP([1]data!$C69,[2]data!$B$2:$B$218,[2]data!J$2:J$218)/100)</f>
        <v>0.14729913999999997</v>
      </c>
      <c r="O68">
        <f>[1]data!L69*(_xlfn.XLOOKUP([1]data!$C69,[2]data!$B$2:$B$218,[2]data!K$2:K$218)/100)</f>
        <v>0.20066701599999995</v>
      </c>
      <c r="P68">
        <f>[1]data!M69*(_xlfn.XLOOKUP([1]data!$C69,[2]data!$B$2:$B$218,[2]data!L$2:L$218)/100)</f>
        <v>0.27717360000000002</v>
      </c>
      <c r="Q68">
        <f>[1]data!N69*(_xlfn.XLOOKUP([1]data!$C69,[2]data!$B$2:$B$218,[2]data!M$2:M$218)/100)</f>
        <v>0.39052824799999991</v>
      </c>
      <c r="R68">
        <f>[1]data!O69*(_xlfn.XLOOKUP([1]data!$C69,[2]data!$B$2:$B$218,[2]data!N$2:N$218)/100)</f>
        <v>0.53119690399999997</v>
      </c>
      <c r="S68">
        <f>[1]data!P69*(_xlfn.XLOOKUP([1]data!$C69,[2]data!$B$2:$B$218,[2]data!O$2:O$218)/100)</f>
        <v>0.67866492300000003</v>
      </c>
      <c r="T68">
        <f>[1]data!Q69*(_xlfn.XLOOKUP([1]data!$C69,[2]data!$B$2:$B$218,[2]data!P$2:P$218)/100)</f>
        <v>0.85057596000000002</v>
      </c>
      <c r="U68">
        <f>[1]data!R69*(_xlfn.XLOOKUP([1]data!$C69,[2]data!$B$2:$B$218,[2]data!Q$2:Q$218)/100)</f>
        <v>1.0623922790000002</v>
      </c>
      <c r="V68">
        <f>[1]data!S69*(_xlfn.XLOOKUP([1]data!$C69,[2]data!$B$2:$B$218,[2]data!R$2:R$218)/100)</f>
        <v>1.3148947520000003</v>
      </c>
      <c r="W68">
        <f>[1]data!T69*(_xlfn.XLOOKUP([1]data!$C69,[2]data!$B$2:$B$218,[2]data!S$2:S$218)/100)</f>
        <v>1.5906960480000001</v>
      </c>
      <c r="X68">
        <f>[1]data!U69*(_xlfn.XLOOKUP([1]data!$C69,[2]data!$B$2:$B$218,[2]data!T$2:T$218)/100)</f>
        <v>1.8395196648000001</v>
      </c>
      <c r="Y68">
        <f>[1]data!V69*(_xlfn.XLOOKUP([1]data!$C69,[2]data!$B$2:$B$218,[2]data!U$2:U$218)/100)</f>
        <v>2.1083766441999998</v>
      </c>
      <c r="Z68">
        <f>[1]data!W69*(_xlfn.XLOOKUP([1]data!$C69,[2]data!$B$2:$B$218,[2]data!V$2:V$218)/100)</f>
        <v>2.3924343553800003</v>
      </c>
      <c r="AA68">
        <f>[1]data!X69*(_xlfn.XLOOKUP([1]data!$C69,[2]data!$B$2:$B$218,[2]data!W$2:W$218)/100)</f>
        <v>2.6790309835199997</v>
      </c>
      <c r="AB68">
        <f>[1]data!Y69*(_xlfn.XLOOKUP([1]data!$C69,[2]data!$B$2:$B$218,[2]data!X$2:X$218)/100)</f>
        <v>2.9630025779199998</v>
      </c>
      <c r="AC68">
        <f>[1]data!Z69*(_xlfn.XLOOKUP([1]data!$C69,[2]data!$B$2:$B$218,[2]data!Y$2:Y$218)/100)</f>
        <v>3.2348694459600003</v>
      </c>
      <c r="AD68">
        <f>[1]data!AA69*(_xlfn.XLOOKUP([1]data!$C69,[2]data!$B$2:$B$218,[2]data!Z$2:Z$218)/100)</f>
        <v>3.4888542778199927</v>
      </c>
      <c r="AE68">
        <f>[1]data!AB69*(_xlfn.XLOOKUP([1]data!$C69,[2]data!$B$2:$B$218,[2]data!AA$2:AA$218)/100)</f>
        <v>3.7186788216800002</v>
      </c>
      <c r="AF68">
        <f>[1]data!AC69*(_xlfn.XLOOKUP([1]data!$C69,[2]data!$B$2:$B$218,[2]data!AB$2:AB$218)/100)</f>
        <v>3.9285206765200003</v>
      </c>
      <c r="AG68">
        <f>[1]data!AD69*(_xlfn.XLOOKUP([1]data!$C69,[2]data!$B$2:$B$218,[2]data!AC$2:AC$218)/100)</f>
        <v>4.1158815063199992</v>
      </c>
      <c r="AH68">
        <f>[1]data!AE69*(_xlfn.XLOOKUP([1]data!$C69,[2]data!$B$2:$B$218,[2]data!AD$2:AD$218)/100)</f>
        <v>4.2754407292800005</v>
      </c>
      <c r="AI68">
        <f>[1]data!AF69*(_xlfn.XLOOKUP([1]data!$C69,[2]data!$B$2:$B$218,[2]data!AE$2:AE$218)/100)</f>
        <v>4.4055434066400014</v>
      </c>
      <c r="AJ68">
        <f>[1]data!AG69*(_xlfn.XLOOKUP([1]data!$C69,[2]data!$B$2:$B$218,[2]data!AF$2:AF$218)/100)</f>
        <v>4.51276583868</v>
      </c>
      <c r="AK68">
        <f>[1]data!AH69*(_xlfn.XLOOKUP([1]data!$C69,[2]data!$B$2:$B$218,[2]data!AG$2:AG$218)/100)</f>
        <v>4.598025743320008</v>
      </c>
      <c r="AL68">
        <f>[1]data!AI69*(_xlfn.XLOOKUP([1]data!$C69,[2]data!$B$2:$B$218,[2]data!AH$2:AH$218)/100)</f>
        <v>4.6624035997500002</v>
      </c>
      <c r="AM68">
        <f>[1]data!AJ69*(_xlfn.XLOOKUP([1]data!$C69,[2]data!$B$2:$B$218,[2]data!AI$2:AI$218)/100)</f>
        <v>4.7061961041999991</v>
      </c>
    </row>
    <row r="69" spans="1:39" x14ac:dyDescent="0.25">
      <c r="A69" t="s">
        <v>30</v>
      </c>
      <c r="B69" t="s">
        <v>31</v>
      </c>
      <c r="C69" t="s">
        <v>100</v>
      </c>
      <c r="D69" t="s">
        <v>337</v>
      </c>
      <c r="E69" t="str">
        <f>_xlfn.XLOOKUP(D69,[6]Feuil1!$C$2:$C$248,[6]Feuil1!$B$2:$B$248)</f>
        <v>GW</v>
      </c>
      <c r="F69" t="s">
        <v>33</v>
      </c>
      <c r="G69" t="str">
        <f>_xlfn.XLOOKUP(C69,[3]Sheet1!$B$2:$B$172,[3]Sheet1!$D$2:$D$172)</f>
        <v>Western Africa</v>
      </c>
      <c r="H69" t="s">
        <v>34</v>
      </c>
      <c r="I69">
        <f>[1]data!F70*(_xlfn.XLOOKUP([1]data!$C70,[2]data!$B$2:$B$218,[2]data!E$2:E$218)/100)</f>
        <v>5.395359999999999E-2</v>
      </c>
      <c r="J69">
        <f>[1]data!G70*(_xlfn.XLOOKUP([1]data!$C70,[2]data!$B$2:$B$218,[2]data!F$2:F$218)/100)</f>
        <v>6.5777867999999989E-2</v>
      </c>
      <c r="K69">
        <f>[1]data!H70*(_xlfn.XLOOKUP([1]data!$C70,[2]data!$B$2:$B$218,[2]data!G$2:G$218)/100)</f>
        <v>7.8403864000000004E-2</v>
      </c>
      <c r="L69">
        <f>[1]data!I70*(_xlfn.XLOOKUP([1]data!$C70,[2]data!$B$2:$B$218,[2]data!H$2:H$218)/100)</f>
        <v>8.3413330000000008E-2</v>
      </c>
      <c r="M69">
        <f>[1]data!J70*(_xlfn.XLOOKUP([1]data!$C70,[2]data!$B$2:$B$218,[2]data!I$2:I$218)/100)</f>
        <v>8.8604534999999998E-2</v>
      </c>
      <c r="N69">
        <f>[1]data!K70*(_xlfn.XLOOKUP([1]data!$C70,[2]data!$B$2:$B$218,[2]data!J$2:J$218)/100)</f>
        <v>0.10242912000000001</v>
      </c>
      <c r="O69">
        <f>[1]data!L70*(_xlfn.XLOOKUP([1]data!$C70,[2]data!$B$2:$B$218,[2]data!K$2:K$218)/100)</f>
        <v>0.14680977200000001</v>
      </c>
      <c r="P69">
        <f>[1]data!M70*(_xlfn.XLOOKUP([1]data!$C70,[2]data!$B$2:$B$218,[2]data!L$2:L$218)/100)</f>
        <v>0.21167086199999999</v>
      </c>
      <c r="Q69">
        <f>[1]data!N70*(_xlfn.XLOOKUP([1]data!$C70,[2]data!$B$2:$B$218,[2]data!M$2:M$218)/100)</f>
        <v>0.29750952000000003</v>
      </c>
      <c r="R69">
        <f>[1]data!O70*(_xlfn.XLOOKUP([1]data!$C70,[2]data!$B$2:$B$218,[2]data!N$2:N$218)/100)</f>
        <v>0.38011002399999994</v>
      </c>
      <c r="S69">
        <f>[1]data!P70*(_xlfn.XLOOKUP([1]data!$C70,[2]data!$B$2:$B$218,[2]data!O$2:O$218)/100)</f>
        <v>0.44089971</v>
      </c>
      <c r="T69">
        <f>[1]data!Q70*(_xlfn.XLOOKUP([1]data!$C70,[2]data!$B$2:$B$218,[2]data!P$2:P$218)/100)</f>
        <v>0.52068471800000005</v>
      </c>
      <c r="U69">
        <f>[1]data!R70*(_xlfn.XLOOKUP([1]data!$C70,[2]data!$B$2:$B$218,[2]data!Q$2:Q$218)/100)</f>
        <v>0.62029326600000012</v>
      </c>
      <c r="V69">
        <f>[1]data!S70*(_xlfn.XLOOKUP([1]data!$C70,[2]data!$B$2:$B$218,[2]data!R$2:R$218)/100)</f>
        <v>0.7435234690000001</v>
      </c>
      <c r="W69">
        <f>[1]data!T70*(_xlfn.XLOOKUP([1]data!$C70,[2]data!$B$2:$B$218,[2]data!S$2:S$218)/100)</f>
        <v>0.88103948399999998</v>
      </c>
      <c r="X69">
        <f>[1]data!U70*(_xlfn.XLOOKUP([1]data!$C70,[2]data!$B$2:$B$218,[2]data!T$2:T$218)/100)</f>
        <v>1.0423253204699998</v>
      </c>
      <c r="Y69">
        <f>[1]data!V70*(_xlfn.XLOOKUP([1]data!$C70,[2]data!$B$2:$B$218,[2]data!U$2:U$218)/100)</f>
        <v>1.21470697374</v>
      </c>
      <c r="Z69">
        <f>[1]data!W70*(_xlfn.XLOOKUP([1]data!$C70,[2]data!$B$2:$B$218,[2]data!V$2:V$218)/100)</f>
        <v>1.3934167807500002</v>
      </c>
      <c r="AA69">
        <f>[1]data!X70*(_xlfn.XLOOKUP([1]data!$C70,[2]data!$B$2:$B$218,[2]data!W$2:W$218)/100)</f>
        <v>1.5756273738799997</v>
      </c>
      <c r="AB69">
        <f>[1]data!Y70*(_xlfn.XLOOKUP([1]data!$C70,[2]data!$B$2:$B$218,[2]data!X$2:X$218)/100)</f>
        <v>1.7565569876299998</v>
      </c>
      <c r="AC69">
        <f>[1]data!Z70*(_xlfn.XLOOKUP([1]data!$C70,[2]data!$B$2:$B$218,[2]data!Y$2:Y$218)/100)</f>
        <v>1.93076531613</v>
      </c>
      <c r="AD69">
        <f>[1]data!AA70*(_xlfn.XLOOKUP([1]data!$C70,[2]data!$B$2:$B$218,[2]data!Z$2:Z$218)/100)</f>
        <v>2.0940448057399998</v>
      </c>
      <c r="AE69">
        <f>[1]data!AB70*(_xlfn.XLOOKUP([1]data!$C70,[2]data!$B$2:$B$218,[2]data!AA$2:AA$218)/100)</f>
        <v>2.2449327220000002</v>
      </c>
      <c r="AF69">
        <f>[1]data!AC70*(_xlfn.XLOOKUP([1]data!$C70,[2]data!$B$2:$B$218,[2]data!AB$2:AB$218)/100)</f>
        <v>2.3803045468599997</v>
      </c>
      <c r="AG69">
        <f>[1]data!AD70*(_xlfn.XLOOKUP([1]data!$C70,[2]data!$B$2:$B$218,[2]data!AC$2:AC$218)/100)</f>
        <v>2.4976893379800069</v>
      </c>
      <c r="AH69">
        <f>[1]data!AE70*(_xlfn.XLOOKUP([1]data!$C70,[2]data!$B$2:$B$218,[2]data!AD$2:AD$218)/100)</f>
        <v>2.5952460475499999</v>
      </c>
      <c r="AI69">
        <f>[1]data!AF70*(_xlfn.XLOOKUP([1]data!$C70,[2]data!$B$2:$B$218,[2]data!AE$2:AE$218)/100)</f>
        <v>2.6747850586200004</v>
      </c>
      <c r="AJ69">
        <f>[1]data!AG70*(_xlfn.XLOOKUP([1]data!$C70,[2]data!$B$2:$B$218,[2]data!AF$2:AF$218)/100)</f>
        <v>2.7383063243999999</v>
      </c>
      <c r="AK69">
        <f>[1]data!AH70*(_xlfn.XLOOKUP([1]data!$C70,[2]data!$B$2:$B$218,[2]data!AG$2:AG$218)/100)</f>
        <v>2.7858198304499999</v>
      </c>
      <c r="AL69">
        <f>[1]data!AI70*(_xlfn.XLOOKUP([1]data!$C70,[2]data!$B$2:$B$218,[2]data!AH$2:AH$218)/100)</f>
        <v>2.8184736050099999</v>
      </c>
      <c r="AM69">
        <f>[1]data!AJ70*(_xlfn.XLOOKUP([1]data!$C70,[2]data!$B$2:$B$218,[2]data!AI$2:AI$218)/100)</f>
        <v>2.8371281640200001</v>
      </c>
    </row>
    <row r="70" spans="1:39" x14ac:dyDescent="0.25">
      <c r="A70" t="s">
        <v>30</v>
      </c>
      <c r="B70" t="s">
        <v>31</v>
      </c>
      <c r="C70" t="s">
        <v>101</v>
      </c>
      <c r="D70" t="s">
        <v>338</v>
      </c>
      <c r="E70" t="str">
        <f>_xlfn.XLOOKUP(D70,[6]Feuil1!$C$2:$C$248,[6]Feuil1!$B$2:$B$248)</f>
        <v>GQ</v>
      </c>
      <c r="F70" t="s">
        <v>33</v>
      </c>
      <c r="G70" t="str">
        <f>_xlfn.XLOOKUP(C70,[3]Sheet1!$B$2:$B$172,[3]Sheet1!$D$2:$D$172)</f>
        <v>Western Africa</v>
      </c>
      <c r="H70" t="s">
        <v>34</v>
      </c>
      <c r="I70">
        <f>[1]data!F71*(_xlfn.XLOOKUP([1]data!$C71,[2]data!$B$2:$B$218,[2]data!E$2:E$218)/100)</f>
        <v>3.4793934999999998E-2</v>
      </c>
      <c r="J70">
        <f>[1]data!G71*(_xlfn.XLOOKUP([1]data!$C71,[2]data!$B$2:$B$218,[2]data!F$2:F$218)/100)</f>
        <v>4.9729691999999992E-2</v>
      </c>
      <c r="K70">
        <f>[1]data!H71*(_xlfn.XLOOKUP([1]data!$C71,[2]data!$B$2:$B$218,[2]data!G$2:G$218)/100)</f>
        <v>6.7568879999999998E-2</v>
      </c>
      <c r="L70">
        <f>[1]data!I71*(_xlfn.XLOOKUP([1]data!$C71,[2]data!$B$2:$B$218,[2]data!H$2:H$218)/100)</f>
        <v>7.7339455000000001E-2</v>
      </c>
      <c r="M70">
        <f>[1]data!J71*(_xlfn.XLOOKUP([1]data!$C71,[2]data!$B$2:$B$218,[2]data!I$2:I$218)/100)</f>
        <v>8.6110829999999999E-2</v>
      </c>
      <c r="N70">
        <f>[1]data!K71*(_xlfn.XLOOKUP([1]data!$C71,[2]data!$B$2:$B$218,[2]data!J$2:J$218)/100)</f>
        <v>7.8588131999999977E-2</v>
      </c>
      <c r="O70">
        <f>[1]data!L71*(_xlfn.XLOOKUP([1]data!$C71,[2]data!$B$2:$B$218,[2]data!K$2:K$218)/100)</f>
        <v>7.7164982999999993E-2</v>
      </c>
      <c r="P70">
        <f>[1]data!M71*(_xlfn.XLOOKUP([1]data!$C71,[2]data!$B$2:$B$218,[2]data!L$2:L$218)/100)</f>
        <v>0.110188377</v>
      </c>
      <c r="Q70">
        <f>[1]data!N71*(_xlfn.XLOOKUP([1]data!$C71,[2]data!$B$2:$B$218,[2]data!M$2:M$218)/100)</f>
        <v>0.158540136</v>
      </c>
      <c r="R70">
        <f>[1]data!O71*(_xlfn.XLOOKUP([1]data!$C71,[2]data!$B$2:$B$218,[2]data!N$2:N$218)/100)</f>
        <v>0.22279293</v>
      </c>
      <c r="S70">
        <f>[1]data!P71*(_xlfn.XLOOKUP([1]data!$C71,[2]data!$B$2:$B$218,[2]data!O$2:O$218)/100)</f>
        <v>0.32796737799999998</v>
      </c>
      <c r="T70">
        <f>[1]data!Q71*(_xlfn.XLOOKUP([1]data!$C71,[2]data!$B$2:$B$218,[2]data!P$2:P$218)/100)</f>
        <v>0.48758461800000008</v>
      </c>
      <c r="U70">
        <f>[1]data!R71*(_xlfn.XLOOKUP([1]data!$C71,[2]data!$B$2:$B$218,[2]data!Q$2:Q$218)/100)</f>
        <v>0.70423507800000007</v>
      </c>
      <c r="V70">
        <f>[1]data!S71*(_xlfn.XLOOKUP([1]data!$C71,[2]data!$B$2:$B$218,[2]data!R$2:R$218)/100)</f>
        <v>0.93261611600000005</v>
      </c>
      <c r="W70">
        <f>[1]data!T71*(_xlfn.XLOOKUP([1]data!$C71,[2]data!$B$2:$B$218,[2]data!S$2:S$218)/100)</f>
        <v>1.153784084</v>
      </c>
      <c r="X70">
        <f>[1]data!U71*(_xlfn.XLOOKUP([1]data!$C71,[2]data!$B$2:$B$218,[2]data!T$2:T$218)/100)</f>
        <v>1.3416803830799999</v>
      </c>
      <c r="Y70">
        <f>[1]data!V71*(_xlfn.XLOOKUP([1]data!$C71,[2]data!$B$2:$B$218,[2]data!U$2:U$218)/100)</f>
        <v>1.53936751635</v>
      </c>
      <c r="Z70">
        <f>[1]data!W71*(_xlfn.XLOOKUP([1]data!$C71,[2]data!$B$2:$B$218,[2]data!V$2:V$218)/100)</f>
        <v>1.7446415621000002</v>
      </c>
      <c r="AA70">
        <f>[1]data!X71*(_xlfn.XLOOKUP([1]data!$C71,[2]data!$B$2:$B$218,[2]data!W$2:W$218)/100)</f>
        <v>1.9537112014399993</v>
      </c>
      <c r="AB70">
        <f>[1]data!Y71*(_xlfn.XLOOKUP([1]data!$C71,[2]data!$B$2:$B$218,[2]data!X$2:X$218)/100)</f>
        <v>2.1631733912</v>
      </c>
      <c r="AC70">
        <f>[1]data!Z71*(_xlfn.XLOOKUP([1]data!$C71,[2]data!$B$2:$B$218,[2]data!Y$2:Y$218)/100)</f>
        <v>2.3681221022399996</v>
      </c>
      <c r="AD70">
        <f>[1]data!AA71*(_xlfn.XLOOKUP([1]data!$C71,[2]data!$B$2:$B$218,[2]data!Z$2:Z$218)/100)</f>
        <v>2.56241175727</v>
      </c>
      <c r="AE70">
        <f>[1]data!AB71*(_xlfn.XLOOKUP([1]data!$C71,[2]data!$B$2:$B$218,[2]data!AA$2:AA$218)/100)</f>
        <v>2.7415968426299999</v>
      </c>
      <c r="AF70">
        <f>[1]data!AC71*(_xlfn.XLOOKUP([1]data!$C71,[2]data!$B$2:$B$218,[2]data!AB$2:AB$218)/100)</f>
        <v>2.9015743606000002</v>
      </c>
      <c r="AG70">
        <f>[1]data!AD71*(_xlfn.XLOOKUP([1]data!$C71,[2]data!$B$2:$B$218,[2]data!AC$2:AC$218)/100)</f>
        <v>3.0376215183999999</v>
      </c>
      <c r="AH70">
        <f>[1]data!AE71*(_xlfn.XLOOKUP([1]data!$C71,[2]data!$B$2:$B$218,[2]data!AD$2:AD$218)/100)</f>
        <v>3.1484862975199994</v>
      </c>
      <c r="AI70">
        <f>[1]data!AF71*(_xlfn.XLOOKUP([1]data!$C71,[2]data!$B$2:$B$218,[2]data!AE$2:AE$218)/100)</f>
        <v>3.2311979798099997</v>
      </c>
      <c r="AJ70">
        <f>[1]data!AG71*(_xlfn.XLOOKUP([1]data!$C71,[2]data!$B$2:$B$218,[2]data!AF$2:AF$218)/100)</f>
        <v>3.2924229344999998</v>
      </c>
      <c r="AK70">
        <f>[1]data!AH71*(_xlfn.XLOOKUP([1]data!$C71,[2]data!$B$2:$B$218,[2]data!AG$2:AG$218)/100)</f>
        <v>3.3311122424999997</v>
      </c>
      <c r="AL70">
        <f>[1]data!AI71*(_xlfn.XLOOKUP([1]data!$C71,[2]data!$B$2:$B$218,[2]data!AH$2:AH$218)/100)</f>
        <v>3.3463328534000003</v>
      </c>
      <c r="AM70">
        <f>[1]data!AJ71*(_xlfn.XLOOKUP([1]data!$C71,[2]data!$B$2:$B$218,[2]data!AI$2:AI$218)/100)</f>
        <v>3.3368333609199996</v>
      </c>
    </row>
    <row r="71" spans="1:39" x14ac:dyDescent="0.25">
      <c r="A71" t="s">
        <v>30</v>
      </c>
      <c r="B71" t="s">
        <v>31</v>
      </c>
      <c r="C71" t="s">
        <v>102</v>
      </c>
      <c r="D71" t="s">
        <v>339</v>
      </c>
      <c r="E71" t="str">
        <f>_xlfn.XLOOKUP(D71,[6]Feuil1!$C$2:$C$248,[6]Feuil1!$B$2:$B$248)</f>
        <v>GR</v>
      </c>
      <c r="F71" t="s">
        <v>33</v>
      </c>
      <c r="G71" t="str">
        <f>_xlfn.XLOOKUP(C71,[3]Sheet1!$B$2:$B$172,[3]Sheet1!$D$2:$D$172)</f>
        <v>Western Europe</v>
      </c>
      <c r="H71" t="s">
        <v>34</v>
      </c>
      <c r="I71">
        <f>[1]data!F72*(_xlfn.XLOOKUP([1]data!$C72,[2]data!$B$2:$B$218,[2]data!E$2:E$218)/100)</f>
        <v>3.9777746760000001</v>
      </c>
      <c r="J71">
        <f>[1]data!G72*(_xlfn.XLOOKUP([1]data!$C72,[2]data!$B$2:$B$218,[2]data!F$2:F$218)/100)</f>
        <v>4.3817440220000003</v>
      </c>
      <c r="K71">
        <f>[1]data!H72*(_xlfn.XLOOKUP([1]data!$C72,[2]data!$B$2:$B$218,[2]data!G$2:G$218)/100)</f>
        <v>4.7378917039999999</v>
      </c>
      <c r="L71">
        <f>[1]data!I72*(_xlfn.XLOOKUP([1]data!$C72,[2]data!$B$2:$B$218,[2]data!H$2:H$218)/100)</f>
        <v>5.118025799999999</v>
      </c>
      <c r="M71">
        <f>[1]data!J72*(_xlfn.XLOOKUP([1]data!$C72,[2]data!$B$2:$B$218,[2]data!I$2:I$218)/100)</f>
        <v>5.4775054800000005</v>
      </c>
      <c r="N71">
        <f>[1]data!K72*(_xlfn.XLOOKUP([1]data!$C72,[2]data!$B$2:$B$218,[2]data!J$2:J$218)/100)</f>
        <v>5.8641502740000009</v>
      </c>
      <c r="O71">
        <f>[1]data!L72*(_xlfn.XLOOKUP([1]data!$C72,[2]data!$B$2:$B$218,[2]data!K$2:K$218)/100)</f>
        <v>6.4106935199999988</v>
      </c>
      <c r="P71">
        <f>[1]data!M72*(_xlfn.XLOOKUP([1]data!$C72,[2]data!$B$2:$B$218,[2]data!L$2:L$218)/100)</f>
        <v>6.9029066849999996</v>
      </c>
      <c r="Q71">
        <f>[1]data!N72*(_xlfn.XLOOKUP([1]data!$C72,[2]data!$B$2:$B$218,[2]data!M$2:M$218)/100)</f>
        <v>7.3339938099999999</v>
      </c>
      <c r="R71">
        <f>[1]data!O72*(_xlfn.XLOOKUP([1]data!$C72,[2]data!$B$2:$B$218,[2]data!N$2:N$218)/100)</f>
        <v>7.7066320099999999</v>
      </c>
      <c r="S71">
        <f>[1]data!P72*(_xlfn.XLOOKUP([1]data!$C72,[2]data!$B$2:$B$218,[2]data!O$2:O$218)/100)</f>
        <v>8.0106334310000005</v>
      </c>
      <c r="T71">
        <f>[1]data!Q72*(_xlfn.XLOOKUP([1]data!$C72,[2]data!$B$2:$B$218,[2]data!P$2:P$218)/100)</f>
        <v>8.2810795349999999</v>
      </c>
      <c r="U71">
        <f>[1]data!R72*(_xlfn.XLOOKUP([1]data!$C72,[2]data!$B$2:$B$218,[2]data!Q$2:Q$218)/100)</f>
        <v>8.4280186480000001</v>
      </c>
      <c r="V71">
        <f>[1]data!S72*(_xlfn.XLOOKUP([1]data!$C72,[2]data!$B$2:$B$218,[2]data!R$2:R$218)/100)</f>
        <v>8.4524044800000002</v>
      </c>
      <c r="W71">
        <f>[1]data!T72*(_xlfn.XLOOKUP([1]data!$C72,[2]data!$B$2:$B$218,[2]data!S$2:S$218)/100)</f>
        <v>8.4030459650000005</v>
      </c>
      <c r="X71">
        <f>[1]data!U72*(_xlfn.XLOOKUP([1]data!$C72,[2]data!$B$2:$B$218,[2]data!T$2:T$218)/100)</f>
        <v>8.3673693388599997</v>
      </c>
      <c r="Y71">
        <f>[1]data!V72*(_xlfn.XLOOKUP([1]data!$C72,[2]data!$B$2:$B$218,[2]data!U$2:U$218)/100)</f>
        <v>8.3453145844599987</v>
      </c>
      <c r="Z71">
        <f>[1]data!W72*(_xlfn.XLOOKUP([1]data!$C72,[2]data!$B$2:$B$218,[2]data!V$2:V$218)/100)</f>
        <v>8.3379023159999992</v>
      </c>
      <c r="AA71">
        <f>[1]data!X72*(_xlfn.XLOOKUP([1]data!$C72,[2]data!$B$2:$B$218,[2]data!W$2:W$218)/100)</f>
        <v>8.3469342332400007</v>
      </c>
      <c r="AB71">
        <f>[1]data!Y72*(_xlfn.XLOOKUP([1]data!$C72,[2]data!$B$2:$B$218,[2]data!X$2:X$218)/100)</f>
        <v>8.3636596359700022</v>
      </c>
      <c r="AC71">
        <f>[1]data!Z72*(_xlfn.XLOOKUP([1]data!$C72,[2]data!$B$2:$B$218,[2]data!Y$2:Y$218)/100)</f>
        <v>8.3825013148800007</v>
      </c>
      <c r="AD71">
        <f>[1]data!AA72*(_xlfn.XLOOKUP([1]data!$C72,[2]data!$B$2:$B$218,[2]data!Z$2:Z$218)/100)</f>
        <v>8.3790170508799999</v>
      </c>
      <c r="AE71">
        <f>[1]data!AB72*(_xlfn.XLOOKUP([1]data!$C72,[2]data!$B$2:$B$218,[2]data!AA$2:AA$218)/100)</f>
        <v>8.3541310855299997</v>
      </c>
      <c r="AF71">
        <f>[1]data!AC72*(_xlfn.XLOOKUP([1]data!$C72,[2]data!$B$2:$B$218,[2]data!AB$2:AB$218)/100)</f>
        <v>8.3068267151999997</v>
      </c>
      <c r="AG71">
        <f>[1]data!AD72*(_xlfn.XLOOKUP([1]data!$C72,[2]data!$B$2:$B$218,[2]data!AC$2:AC$218)/100)</f>
        <v>8.2470302367600077</v>
      </c>
      <c r="AH71">
        <f>[1]data!AE72*(_xlfn.XLOOKUP([1]data!$C72,[2]data!$B$2:$B$218,[2]data!AD$2:AD$218)/100)</f>
        <v>8.1826716011999991</v>
      </c>
      <c r="AI71">
        <f>[1]data!AF72*(_xlfn.XLOOKUP([1]data!$C72,[2]data!$B$2:$B$218,[2]data!AE$2:AE$218)/100)</f>
        <v>8.1214892995699923</v>
      </c>
      <c r="AJ71">
        <f>[1]data!AG72*(_xlfn.XLOOKUP([1]data!$C72,[2]data!$B$2:$B$218,[2]data!AF$2:AF$218)/100)</f>
        <v>8.0635648954500088</v>
      </c>
      <c r="AK71">
        <f>[1]data!AH72*(_xlfn.XLOOKUP([1]data!$C72,[2]data!$B$2:$B$218,[2]data!AG$2:AG$218)/100)</f>
        <v>8.0013833164800019</v>
      </c>
      <c r="AL71">
        <f>[1]data!AI72*(_xlfn.XLOOKUP([1]data!$C72,[2]data!$B$2:$B$218,[2]data!AH$2:AH$218)/100)</f>
        <v>7.9222998092399983</v>
      </c>
      <c r="AM71">
        <f>[1]data!AJ72*(_xlfn.XLOOKUP([1]data!$C72,[2]data!$B$2:$B$218,[2]data!AI$2:AI$218)/100)</f>
        <v>7.8156405554599999</v>
      </c>
    </row>
    <row r="72" spans="1:39" x14ac:dyDescent="0.25">
      <c r="A72" t="s">
        <v>30</v>
      </c>
      <c r="B72" t="s">
        <v>31</v>
      </c>
      <c r="C72" t="s">
        <v>103</v>
      </c>
      <c r="D72" t="s">
        <v>340</v>
      </c>
      <c r="E72" t="str">
        <f>_xlfn.XLOOKUP(D72,[6]Feuil1!$C$2:$C$248,[6]Feuil1!$B$2:$B$248)</f>
        <v>GD</v>
      </c>
      <c r="F72" t="s">
        <v>33</v>
      </c>
      <c r="G72" t="s">
        <v>236</v>
      </c>
      <c r="H72" t="s">
        <v>34</v>
      </c>
      <c r="I72">
        <f>[1]data!F73*(_xlfn.XLOOKUP([1]data!$C73,[2]data!$B$2:$B$218,[2]data!E$2:E$218)/100)</f>
        <v>2.1950129999999998E-2</v>
      </c>
      <c r="J72">
        <f>[1]data!G73*(_xlfn.XLOOKUP([1]data!$C73,[2]data!$B$2:$B$218,[2]data!F$2:F$218)/100)</f>
        <v>2.4035676000000002E-2</v>
      </c>
      <c r="K72">
        <f>[1]data!H73*(_xlfn.XLOOKUP([1]data!$C73,[2]data!$B$2:$B$218,[2]data!G$2:G$218)/100)</f>
        <v>2.8168395000000002E-2</v>
      </c>
      <c r="L72">
        <f>[1]data!I73*(_xlfn.XLOOKUP([1]data!$C73,[2]data!$B$2:$B$218,[2]data!H$2:H$218)/100)</f>
        <v>3.0658975999999998E-2</v>
      </c>
      <c r="M72">
        <f>[1]data!J73*(_xlfn.XLOOKUP([1]data!$C73,[2]data!$B$2:$B$218,[2]data!I$2:I$218)/100)</f>
        <v>3.1847732000000004E-2</v>
      </c>
      <c r="N72">
        <f>[1]data!K73*(_xlfn.XLOOKUP([1]data!$C73,[2]data!$B$2:$B$218,[2]data!J$2:J$218)/100)</f>
        <v>3.1734470000000001E-2</v>
      </c>
      <c r="O72">
        <f>[1]data!L73*(_xlfn.XLOOKUP([1]data!$C73,[2]data!$B$2:$B$218,[2]data!K$2:K$218)/100)</f>
        <v>3.1236575999999995E-2</v>
      </c>
      <c r="P72">
        <f>[1]data!M73*(_xlfn.XLOOKUP([1]data!$C73,[2]data!$B$2:$B$218,[2]data!L$2:L$218)/100)</f>
        <v>3.3279679999999999E-2</v>
      </c>
      <c r="Q72">
        <f>[1]data!N73*(_xlfn.XLOOKUP([1]data!$C73,[2]data!$B$2:$B$218,[2]data!M$2:M$218)/100)</f>
        <v>3.3071343999999996E-2</v>
      </c>
      <c r="R72">
        <f>[1]data!O73*(_xlfn.XLOOKUP([1]data!$C73,[2]data!$B$2:$B$218,[2]data!N$2:N$218)/100)</f>
        <v>3.575718E-2</v>
      </c>
      <c r="S72">
        <f>[1]data!P73*(_xlfn.XLOOKUP([1]data!$C73,[2]data!$B$2:$B$218,[2]data!O$2:O$218)/100)</f>
        <v>3.8245053000000008E-2</v>
      </c>
      <c r="T72">
        <f>[1]data!Q73*(_xlfn.XLOOKUP([1]data!$C73,[2]data!$B$2:$B$218,[2]data!P$2:P$218)/100)</f>
        <v>3.9446560999999998E-2</v>
      </c>
      <c r="U72">
        <f>[1]data!R73*(_xlfn.XLOOKUP([1]data!$C73,[2]data!$B$2:$B$218,[2]data!Q$2:Q$218)/100)</f>
        <v>4.0797837000000003E-2</v>
      </c>
      <c r="V72">
        <f>[1]data!S73*(_xlfn.XLOOKUP([1]data!$C73,[2]data!$B$2:$B$218,[2]data!R$2:R$218)/100)</f>
        <v>4.2652799999999998E-2</v>
      </c>
      <c r="W72">
        <f>[1]data!T73*(_xlfn.XLOOKUP([1]data!$C73,[2]data!$B$2:$B$218,[2]data!S$2:S$218)/100)</f>
        <v>4.4953764999999639E-2</v>
      </c>
      <c r="X72">
        <f>[1]data!U73*(_xlfn.XLOOKUP([1]data!$C73,[2]data!$B$2:$B$218,[2]data!T$2:T$218)/100)</f>
        <v>5.0007773280000001E-2</v>
      </c>
      <c r="Y72">
        <f>[1]data!V73*(_xlfn.XLOOKUP([1]data!$C73,[2]data!$B$2:$B$218,[2]data!U$2:U$218)/100)</f>
        <v>5.4687103919999994E-2</v>
      </c>
      <c r="Z72">
        <f>[1]data!W73*(_xlfn.XLOOKUP([1]data!$C73,[2]data!$B$2:$B$218,[2]data!V$2:V$218)/100)</f>
        <v>5.89755062E-2</v>
      </c>
      <c r="AA72">
        <f>[1]data!X73*(_xlfn.XLOOKUP([1]data!$C73,[2]data!$B$2:$B$218,[2]data!W$2:W$218)/100)</f>
        <v>6.3061809359999998E-2</v>
      </c>
      <c r="AB72">
        <f>[1]data!Y73*(_xlfn.XLOOKUP([1]data!$C73,[2]data!$B$2:$B$218,[2]data!X$2:X$218)/100)</f>
        <v>6.6944847649999986E-2</v>
      </c>
      <c r="AC72">
        <f>[1]data!Z73*(_xlfn.XLOOKUP([1]data!$C73,[2]data!$B$2:$B$218,[2]data!Y$2:Y$218)/100)</f>
        <v>7.046690551999947E-2</v>
      </c>
      <c r="AD72">
        <f>[1]data!AA73*(_xlfn.XLOOKUP([1]data!$C73,[2]data!$B$2:$B$218,[2]data!Z$2:Z$218)/100)</f>
        <v>7.3564514319999996E-2</v>
      </c>
      <c r="AE72">
        <f>[1]data!AB73*(_xlfn.XLOOKUP([1]data!$C73,[2]data!$B$2:$B$218,[2]data!AA$2:AA$218)/100)</f>
        <v>7.6159798109999996E-2</v>
      </c>
      <c r="AF72">
        <f>[1]data!AC73*(_xlfn.XLOOKUP([1]data!$C73,[2]data!$B$2:$B$218,[2]data!AB$2:AB$218)/100)</f>
        <v>7.8433276740000002E-2</v>
      </c>
      <c r="AG72">
        <f>[1]data!AD73*(_xlfn.XLOOKUP([1]data!$C73,[2]data!$B$2:$B$218,[2]data!AC$2:AC$218)/100)</f>
        <v>8.041848825999999E-2</v>
      </c>
      <c r="AH72">
        <f>[1]data!AE73*(_xlfn.XLOOKUP([1]data!$C73,[2]data!$B$2:$B$218,[2]data!AD$2:AD$218)/100)</f>
        <v>8.2053067499999993E-2</v>
      </c>
      <c r="AI72">
        <f>[1]data!AF73*(_xlfn.XLOOKUP([1]data!$C73,[2]data!$B$2:$B$218,[2]data!AE$2:AE$218)/100)</f>
        <v>8.329842375999999E-2</v>
      </c>
      <c r="AJ72">
        <f>[1]data!AG73*(_xlfn.XLOOKUP([1]data!$C73,[2]data!$B$2:$B$218,[2]data!AF$2:AF$218)/100)</f>
        <v>8.4237107679999992E-2</v>
      </c>
      <c r="AK72">
        <f>[1]data!AH73*(_xlfn.XLOOKUP([1]data!$C73,[2]data!$B$2:$B$218,[2]data!AG$2:AG$218)/100)</f>
        <v>8.5019910840000004E-2</v>
      </c>
      <c r="AL72">
        <f>[1]data!AI73*(_xlfn.XLOOKUP([1]data!$C73,[2]data!$B$2:$B$218,[2]data!AH$2:AH$218)/100)</f>
        <v>8.5768373669999315E-2</v>
      </c>
      <c r="AM72">
        <f>[1]data!AJ73*(_xlfn.XLOOKUP([1]data!$C73,[2]data!$B$2:$B$218,[2]data!AI$2:AI$218)/100)</f>
        <v>8.6493213959999996E-2</v>
      </c>
    </row>
    <row r="73" spans="1:39" x14ac:dyDescent="0.25">
      <c r="A73" t="s">
        <v>30</v>
      </c>
      <c r="B73" t="s">
        <v>31</v>
      </c>
      <c r="C73" t="s">
        <v>104</v>
      </c>
      <c r="D73" t="s">
        <v>341</v>
      </c>
      <c r="E73" t="str">
        <f>_xlfn.XLOOKUP(D73,[6]Feuil1!$C$2:$C$248,[6]Feuil1!$B$2:$B$248)</f>
        <v>GT</v>
      </c>
      <c r="F73" t="s">
        <v>33</v>
      </c>
      <c r="G73" t="str">
        <f>_xlfn.XLOOKUP(C73,[3]Sheet1!$B$2:$B$172,[3]Sheet1!$D$2:$D$172)</f>
        <v>Central America</v>
      </c>
      <c r="H73" t="s">
        <v>34</v>
      </c>
      <c r="I73">
        <f>[1]data!F74*(_xlfn.XLOOKUP([1]data!$C74,[2]data!$B$2:$B$218,[2]data!E$2:E$218)/100)</f>
        <v>0.76762376200000004</v>
      </c>
      <c r="J73">
        <f>[1]data!G74*(_xlfn.XLOOKUP([1]data!$C74,[2]data!$B$2:$B$218,[2]data!F$2:F$218)/100)</f>
        <v>0.98305900000000013</v>
      </c>
      <c r="K73">
        <f>[1]data!H74*(_xlfn.XLOOKUP([1]data!$C74,[2]data!$B$2:$B$218,[2]data!G$2:G$218)/100)</f>
        <v>1.255977543</v>
      </c>
      <c r="L73">
        <f>[1]data!I74*(_xlfn.XLOOKUP([1]data!$C74,[2]data!$B$2:$B$218,[2]data!H$2:H$218)/100)</f>
        <v>1.5897264400000004</v>
      </c>
      <c r="M73">
        <f>[1]data!J74*(_xlfn.XLOOKUP([1]data!$C74,[2]data!$B$2:$B$218,[2]data!I$2:I$218)/100)</f>
        <v>1.9099614149999999</v>
      </c>
      <c r="N73">
        <f>[1]data!K74*(_xlfn.XLOOKUP([1]data!$C74,[2]data!$B$2:$B$218,[2]data!J$2:J$218)/100)</f>
        <v>2.2723712899999997</v>
      </c>
      <c r="O73">
        <f>[1]data!L74*(_xlfn.XLOOKUP([1]data!$C74,[2]data!$B$2:$B$218,[2]data!K$2:K$218)/100)</f>
        <v>2.6699996880000003</v>
      </c>
      <c r="P73">
        <f>[1]data!M74*(_xlfn.XLOOKUP([1]data!$C74,[2]data!$B$2:$B$218,[2]data!L$2:L$218)/100)</f>
        <v>3.1533665929999999</v>
      </c>
      <c r="Q73">
        <f>[1]data!N74*(_xlfn.XLOOKUP([1]data!$C74,[2]data!$B$2:$B$218,[2]data!M$2:M$218)/100)</f>
        <v>3.7635532199999999</v>
      </c>
      <c r="R73">
        <f>[1]data!O74*(_xlfn.XLOOKUP([1]data!$C74,[2]data!$B$2:$B$218,[2]data!N$2:N$218)/100)</f>
        <v>4.4700612010000009</v>
      </c>
      <c r="S73">
        <f>[1]data!P74*(_xlfn.XLOOKUP([1]data!$C74,[2]data!$B$2:$B$218,[2]data!O$2:O$218)/100)</f>
        <v>5.2558541309999987</v>
      </c>
      <c r="T73">
        <f>[1]data!Q74*(_xlfn.XLOOKUP([1]data!$C74,[2]data!$B$2:$B$218,[2]data!P$2:P$218)/100)</f>
        <v>6.0944913189999994</v>
      </c>
      <c r="U73">
        <f>[1]data!R74*(_xlfn.XLOOKUP([1]data!$C74,[2]data!$B$2:$B$218,[2]data!Q$2:Q$218)/100)</f>
        <v>6.969260716</v>
      </c>
      <c r="V73">
        <f>[1]data!S74*(_xlfn.XLOOKUP([1]data!$C74,[2]data!$B$2:$B$218,[2]data!R$2:R$218)/100)</f>
        <v>7.9294025000000001</v>
      </c>
      <c r="W73">
        <f>[1]data!T74*(_xlfn.XLOOKUP([1]data!$C74,[2]data!$B$2:$B$218,[2]data!S$2:S$218)/100)</f>
        <v>8.9257486500000009</v>
      </c>
      <c r="X73">
        <f>[1]data!U74*(_xlfn.XLOOKUP([1]data!$C74,[2]data!$B$2:$B$218,[2]data!T$2:T$218)/100)</f>
        <v>10.001841040379999</v>
      </c>
      <c r="Y73">
        <f>[1]data!V74*(_xlfn.XLOOKUP([1]data!$C74,[2]data!$B$2:$B$218,[2]data!U$2:U$218)/100)</f>
        <v>11.148572628309998</v>
      </c>
      <c r="Z73">
        <f>[1]data!W74*(_xlfn.XLOOKUP([1]data!$C74,[2]data!$B$2:$B$218,[2]data!V$2:V$218)/100)</f>
        <v>12.270626070840002</v>
      </c>
      <c r="AA73">
        <f>[1]data!X74*(_xlfn.XLOOKUP([1]data!$C74,[2]data!$B$2:$B$218,[2]data!W$2:W$218)/100)</f>
        <v>13.351967327780001</v>
      </c>
      <c r="AB73">
        <f>[1]data!Y74*(_xlfn.XLOOKUP([1]data!$C74,[2]data!$B$2:$B$218,[2]data!X$2:X$218)/100)</f>
        <v>14.359711645499999</v>
      </c>
      <c r="AC73">
        <f>[1]data!Z74*(_xlfn.XLOOKUP([1]data!$C74,[2]data!$B$2:$B$218,[2]data!Y$2:Y$218)/100)</f>
        <v>15.271814868540002</v>
      </c>
      <c r="AD73">
        <f>[1]data!AA74*(_xlfn.XLOOKUP([1]data!$C74,[2]data!$B$2:$B$218,[2]data!Z$2:Z$218)/100)</f>
        <v>16.07817876855</v>
      </c>
      <c r="AE73">
        <f>[1]data!AB74*(_xlfn.XLOOKUP([1]data!$C74,[2]data!$B$2:$B$218,[2]data!AA$2:AA$218)/100)</f>
        <v>16.793580580920001</v>
      </c>
      <c r="AF73">
        <f>[1]data!AC74*(_xlfn.XLOOKUP([1]data!$C74,[2]data!$B$2:$B$218,[2]data!AB$2:AB$218)/100)</f>
        <v>17.426895615599999</v>
      </c>
      <c r="AG73">
        <f>[1]data!AD74*(_xlfn.XLOOKUP([1]data!$C74,[2]data!$B$2:$B$218,[2]data!AC$2:AC$218)/100)</f>
        <v>17.967994939649998</v>
      </c>
      <c r="AH73">
        <f>[1]data!AE74*(_xlfn.XLOOKUP([1]data!$C74,[2]data!$B$2:$B$218,[2]data!AD$2:AD$218)/100)</f>
        <v>18.404662163920001</v>
      </c>
      <c r="AI73">
        <f>[1]data!AF74*(_xlfn.XLOOKUP([1]data!$C74,[2]data!$B$2:$B$218,[2]data!AE$2:AE$218)/100)</f>
        <v>18.72528322246</v>
      </c>
      <c r="AJ73">
        <f>[1]data!AG74*(_xlfn.XLOOKUP([1]data!$C74,[2]data!$B$2:$B$218,[2]data!AF$2:AF$218)/100)</f>
        <v>18.943929814790003</v>
      </c>
      <c r="AK73">
        <f>[1]data!AH74*(_xlfn.XLOOKUP([1]data!$C74,[2]data!$B$2:$B$218,[2]data!AG$2:AG$218)/100)</f>
        <v>19.075358046150001</v>
      </c>
      <c r="AL73">
        <f>[1]data!AI74*(_xlfn.XLOOKUP([1]data!$C74,[2]data!$B$2:$B$218,[2]data!AH$2:AH$218)/100)</f>
        <v>19.132336566420001</v>
      </c>
      <c r="AM73">
        <f>[1]data!AJ74*(_xlfn.XLOOKUP([1]data!$C74,[2]data!$B$2:$B$218,[2]data!AI$2:AI$218)/100)</f>
        <v>19.135013439240002</v>
      </c>
    </row>
    <row r="74" spans="1:39" x14ac:dyDescent="0.25">
      <c r="A74" t="s">
        <v>30</v>
      </c>
      <c r="B74" t="s">
        <v>31</v>
      </c>
      <c r="C74" t="s">
        <v>105</v>
      </c>
      <c r="D74" t="e">
        <v>#N/A</v>
      </c>
      <c r="E74" t="e">
        <f>_xlfn.XLOOKUP(D74,[6]Feuil1!$C$2:$C$248,[6]Feuil1!$B$2:$B$248)</f>
        <v>#N/A</v>
      </c>
      <c r="F74" t="s">
        <v>33</v>
      </c>
      <c r="G74" t="s">
        <v>248</v>
      </c>
      <c r="H74" t="s">
        <v>34</v>
      </c>
      <c r="I74">
        <f>[1]data!F75*(_xlfn.XLOOKUP([1]data!$C75,[2]data!$B$2:$B$218,[2]data!E$2:E$218)/100)</f>
        <v>1.2484176000000001E-2</v>
      </c>
      <c r="J74">
        <f>[1]data!G75*(_xlfn.XLOOKUP([1]data!$C75,[2]data!$B$2:$B$218,[2]data!F$2:F$218)/100)</f>
        <v>1.4634764E-2</v>
      </c>
      <c r="K74">
        <f>[1]data!H75*(_xlfn.XLOOKUP([1]data!$C75,[2]data!$B$2:$B$218,[2]data!G$2:G$218)/100)</f>
        <v>1.9286244000000001E-2</v>
      </c>
      <c r="L74">
        <f>[1]data!I75*(_xlfn.XLOOKUP([1]data!$C75,[2]data!$B$2:$B$218,[2]data!H$2:H$218)/100)</f>
        <v>2.4992937E-2</v>
      </c>
      <c r="M74">
        <f>[1]data!J75*(_xlfn.XLOOKUP([1]data!$C75,[2]data!$B$2:$B$218,[2]data!I$2:I$218)/100)</f>
        <v>3.0887398000000003E-2</v>
      </c>
      <c r="N74">
        <f>[1]data!K75*(_xlfn.XLOOKUP([1]data!$C75,[2]data!$B$2:$B$218,[2]data!J$2:J$218)/100)</f>
        <v>3.6783311999999999E-2</v>
      </c>
      <c r="O74">
        <f>[1]data!L75*(_xlfn.XLOOKUP([1]data!$C75,[2]data!$B$2:$B$218,[2]data!K$2:K$218)/100)</f>
        <v>4.6368336000000003E-2</v>
      </c>
      <c r="P74">
        <f>[1]data!M75*(_xlfn.XLOOKUP([1]data!$C75,[2]data!$B$2:$B$218,[2]data!L$2:L$218)/100)</f>
        <v>6.1360254000000003E-2</v>
      </c>
      <c r="Q74">
        <f>[1]data!N75*(_xlfn.XLOOKUP([1]data!$C75,[2]data!$B$2:$B$218,[2]data!M$2:M$218)/100)</f>
        <v>8.3208840000000006E-2</v>
      </c>
      <c r="R74">
        <f>[1]data!O75*(_xlfn.XLOOKUP([1]data!$C75,[2]data!$B$2:$B$218,[2]data!N$2:N$218)/100)</f>
        <v>0.10370822</v>
      </c>
      <c r="S74">
        <f>[1]data!P75*(_xlfn.XLOOKUP([1]data!$C75,[2]data!$B$2:$B$218,[2]data!O$2:O$218)/100)</f>
        <v>0.12726873599999997</v>
      </c>
      <c r="T74">
        <f>[1]data!Q75*(_xlfn.XLOOKUP([1]data!$C75,[2]data!$B$2:$B$218,[2]data!P$2:P$218)/100)</f>
        <v>0.16012708399999998</v>
      </c>
      <c r="U74">
        <f>[1]data!R75*(_xlfn.XLOOKUP([1]data!$C75,[2]data!$B$2:$B$218,[2]data!Q$2:Q$218)/100)</f>
        <v>0.18731752400000001</v>
      </c>
      <c r="V74">
        <f>[1]data!S75*(_xlfn.XLOOKUP([1]data!$C75,[2]data!$B$2:$B$218,[2]data!R$2:R$218)/100)</f>
        <v>0.21477618499999998</v>
      </c>
      <c r="W74">
        <f>[1]data!T75*(_xlfn.XLOOKUP([1]data!$C75,[2]data!$B$2:$B$218,[2]data!S$2:S$218)/100)</f>
        <v>0.246944412</v>
      </c>
      <c r="X74">
        <f>[1]data!U75*(_xlfn.XLOOKUP([1]data!$C75,[2]data!$B$2:$B$218,[2]data!T$2:T$218)/100)</f>
        <v>0.28028481419999912</v>
      </c>
      <c r="Y74">
        <f>[1]data!V75*(_xlfn.XLOOKUP([1]data!$C75,[2]data!$B$2:$B$218,[2]data!U$2:U$218)/100)</f>
        <v>0.31333704840000004</v>
      </c>
      <c r="Z74">
        <f>[1]data!W75*(_xlfn.XLOOKUP([1]data!$C75,[2]data!$B$2:$B$218,[2]data!V$2:V$218)/100)</f>
        <v>0.34561034678999997</v>
      </c>
      <c r="AA74">
        <f>[1]data!X75*(_xlfn.XLOOKUP([1]data!$C75,[2]data!$B$2:$B$218,[2]data!W$2:W$218)/100)</f>
        <v>0.37671759600999993</v>
      </c>
      <c r="AB74">
        <f>[1]data!Y75*(_xlfn.XLOOKUP([1]data!$C75,[2]data!$B$2:$B$218,[2]data!X$2:X$218)/100)</f>
        <v>0.40632568204999997</v>
      </c>
      <c r="AC74">
        <f>[1]data!Z75*(_xlfn.XLOOKUP([1]data!$C75,[2]data!$B$2:$B$218,[2]data!Y$2:Y$218)/100)</f>
        <v>0.43455989619000002</v>
      </c>
      <c r="AD74">
        <f>[1]data!AA75*(_xlfn.XLOOKUP([1]data!$C75,[2]data!$B$2:$B$218,[2]data!Z$2:Z$218)/100)</f>
        <v>0.46077619265999992</v>
      </c>
      <c r="AE74">
        <f>[1]data!AB75*(_xlfn.XLOOKUP([1]data!$C75,[2]data!$B$2:$B$218,[2]data!AA$2:AA$218)/100)</f>
        <v>0.48484269916000006</v>
      </c>
      <c r="AF74">
        <f>[1]data!AC75*(_xlfn.XLOOKUP([1]data!$C75,[2]data!$B$2:$B$218,[2]data!AB$2:AB$218)/100)</f>
        <v>0.50581962647999912</v>
      </c>
      <c r="AG74">
        <f>[1]data!AD75*(_xlfn.XLOOKUP([1]data!$C75,[2]data!$B$2:$B$218,[2]data!AC$2:AC$218)/100)</f>
        <v>0.52362846035999999</v>
      </c>
      <c r="AH74">
        <f>[1]data!AE75*(_xlfn.XLOOKUP([1]data!$C75,[2]data!$B$2:$B$218,[2]data!AD$2:AD$218)/100)</f>
        <v>0.53947173824999994</v>
      </c>
      <c r="AI74">
        <f>[1]data!AF75*(_xlfn.XLOOKUP([1]data!$C75,[2]data!$B$2:$B$218,[2]data!AE$2:AE$218)/100)</f>
        <v>0.55384778515999999</v>
      </c>
      <c r="AJ74">
        <f>[1]data!AG75*(_xlfn.XLOOKUP([1]data!$C75,[2]data!$B$2:$B$218,[2]data!AF$2:AF$218)/100)</f>
        <v>0.56666271255</v>
      </c>
      <c r="AK74">
        <f>[1]data!AH75*(_xlfn.XLOOKUP([1]data!$C75,[2]data!$B$2:$B$218,[2]data!AG$2:AG$218)/100)</f>
        <v>0.57779484703999995</v>
      </c>
      <c r="AL74">
        <f>[1]data!AI75*(_xlfn.XLOOKUP([1]data!$C75,[2]data!$B$2:$B$218,[2]data!AH$2:AH$218)/100)</f>
        <v>0.58649175779999907</v>
      </c>
      <c r="AM74">
        <f>[1]data!AJ75*(_xlfn.XLOOKUP([1]data!$C75,[2]data!$B$2:$B$218,[2]data!AI$2:AI$218)/100)</f>
        <v>0.59286420358000003</v>
      </c>
    </row>
    <row r="75" spans="1:39" x14ac:dyDescent="0.25">
      <c r="A75" t="s">
        <v>30</v>
      </c>
      <c r="B75" t="s">
        <v>31</v>
      </c>
      <c r="C75" t="s">
        <v>106</v>
      </c>
      <c r="D75" t="s">
        <v>342</v>
      </c>
      <c r="E75" t="str">
        <f>_xlfn.XLOOKUP(D75,[6]Feuil1!$C$2:$C$248,[6]Feuil1!$B$2:$B$248)</f>
        <v>GU</v>
      </c>
      <c r="F75" t="s">
        <v>33</v>
      </c>
      <c r="G75" t="s">
        <v>250</v>
      </c>
      <c r="H75" t="s">
        <v>34</v>
      </c>
      <c r="I75">
        <f>[1]data!F76*(_xlfn.XLOOKUP([1]data!$C76,[2]data!$B$2:$B$218,[2]data!E$2:E$218)/100)</f>
        <v>2.4999303E-2</v>
      </c>
      <c r="J75">
        <f>[1]data!G76*(_xlfn.XLOOKUP([1]data!$C76,[2]data!$B$2:$B$218,[2]data!F$2:F$218)/100)</f>
        <v>2.9901053E-2</v>
      </c>
      <c r="K75">
        <f>[1]data!H76*(_xlfn.XLOOKUP([1]data!$C76,[2]data!$B$2:$B$218,[2]data!G$2:G$218)/100)</f>
        <v>3.5891138999999996E-2</v>
      </c>
      <c r="L75">
        <f>[1]data!I76*(_xlfn.XLOOKUP([1]data!$C76,[2]data!$B$2:$B$218,[2]data!H$2:H$218)/100)</f>
        <v>4.408809000000001E-2</v>
      </c>
      <c r="M75">
        <f>[1]data!J76*(_xlfn.XLOOKUP([1]data!$C76,[2]data!$B$2:$B$218,[2]data!I$2:I$218)/100)</f>
        <v>5.4008369000000007E-2</v>
      </c>
      <c r="N75">
        <f>[1]data!K76*(_xlfn.XLOOKUP([1]data!$C76,[2]data!$B$2:$B$218,[2]data!J$2:J$218)/100)</f>
        <v>8.2285808000000002E-2</v>
      </c>
      <c r="O75">
        <f>[1]data!L76*(_xlfn.XLOOKUP([1]data!$C76,[2]data!$B$2:$B$218,[2]data!K$2:K$218)/100)</f>
        <v>0.102108804</v>
      </c>
      <c r="P75">
        <f>[1]data!M76*(_xlfn.XLOOKUP([1]data!$C76,[2]data!$B$2:$B$218,[2]data!L$2:L$218)/100)</f>
        <v>0.113793901</v>
      </c>
      <c r="Q75">
        <f>[1]data!N76*(_xlfn.XLOOKUP([1]data!$C76,[2]data!$B$2:$B$218,[2]data!M$2:M$218)/100)</f>
        <v>0.12441325199999999</v>
      </c>
      <c r="R75">
        <f>[1]data!O76*(_xlfn.XLOOKUP([1]data!$C76,[2]data!$B$2:$B$218,[2]data!N$2:N$218)/100)</f>
        <v>0.137208738</v>
      </c>
      <c r="S75">
        <f>[1]data!P76*(_xlfn.XLOOKUP([1]data!$C76,[2]data!$B$2:$B$218,[2]data!O$2:O$218)/100)</f>
        <v>0.14842560599999999</v>
      </c>
      <c r="T75">
        <f>[1]data!Q76*(_xlfn.XLOOKUP([1]data!$C76,[2]data!$B$2:$B$218,[2]data!P$2:P$218)/100)</f>
        <v>0.15375203999999998</v>
      </c>
      <c r="U75">
        <f>[1]data!R76*(_xlfn.XLOOKUP([1]data!$C76,[2]data!$B$2:$B$218,[2]data!Q$2:Q$218)/100)</f>
        <v>0.15477944400000002</v>
      </c>
      <c r="V75">
        <f>[1]data!S76*(_xlfn.XLOOKUP([1]data!$C76,[2]data!$B$2:$B$218,[2]data!R$2:R$218)/100)</f>
        <v>0.158562495</v>
      </c>
      <c r="W75">
        <f>[1]data!T76*(_xlfn.XLOOKUP([1]data!$C76,[2]data!$B$2:$B$218,[2]data!S$2:S$218)/100)</f>
        <v>0.15997387900000001</v>
      </c>
      <c r="X75">
        <f>[1]data!U76*(_xlfn.XLOOKUP([1]data!$C76,[2]data!$B$2:$B$218,[2]data!T$2:T$218)/100)</f>
        <v>0.16277113080000002</v>
      </c>
      <c r="Y75">
        <f>[1]data!V76*(_xlfn.XLOOKUP([1]data!$C76,[2]data!$B$2:$B$218,[2]data!U$2:U$218)/100)</f>
        <v>0.16540680387999998</v>
      </c>
      <c r="Z75">
        <f>[1]data!W76*(_xlfn.XLOOKUP([1]data!$C76,[2]data!$B$2:$B$218,[2]data!V$2:V$218)/100)</f>
        <v>0.16771432961999996</v>
      </c>
      <c r="AA75">
        <f>[1]data!X76*(_xlfn.XLOOKUP([1]data!$C76,[2]data!$B$2:$B$218,[2]data!W$2:W$218)/100)</f>
        <v>0.1693680938999991</v>
      </c>
      <c r="AB75">
        <f>[1]data!Y76*(_xlfn.XLOOKUP([1]data!$C76,[2]data!$B$2:$B$218,[2]data!X$2:X$218)/100)</f>
        <v>0.17030761536</v>
      </c>
      <c r="AC75">
        <f>[1]data!Z76*(_xlfn.XLOOKUP([1]data!$C76,[2]data!$B$2:$B$218,[2]data!Y$2:Y$218)/100)</f>
        <v>0.17038948778999999</v>
      </c>
      <c r="AD75">
        <f>[1]data!AA76*(_xlfn.XLOOKUP([1]data!$C76,[2]data!$B$2:$B$218,[2]data!Z$2:Z$218)/100)</f>
        <v>0.16973757613000001</v>
      </c>
      <c r="AE75">
        <f>[1]data!AB76*(_xlfn.XLOOKUP([1]data!$C76,[2]data!$B$2:$B$218,[2]data!AA$2:AA$218)/100)</f>
        <v>0.16886149180000001</v>
      </c>
      <c r="AF75">
        <f>[1]data!AC76*(_xlfn.XLOOKUP([1]data!$C76,[2]data!$B$2:$B$218,[2]data!AB$2:AB$218)/100)</f>
        <v>0.16837558847999912</v>
      </c>
      <c r="AG75">
        <f>[1]data!AD76*(_xlfn.XLOOKUP([1]data!$C76,[2]data!$B$2:$B$218,[2]data!AC$2:AC$218)/100)</f>
        <v>0.16825353345999999</v>
      </c>
      <c r="AH75">
        <f>[1]data!AE76*(_xlfn.XLOOKUP([1]data!$C76,[2]data!$B$2:$B$218,[2]data!AD$2:AD$218)/100)</f>
        <v>0.16844254559999999</v>
      </c>
      <c r="AI75">
        <f>[1]data!AF76*(_xlfn.XLOOKUP([1]data!$C76,[2]data!$B$2:$B$218,[2]data!AE$2:AE$218)/100)</f>
        <v>0.16861107450000001</v>
      </c>
      <c r="AJ75">
        <f>[1]data!AG76*(_xlfn.XLOOKUP([1]data!$C76,[2]data!$B$2:$B$218,[2]data!AF$2:AF$218)/100)</f>
        <v>0.16867472826999999</v>
      </c>
      <c r="AK75">
        <f>[1]data!AH76*(_xlfn.XLOOKUP([1]data!$C76,[2]data!$B$2:$B$218,[2]data!AG$2:AG$218)/100)</f>
        <v>0.16858898588000001</v>
      </c>
      <c r="AL75">
        <f>[1]data!AI76*(_xlfn.XLOOKUP([1]data!$C76,[2]data!$B$2:$B$218,[2]data!AH$2:AH$218)/100)</f>
        <v>0.16832846547999999</v>
      </c>
      <c r="AM75">
        <f>[1]data!AJ76*(_xlfn.XLOOKUP([1]data!$C76,[2]data!$B$2:$B$218,[2]data!AI$2:AI$218)/100)</f>
        <v>0.16799104728</v>
      </c>
    </row>
    <row r="76" spans="1:39" x14ac:dyDescent="0.25">
      <c r="A76" t="s">
        <v>30</v>
      </c>
      <c r="B76" t="s">
        <v>31</v>
      </c>
      <c r="C76" t="s">
        <v>107</v>
      </c>
      <c r="D76" t="s">
        <v>343</v>
      </c>
      <c r="E76" t="str">
        <f>_xlfn.XLOOKUP(D76,[6]Feuil1!$C$2:$C$248,[6]Feuil1!$B$2:$B$248)</f>
        <v>GY</v>
      </c>
      <c r="F76" t="s">
        <v>33</v>
      </c>
      <c r="G76" t="str">
        <f>_xlfn.XLOOKUP(C76,[3]Sheet1!$B$2:$B$172,[3]Sheet1!$D$2:$D$172)</f>
        <v>Brazil</v>
      </c>
      <c r="H76" t="s">
        <v>34</v>
      </c>
      <c r="I76">
        <f>[1]data!F77*(_xlfn.XLOOKUP([1]data!$C77,[2]data!$B$2:$B$218,[2]data!E$2:E$218)/100)</f>
        <v>0.11557056000000002</v>
      </c>
      <c r="J76">
        <f>[1]data!G77*(_xlfn.XLOOKUP([1]data!$C77,[2]data!$B$2:$B$218,[2]data!F$2:F$218)/100)</f>
        <v>0.13545879</v>
      </c>
      <c r="K76">
        <f>[1]data!H77*(_xlfn.XLOOKUP([1]data!$C77,[2]data!$B$2:$B$218,[2]data!G$2:G$218)/100)</f>
        <v>0.16344051999999998</v>
      </c>
      <c r="L76">
        <f>[1]data!I77*(_xlfn.XLOOKUP([1]data!$C77,[2]data!$B$2:$B$218,[2]data!H$2:H$218)/100)</f>
        <v>0.18786520799999998</v>
      </c>
      <c r="M76">
        <f>[1]data!J77*(_xlfn.XLOOKUP([1]data!$C77,[2]data!$B$2:$B$218,[2]data!I$2:I$218)/100)</f>
        <v>0.206021382</v>
      </c>
      <c r="N76">
        <f>[1]data!K77*(_xlfn.XLOOKUP([1]data!$C77,[2]data!$B$2:$B$218,[2]data!J$2:J$218)/100)</f>
        <v>0.22248600000000002</v>
      </c>
      <c r="O76">
        <f>[1]data!L77*(_xlfn.XLOOKUP([1]data!$C77,[2]data!$B$2:$B$218,[2]data!K$2:K$218)/100)</f>
        <v>0.23697219</v>
      </c>
      <c r="P76">
        <f>[1]data!M77*(_xlfn.XLOOKUP([1]data!$C77,[2]data!$B$2:$B$218,[2]data!L$2:L$218)/100)</f>
        <v>0.2323701</v>
      </c>
      <c r="Q76">
        <f>[1]data!N77*(_xlfn.XLOOKUP([1]data!$C77,[2]data!$B$2:$B$218,[2]data!M$2:M$218)/100)</f>
        <v>0.22201894400000002</v>
      </c>
      <c r="R76">
        <f>[1]data!O77*(_xlfn.XLOOKUP([1]data!$C77,[2]data!$B$2:$B$218,[2]data!N$2:N$218)/100)</f>
        <v>0.21844933500000002</v>
      </c>
      <c r="S76">
        <f>[1]data!P77*(_xlfn.XLOOKUP([1]data!$C77,[2]data!$B$2:$B$218,[2]data!O$2:O$218)/100)</f>
        <v>0.21772106999999999</v>
      </c>
      <c r="T76">
        <f>[1]data!Q77*(_xlfn.XLOOKUP([1]data!$C77,[2]data!$B$2:$B$218,[2]data!P$2:P$218)/100)</f>
        <v>0.21134838800000003</v>
      </c>
      <c r="U76">
        <f>[1]data!R77*(_xlfn.XLOOKUP([1]data!$C77,[2]data!$B$2:$B$218,[2]data!Q$2:Q$218)/100)</f>
        <v>0.19941913600000002</v>
      </c>
      <c r="V76">
        <f>[1]data!S77*(_xlfn.XLOOKUP([1]data!$C77,[2]data!$B$2:$B$218,[2]data!R$2:R$218)/100)</f>
        <v>0.19879939200000002</v>
      </c>
      <c r="W76">
        <f>[1]data!T77*(_xlfn.XLOOKUP([1]data!$C77,[2]data!$B$2:$B$218,[2]data!S$2:S$218)/100)</f>
        <v>0.21221445999999974</v>
      </c>
      <c r="X76">
        <f>[1]data!U77*(_xlfn.XLOOKUP([1]data!$C77,[2]data!$B$2:$B$218,[2]data!T$2:T$218)/100)</f>
        <v>0.2401317845399997</v>
      </c>
      <c r="Y76">
        <f>[1]data!V77*(_xlfn.XLOOKUP([1]data!$C77,[2]data!$B$2:$B$218,[2]data!U$2:U$218)/100)</f>
        <v>0.26777878847999997</v>
      </c>
      <c r="Z76">
        <f>[1]data!W77*(_xlfn.XLOOKUP([1]data!$C77,[2]data!$B$2:$B$218,[2]data!V$2:V$218)/100)</f>
        <v>0.29382393774999993</v>
      </c>
      <c r="AA76">
        <f>[1]data!X77*(_xlfn.XLOOKUP([1]data!$C77,[2]data!$B$2:$B$218,[2]data!W$2:W$218)/100)</f>
        <v>0.31746249180000008</v>
      </c>
      <c r="AB76">
        <f>[1]data!Y77*(_xlfn.XLOOKUP([1]data!$C77,[2]data!$B$2:$B$218,[2]data!X$2:X$218)/100)</f>
        <v>0.33797041844999959</v>
      </c>
      <c r="AC76">
        <f>[1]data!Z77*(_xlfn.XLOOKUP([1]data!$C77,[2]data!$B$2:$B$218,[2]data!Y$2:Y$218)/100)</f>
        <v>0.35519117999999955</v>
      </c>
      <c r="AD76">
        <f>[1]data!AA77*(_xlfn.XLOOKUP([1]data!$C77,[2]data!$B$2:$B$218,[2]data!Z$2:Z$218)/100)</f>
        <v>0.36951924166</v>
      </c>
      <c r="AE76">
        <f>[1]data!AB77*(_xlfn.XLOOKUP([1]data!$C77,[2]data!$B$2:$B$218,[2]data!AA$2:AA$218)/100)</f>
        <v>0.38104709118000002</v>
      </c>
      <c r="AF76">
        <f>[1]data!AC77*(_xlfn.XLOOKUP([1]data!$C77,[2]data!$B$2:$B$218,[2]data!AB$2:AB$218)/100)</f>
        <v>0.39125358753999995</v>
      </c>
      <c r="AG76">
        <f>[1]data!AD77*(_xlfn.XLOOKUP([1]data!$C77,[2]data!$B$2:$B$218,[2]data!AC$2:AC$218)/100)</f>
        <v>0.40019134049999944</v>
      </c>
      <c r="AH76">
        <f>[1]data!AE77*(_xlfn.XLOOKUP([1]data!$C77,[2]data!$B$2:$B$218,[2]data!AD$2:AD$218)/100)</f>
        <v>0.40776906446000011</v>
      </c>
      <c r="AI76">
        <f>[1]data!AF77*(_xlfn.XLOOKUP([1]data!$C77,[2]data!$B$2:$B$218,[2]data!AE$2:AE$218)/100)</f>
        <v>0.41394547691999994</v>
      </c>
      <c r="AJ76">
        <f>[1]data!AG77*(_xlfn.XLOOKUP([1]data!$C77,[2]data!$B$2:$B$218,[2]data!AF$2:AF$218)/100)</f>
        <v>0.41889591279999999</v>
      </c>
      <c r="AK76">
        <f>[1]data!AH77*(_xlfn.XLOOKUP([1]data!$C77,[2]data!$B$2:$B$218,[2]data!AG$2:AG$218)/100)</f>
        <v>0.4228985614700001</v>
      </c>
      <c r="AL76">
        <f>[1]data!AI77*(_xlfn.XLOOKUP([1]data!$C77,[2]data!$B$2:$B$218,[2]data!AH$2:AH$218)/100)</f>
        <v>0.42635157866000001</v>
      </c>
      <c r="AM76">
        <f>[1]data!AJ77*(_xlfn.XLOOKUP([1]data!$C77,[2]data!$B$2:$B$218,[2]data!AI$2:AI$218)/100)</f>
        <v>0.42968400713000005</v>
      </c>
    </row>
    <row r="77" spans="1:39" x14ac:dyDescent="0.25">
      <c r="A77" t="s">
        <v>30</v>
      </c>
      <c r="B77" t="s">
        <v>31</v>
      </c>
      <c r="C77" t="s">
        <v>108</v>
      </c>
      <c r="D77" t="e">
        <v>#N/A</v>
      </c>
      <c r="E77" t="e">
        <f>_xlfn.XLOOKUP(D77,[6]Feuil1!$C$2:$C$248,[6]Feuil1!$B$2:$B$248)</f>
        <v>#N/A</v>
      </c>
      <c r="F77" t="s">
        <v>33</v>
      </c>
      <c r="G77" t="e">
        <f>_xlfn.XLOOKUP(C77,[3]Sheet1!$B$2:$B$172,[3]Sheet1!$D$2:$D$172)</f>
        <v>#N/A</v>
      </c>
      <c r="H77" t="s">
        <v>34</v>
      </c>
      <c r="I77" t="e">
        <f>[1]data!F78*(_xlfn.XLOOKUP([1]data!$C78,[2]data!$B$2:$B$218,[2]data!E$2:E$218)/100)</f>
        <v>#N/A</v>
      </c>
      <c r="J77" t="e">
        <f>[1]data!G78*(_xlfn.XLOOKUP([1]data!$C78,[2]data!$B$2:$B$218,[2]data!F$2:F$218)/100)</f>
        <v>#N/A</v>
      </c>
      <c r="K77" t="e">
        <f>[1]data!H78*(_xlfn.XLOOKUP([1]data!$C78,[2]data!$B$2:$B$218,[2]data!G$2:G$218)/100)</f>
        <v>#N/A</v>
      </c>
      <c r="L77" t="e">
        <f>[1]data!I78*(_xlfn.XLOOKUP([1]data!$C78,[2]data!$B$2:$B$218,[2]data!H$2:H$218)/100)</f>
        <v>#N/A</v>
      </c>
      <c r="M77" t="e">
        <f>[1]data!J78*(_xlfn.XLOOKUP([1]data!$C78,[2]data!$B$2:$B$218,[2]data!I$2:I$218)/100)</f>
        <v>#N/A</v>
      </c>
      <c r="N77" t="e">
        <f>[1]data!K78*(_xlfn.XLOOKUP([1]data!$C78,[2]data!$B$2:$B$218,[2]data!J$2:J$218)/100)</f>
        <v>#N/A</v>
      </c>
      <c r="O77" t="e">
        <f>[1]data!L78*(_xlfn.XLOOKUP([1]data!$C78,[2]data!$B$2:$B$218,[2]data!K$2:K$218)/100)</f>
        <v>#N/A</v>
      </c>
      <c r="P77" t="e">
        <f>[1]data!M78*(_xlfn.XLOOKUP([1]data!$C78,[2]data!$B$2:$B$218,[2]data!L$2:L$218)/100)</f>
        <v>#N/A</v>
      </c>
      <c r="Q77" t="e">
        <f>[1]data!N78*(_xlfn.XLOOKUP([1]data!$C78,[2]data!$B$2:$B$218,[2]data!M$2:M$218)/100)</f>
        <v>#N/A</v>
      </c>
      <c r="R77" t="e">
        <f>[1]data!O78*(_xlfn.XLOOKUP([1]data!$C78,[2]data!$B$2:$B$218,[2]data!N$2:N$218)/100)</f>
        <v>#N/A</v>
      </c>
      <c r="S77" t="e">
        <f>[1]data!P78*(_xlfn.XLOOKUP([1]data!$C78,[2]data!$B$2:$B$218,[2]data!O$2:O$218)/100)</f>
        <v>#N/A</v>
      </c>
      <c r="T77" t="e">
        <f>[1]data!Q78*(_xlfn.XLOOKUP([1]data!$C78,[2]data!$B$2:$B$218,[2]data!P$2:P$218)/100)</f>
        <v>#N/A</v>
      </c>
      <c r="U77" t="e">
        <f>[1]data!R78*(_xlfn.XLOOKUP([1]data!$C78,[2]data!$B$2:$B$218,[2]data!Q$2:Q$218)/100)</f>
        <v>#N/A</v>
      </c>
      <c r="V77" t="e">
        <f>[1]data!S78*(_xlfn.XLOOKUP([1]data!$C78,[2]data!$B$2:$B$218,[2]data!R$2:R$218)/100)</f>
        <v>#N/A</v>
      </c>
      <c r="W77" t="e">
        <f>[1]data!T78*(_xlfn.XLOOKUP([1]data!$C78,[2]data!$B$2:$B$218,[2]data!S$2:S$218)/100)</f>
        <v>#N/A</v>
      </c>
      <c r="X77" t="e">
        <f>[1]data!U78*(_xlfn.XLOOKUP([1]data!$C78,[2]data!$B$2:$B$218,[2]data!T$2:T$218)/100)</f>
        <v>#N/A</v>
      </c>
      <c r="Y77" t="e">
        <f>[1]data!V78*(_xlfn.XLOOKUP([1]data!$C78,[2]data!$B$2:$B$218,[2]data!U$2:U$218)/100)</f>
        <v>#N/A</v>
      </c>
      <c r="Z77" t="e">
        <f>[1]data!W78*(_xlfn.XLOOKUP([1]data!$C78,[2]data!$B$2:$B$218,[2]data!V$2:V$218)/100)</f>
        <v>#N/A</v>
      </c>
      <c r="AA77" t="e">
        <f>[1]data!X78*(_xlfn.XLOOKUP([1]data!$C78,[2]data!$B$2:$B$218,[2]data!W$2:W$218)/100)</f>
        <v>#N/A</v>
      </c>
      <c r="AB77" t="e">
        <f>[1]data!Y78*(_xlfn.XLOOKUP([1]data!$C78,[2]data!$B$2:$B$218,[2]data!X$2:X$218)/100)</f>
        <v>#N/A</v>
      </c>
      <c r="AC77" t="e">
        <f>[1]data!Z78*(_xlfn.XLOOKUP([1]data!$C78,[2]data!$B$2:$B$218,[2]data!Y$2:Y$218)/100)</f>
        <v>#N/A</v>
      </c>
      <c r="AD77" t="e">
        <f>[1]data!AA78*(_xlfn.XLOOKUP([1]data!$C78,[2]data!$B$2:$B$218,[2]data!Z$2:Z$218)/100)</f>
        <v>#N/A</v>
      </c>
      <c r="AE77" t="e">
        <f>[1]data!AB78*(_xlfn.XLOOKUP([1]data!$C78,[2]data!$B$2:$B$218,[2]data!AA$2:AA$218)/100)</f>
        <v>#N/A</v>
      </c>
      <c r="AF77" t="e">
        <f>[1]data!AC78*(_xlfn.XLOOKUP([1]data!$C78,[2]data!$B$2:$B$218,[2]data!AB$2:AB$218)/100)</f>
        <v>#N/A</v>
      </c>
      <c r="AG77" t="e">
        <f>[1]data!AD78*(_xlfn.XLOOKUP([1]data!$C78,[2]data!$B$2:$B$218,[2]data!AC$2:AC$218)/100)</f>
        <v>#N/A</v>
      </c>
      <c r="AH77" t="e">
        <f>[1]data!AE78*(_xlfn.XLOOKUP([1]data!$C78,[2]data!$B$2:$B$218,[2]data!AD$2:AD$218)/100)</f>
        <v>#N/A</v>
      </c>
      <c r="AI77" t="e">
        <f>[1]data!AF78*(_xlfn.XLOOKUP([1]data!$C78,[2]data!$B$2:$B$218,[2]data!AE$2:AE$218)/100)</f>
        <v>#N/A</v>
      </c>
      <c r="AJ77" t="e">
        <f>[1]data!AG78*(_xlfn.XLOOKUP([1]data!$C78,[2]data!$B$2:$B$218,[2]data!AF$2:AF$218)/100)</f>
        <v>#N/A</v>
      </c>
      <c r="AK77" t="e">
        <f>[1]data!AH78*(_xlfn.XLOOKUP([1]data!$C78,[2]data!$B$2:$B$218,[2]data!AG$2:AG$218)/100)</f>
        <v>#N/A</v>
      </c>
      <c r="AL77" t="e">
        <f>[1]data!AI78*(_xlfn.XLOOKUP([1]data!$C78,[2]data!$B$2:$B$218,[2]data!AH$2:AH$218)/100)</f>
        <v>#N/A</v>
      </c>
      <c r="AM77" t="e">
        <f>[1]data!AJ78*(_xlfn.XLOOKUP([1]data!$C78,[2]data!$B$2:$B$218,[2]data!AI$2:AI$218)/100)</f>
        <v>#N/A</v>
      </c>
    </row>
    <row r="78" spans="1:39" x14ac:dyDescent="0.25">
      <c r="A78" t="s">
        <v>30</v>
      </c>
      <c r="B78" t="s">
        <v>31</v>
      </c>
      <c r="C78" t="s">
        <v>109</v>
      </c>
      <c r="D78" t="s">
        <v>344</v>
      </c>
      <c r="E78" t="str">
        <f>_xlfn.XLOOKUP(D78,[6]Feuil1!$C$2:$C$248,[6]Feuil1!$B$2:$B$248)</f>
        <v>HN</v>
      </c>
      <c r="F78" t="s">
        <v>33</v>
      </c>
      <c r="G78" t="str">
        <f>_xlfn.XLOOKUP(C78,[3]Sheet1!$B$2:$B$172,[3]Sheet1!$D$2:$D$172)</f>
        <v>Central America</v>
      </c>
      <c r="H78" t="s">
        <v>34</v>
      </c>
      <c r="I78">
        <f>[1]data!F79*(_xlfn.XLOOKUP([1]data!$C79,[2]data!$B$2:$B$218,[2]data!E$2:E$218)/100)</f>
        <v>0.27035606400000001</v>
      </c>
      <c r="J78">
        <f>[1]data!G79*(_xlfn.XLOOKUP([1]data!$C79,[2]data!$B$2:$B$218,[2]data!F$2:F$218)/100)</f>
        <v>0.35410340000000007</v>
      </c>
      <c r="K78">
        <f>[1]data!H79*(_xlfn.XLOOKUP([1]data!$C79,[2]data!$B$2:$B$218,[2]data!G$2:G$218)/100)</f>
        <v>0.46495683599999998</v>
      </c>
      <c r="L78">
        <f>[1]data!I79*(_xlfn.XLOOKUP([1]data!$C79,[2]data!$B$2:$B$218,[2]data!H$2:H$218)/100)</f>
        <v>0.60867571600000003</v>
      </c>
      <c r="M78">
        <f>[1]data!J79*(_xlfn.XLOOKUP([1]data!$C79,[2]data!$B$2:$B$218,[2]data!I$2:I$218)/100)</f>
        <v>0.79223223199999993</v>
      </c>
      <c r="N78">
        <f>[1]data!K79*(_xlfn.XLOOKUP([1]data!$C79,[2]data!$B$2:$B$218,[2]data!J$2:J$218)/100)</f>
        <v>1.0210708260000001</v>
      </c>
      <c r="O78">
        <f>[1]data!L79*(_xlfn.XLOOKUP([1]data!$C79,[2]data!$B$2:$B$218,[2]data!K$2:K$218)/100)</f>
        <v>1.2981784409999999</v>
      </c>
      <c r="P78">
        <f>[1]data!M79*(_xlfn.XLOOKUP([1]data!$C79,[2]data!$B$2:$B$218,[2]data!L$2:L$218)/100)</f>
        <v>1.630284474</v>
      </c>
      <c r="Q78">
        <f>[1]data!N79*(_xlfn.XLOOKUP([1]data!$C79,[2]data!$B$2:$B$218,[2]data!M$2:M$218)/100)</f>
        <v>2.01790278</v>
      </c>
      <c r="R78">
        <f>[1]data!O79*(_xlfn.XLOOKUP([1]data!$C79,[2]data!$B$2:$B$218,[2]data!N$2:N$218)/100)</f>
        <v>2.4590069790000002</v>
      </c>
      <c r="S78">
        <f>[1]data!P79*(_xlfn.XLOOKUP([1]data!$C79,[2]data!$B$2:$B$218,[2]data!O$2:O$218)/100)</f>
        <v>2.9877543150000001</v>
      </c>
      <c r="T78">
        <f>[1]data!Q79*(_xlfn.XLOOKUP([1]data!$C79,[2]data!$B$2:$B$218,[2]data!P$2:P$218)/100)</f>
        <v>3.6324130860000001</v>
      </c>
      <c r="U78">
        <f>[1]data!R79*(_xlfn.XLOOKUP([1]data!$C79,[2]data!$B$2:$B$218,[2]data!Q$2:Q$218)/100)</f>
        <v>4.341279300000001</v>
      </c>
      <c r="V78">
        <f>[1]data!S79*(_xlfn.XLOOKUP([1]data!$C79,[2]data!$B$2:$B$218,[2]data!R$2:R$218)/100)</f>
        <v>5.0846199360000011</v>
      </c>
      <c r="W78">
        <f>[1]data!T79*(_xlfn.XLOOKUP([1]data!$C79,[2]data!$B$2:$B$218,[2]data!S$2:S$218)/100)</f>
        <v>5.8644012719999985</v>
      </c>
      <c r="X78">
        <f>[1]data!U79*(_xlfn.XLOOKUP([1]data!$C79,[2]data!$B$2:$B$218,[2]data!T$2:T$218)/100)</f>
        <v>6.567757383780001</v>
      </c>
      <c r="Y78">
        <f>[1]data!V79*(_xlfn.XLOOKUP([1]data!$C79,[2]data!$B$2:$B$218,[2]data!U$2:U$218)/100)</f>
        <v>7.2766164861600009</v>
      </c>
      <c r="Z78">
        <f>[1]data!W79*(_xlfn.XLOOKUP([1]data!$C79,[2]data!$B$2:$B$218,[2]data!V$2:V$218)/100)</f>
        <v>7.9555558897499994</v>
      </c>
      <c r="AA78">
        <f>[1]data!X79*(_xlfn.XLOOKUP([1]data!$C79,[2]data!$B$2:$B$218,[2]data!W$2:W$218)/100)</f>
        <v>8.5822910183999994</v>
      </c>
      <c r="AB78">
        <f>[1]data!Y79*(_xlfn.XLOOKUP([1]data!$C79,[2]data!$B$2:$B$218,[2]data!X$2:X$218)/100)</f>
        <v>9.1486087289600011</v>
      </c>
      <c r="AC78">
        <f>[1]data!Z79*(_xlfn.XLOOKUP([1]data!$C79,[2]data!$B$2:$B$218,[2]data!Y$2:Y$218)/100)</f>
        <v>9.6627347510000003</v>
      </c>
      <c r="AD78">
        <f>[1]data!AA79*(_xlfn.XLOOKUP([1]data!$C79,[2]data!$B$2:$B$218,[2]data!Z$2:Z$218)/100)</f>
        <v>10.124043117599999</v>
      </c>
      <c r="AE78">
        <f>[1]data!AB79*(_xlfn.XLOOKUP([1]data!$C79,[2]data!$B$2:$B$218,[2]data!AA$2:AA$218)/100)</f>
        <v>10.52588451684</v>
      </c>
      <c r="AF78">
        <f>[1]data!AC79*(_xlfn.XLOOKUP([1]data!$C79,[2]data!$B$2:$B$218,[2]data!AB$2:AB$218)/100)</f>
        <v>10.865288263949999</v>
      </c>
      <c r="AG78">
        <f>[1]data!AD79*(_xlfn.XLOOKUP([1]data!$C79,[2]data!$B$2:$B$218,[2]data!AC$2:AC$218)/100)</f>
        <v>11.131375864180002</v>
      </c>
      <c r="AH78">
        <f>[1]data!AE79*(_xlfn.XLOOKUP([1]data!$C79,[2]data!$B$2:$B$218,[2]data!AD$2:AD$218)/100)</f>
        <v>11.326429362400001</v>
      </c>
      <c r="AI78">
        <f>[1]data!AF79*(_xlfn.XLOOKUP([1]data!$C79,[2]data!$B$2:$B$218,[2]data!AE$2:AE$218)/100)</f>
        <v>11.45544353525</v>
      </c>
      <c r="AJ78">
        <f>[1]data!AG79*(_xlfn.XLOOKUP([1]data!$C79,[2]data!$B$2:$B$218,[2]data!AF$2:AF$218)/100)</f>
        <v>11.529947437800002</v>
      </c>
      <c r="AK78">
        <f>[1]data!AH79*(_xlfn.XLOOKUP([1]data!$C79,[2]data!$B$2:$B$218,[2]data!AG$2:AG$218)/100)</f>
        <v>11.556211734270001</v>
      </c>
      <c r="AL78">
        <f>[1]data!AI79*(_xlfn.XLOOKUP([1]data!$C79,[2]data!$B$2:$B$218,[2]data!AH$2:AH$218)/100)</f>
        <v>11.543145108539999</v>
      </c>
      <c r="AM78">
        <f>[1]data!AJ79*(_xlfn.XLOOKUP([1]data!$C79,[2]data!$B$2:$B$218,[2]data!AI$2:AI$218)/100)</f>
        <v>11.49949013346</v>
      </c>
    </row>
    <row r="79" spans="1:39" x14ac:dyDescent="0.25">
      <c r="A79" t="s">
        <v>30</v>
      </c>
      <c r="B79" t="s">
        <v>31</v>
      </c>
      <c r="C79" t="s">
        <v>110</v>
      </c>
      <c r="D79" t="s">
        <v>345</v>
      </c>
      <c r="E79" t="str">
        <f>_xlfn.XLOOKUP(D79,[6]Feuil1!$C$2:$C$248,[6]Feuil1!$B$2:$B$248)</f>
        <v>HR</v>
      </c>
      <c r="F79" t="s">
        <v>33</v>
      </c>
      <c r="G79" t="str">
        <f>_xlfn.XLOOKUP(C79,[3]Sheet1!$B$2:$B$172,[3]Sheet1!$D$2:$D$172)</f>
        <v>Central Europe</v>
      </c>
      <c r="H79" t="s">
        <v>34</v>
      </c>
      <c r="I79">
        <f>[1]data!F80*(_xlfn.XLOOKUP([1]data!$C80,[2]data!$B$2:$B$218,[2]data!E$2:E$218)/100)</f>
        <v>0.85766469000000012</v>
      </c>
      <c r="J79">
        <f>[1]data!G80*(_xlfn.XLOOKUP([1]data!$C80,[2]data!$B$2:$B$218,[2]data!F$2:F$218)/100)</f>
        <v>1.0480797600000002</v>
      </c>
      <c r="K79">
        <f>[1]data!H80*(_xlfn.XLOOKUP([1]data!$C80,[2]data!$B$2:$B$218,[2]data!G$2:G$218)/100)</f>
        <v>1.2681577959999999</v>
      </c>
      <c r="L79">
        <f>[1]data!I80*(_xlfn.XLOOKUP([1]data!$C80,[2]data!$B$2:$B$218,[2]data!H$2:H$218)/100)</f>
        <v>1.5245629000000001</v>
      </c>
      <c r="M79">
        <f>[1]data!J80*(_xlfn.XLOOKUP([1]data!$C80,[2]data!$B$2:$B$218,[2]data!I$2:I$218)/100)</f>
        <v>1.8027368400000001</v>
      </c>
      <c r="N79">
        <f>[1]data!K80*(_xlfn.XLOOKUP([1]data!$C80,[2]data!$B$2:$B$218,[2]data!J$2:J$218)/100)</f>
        <v>2.006499985</v>
      </c>
      <c r="O79">
        <f>[1]data!L80*(_xlfn.XLOOKUP([1]data!$C80,[2]data!$B$2:$B$218,[2]data!K$2:K$218)/100)</f>
        <v>2.2083447650000001</v>
      </c>
      <c r="P79">
        <f>[1]data!M80*(_xlfn.XLOOKUP([1]data!$C80,[2]data!$B$2:$B$218,[2]data!L$2:L$218)/100)</f>
        <v>2.3614285879999999</v>
      </c>
      <c r="Q79">
        <f>[1]data!N80*(_xlfn.XLOOKUP([1]data!$C80,[2]data!$B$2:$B$218,[2]data!M$2:M$218)/100)</f>
        <v>2.4867594900000003</v>
      </c>
      <c r="R79">
        <f>[1]data!O80*(_xlfn.XLOOKUP([1]data!$C80,[2]data!$B$2:$B$218,[2]data!N$2:N$218)/100)</f>
        <v>2.5276893340000002</v>
      </c>
      <c r="S79">
        <f>[1]data!P80*(_xlfn.XLOOKUP([1]data!$C80,[2]data!$B$2:$B$218,[2]data!O$2:O$218)/100)</f>
        <v>2.4443438820000001</v>
      </c>
      <c r="T79">
        <f>[1]data!Q80*(_xlfn.XLOOKUP([1]data!$C80,[2]data!$B$2:$B$218,[2]data!P$2:P$218)/100)</f>
        <v>2.408795241</v>
      </c>
      <c r="U79">
        <f>[1]data!R80*(_xlfn.XLOOKUP([1]data!$C80,[2]data!$B$2:$B$218,[2]data!Q$2:Q$218)/100)</f>
        <v>2.4156359040000002</v>
      </c>
      <c r="V79">
        <f>[1]data!S80*(_xlfn.XLOOKUP([1]data!$C80,[2]data!$B$2:$B$218,[2]data!R$2:R$218)/100)</f>
        <v>2.40027671</v>
      </c>
      <c r="W79">
        <f>[1]data!T80*(_xlfn.XLOOKUP([1]data!$C80,[2]data!$B$2:$B$218,[2]data!S$2:S$218)/100)</f>
        <v>2.3700349440000004</v>
      </c>
      <c r="X79">
        <f>[1]data!U80*(_xlfn.XLOOKUP([1]data!$C80,[2]data!$B$2:$B$218,[2]data!T$2:T$218)/100)</f>
        <v>2.3846468561999998</v>
      </c>
      <c r="Y79">
        <f>[1]data!V80*(_xlfn.XLOOKUP([1]data!$C80,[2]data!$B$2:$B$218,[2]data!U$2:U$218)/100)</f>
        <v>2.3888005311999998</v>
      </c>
      <c r="Z79">
        <f>[1]data!W80*(_xlfn.XLOOKUP([1]data!$C80,[2]data!$B$2:$B$218,[2]data!V$2:V$218)/100)</f>
        <v>2.3866577936</v>
      </c>
      <c r="AA79">
        <f>[1]data!X80*(_xlfn.XLOOKUP([1]data!$C80,[2]data!$B$2:$B$218,[2]data!W$2:W$218)/100)</f>
        <v>2.3786893766000001</v>
      </c>
      <c r="AB79">
        <f>[1]data!Y80*(_xlfn.XLOOKUP([1]data!$C80,[2]data!$B$2:$B$218,[2]data!X$2:X$218)/100)</f>
        <v>2.3671736035499999</v>
      </c>
      <c r="AC79">
        <f>[1]data!Z80*(_xlfn.XLOOKUP([1]data!$C80,[2]data!$B$2:$B$218,[2]data!Y$2:Y$218)/100)</f>
        <v>2.3543112532500001</v>
      </c>
      <c r="AD79">
        <f>[1]data!AA80*(_xlfn.XLOOKUP([1]data!$C80,[2]data!$B$2:$B$218,[2]data!Z$2:Z$218)/100)</f>
        <v>2.3408494469100001</v>
      </c>
      <c r="AE79">
        <f>[1]data!AB80*(_xlfn.XLOOKUP([1]data!$C80,[2]data!$B$2:$B$218,[2]data!AA$2:AA$218)/100)</f>
        <v>2.3276496675600002</v>
      </c>
      <c r="AF79">
        <f>[1]data!AC80*(_xlfn.XLOOKUP([1]data!$C80,[2]data!$B$2:$B$218,[2]data!AB$2:AB$218)/100)</f>
        <v>2.3142106727999998</v>
      </c>
      <c r="AG79">
        <f>[1]data!AD80*(_xlfn.XLOOKUP([1]data!$C80,[2]data!$B$2:$B$218,[2]data!AC$2:AC$218)/100)</f>
        <v>2.2994374360999998</v>
      </c>
      <c r="AH79">
        <f>[1]data!AE80*(_xlfn.XLOOKUP([1]data!$C80,[2]data!$B$2:$B$218,[2]data!AD$2:AD$218)/100)</f>
        <v>2.2821915708000002</v>
      </c>
      <c r="AI79">
        <f>[1]data!AF80*(_xlfn.XLOOKUP([1]data!$C80,[2]data!$B$2:$B$218,[2]data!AE$2:AE$218)/100)</f>
        <v>2.2630244498000001</v>
      </c>
      <c r="AJ79">
        <f>[1]data!AG80*(_xlfn.XLOOKUP([1]data!$C80,[2]data!$B$2:$B$218,[2]data!AF$2:AF$218)/100)</f>
        <v>2.2427898304</v>
      </c>
      <c r="AK79">
        <f>[1]data!AH80*(_xlfn.XLOOKUP([1]data!$C80,[2]data!$B$2:$B$218,[2]data!AG$2:AG$218)/100)</f>
        <v>2.2220189168400002</v>
      </c>
      <c r="AL79">
        <f>[1]data!AI80*(_xlfn.XLOOKUP([1]data!$C80,[2]data!$B$2:$B$218,[2]data!AH$2:AH$218)/100)</f>
        <v>2.1996432057599997</v>
      </c>
      <c r="AM79">
        <f>[1]data!AJ80*(_xlfn.XLOOKUP([1]data!$C80,[2]data!$B$2:$B$218,[2]data!AI$2:AI$218)/100)</f>
        <v>2.1744639480600001</v>
      </c>
    </row>
    <row r="80" spans="1:39" x14ac:dyDescent="0.25">
      <c r="A80" t="s">
        <v>30</v>
      </c>
      <c r="B80" t="s">
        <v>31</v>
      </c>
      <c r="C80" t="s">
        <v>111</v>
      </c>
      <c r="D80" t="s">
        <v>346</v>
      </c>
      <c r="E80" t="str">
        <f>_xlfn.XLOOKUP(D80,[6]Feuil1!$C$2:$C$248,[6]Feuil1!$B$2:$B$248)</f>
        <v>HT</v>
      </c>
      <c r="F80" t="s">
        <v>33</v>
      </c>
      <c r="G80" t="str">
        <f>_xlfn.XLOOKUP(C80,[3]Sheet1!$B$2:$B$172,[3]Sheet1!$D$2:$D$172)</f>
        <v>Central America</v>
      </c>
      <c r="H80" t="s">
        <v>34</v>
      </c>
      <c r="I80">
        <f>[1]data!F81*(_xlfn.XLOOKUP([1]data!$C81,[2]data!$B$2:$B$218,[2]data!E$2:E$218)/100)</f>
        <v>0.39287720999999998</v>
      </c>
      <c r="J80">
        <f>[1]data!G81*(_xlfn.XLOOKUP([1]data!$C81,[2]data!$B$2:$B$218,[2]data!F$2:F$218)/100)</f>
        <v>0.48474363000000009</v>
      </c>
      <c r="K80">
        <f>[1]data!H81*(_xlfn.XLOOKUP([1]data!$C81,[2]data!$B$2:$B$218,[2]data!G$2:G$218)/100)</f>
        <v>0.602849364</v>
      </c>
      <c r="L80">
        <f>[1]data!I81*(_xlfn.XLOOKUP([1]data!$C81,[2]data!$B$2:$B$218,[2]data!H$2:H$218)/100)</f>
        <v>0.74539097600000004</v>
      </c>
      <c r="M80">
        <f>[1]data!J81*(_xlfn.XLOOKUP([1]data!$C81,[2]data!$B$2:$B$218,[2]data!I$2:I$218)/100)</f>
        <v>0.91838835000000008</v>
      </c>
      <c r="N80">
        <f>[1]data!K81*(_xlfn.XLOOKUP([1]data!$C81,[2]data!$B$2:$B$218,[2]data!J$2:J$218)/100)</f>
        <v>1.0356200760000001</v>
      </c>
      <c r="O80">
        <f>[1]data!L81*(_xlfn.XLOOKUP([1]data!$C81,[2]data!$B$2:$B$218,[2]data!K$2:K$218)/100)</f>
        <v>1.1461615599999999</v>
      </c>
      <c r="P80">
        <f>[1]data!M81*(_xlfn.XLOOKUP([1]data!$C81,[2]data!$B$2:$B$218,[2]data!L$2:L$218)/100)</f>
        <v>1.4403321390000001</v>
      </c>
      <c r="Q80">
        <f>[1]data!N81*(_xlfn.XLOOKUP([1]data!$C81,[2]data!$B$2:$B$218,[2]data!M$2:M$218)/100)</f>
        <v>1.9534760699999998</v>
      </c>
      <c r="R80">
        <f>[1]data!O81*(_xlfn.XLOOKUP([1]data!$C81,[2]data!$B$2:$B$218,[2]data!N$2:N$218)/100)</f>
        <v>2.46329186</v>
      </c>
      <c r="S80">
        <f>[1]data!P81*(_xlfn.XLOOKUP([1]data!$C81,[2]data!$B$2:$B$218,[2]data!O$2:O$218)/100)</f>
        <v>2.9490221200000004</v>
      </c>
      <c r="T80">
        <f>[1]data!Q81*(_xlfn.XLOOKUP([1]data!$C81,[2]data!$B$2:$B$218,[2]data!P$2:P$218)/100)</f>
        <v>3.8488265039999998</v>
      </c>
      <c r="U80">
        <f>[1]data!R81*(_xlfn.XLOOKUP([1]data!$C81,[2]data!$B$2:$B$218,[2]data!Q$2:Q$218)/100)</f>
        <v>4.659204700000001</v>
      </c>
      <c r="V80">
        <f>[1]data!S81*(_xlfn.XLOOKUP([1]data!$C81,[2]data!$B$2:$B$218,[2]data!R$2:R$218)/100)</f>
        <v>5.4959373200000003</v>
      </c>
      <c r="W80">
        <f>[1]data!T81*(_xlfn.XLOOKUP([1]data!$C81,[2]data!$B$2:$B$218,[2]data!S$2:S$218)/100)</f>
        <v>6.4149023549999997</v>
      </c>
      <c r="X80">
        <f>[1]data!U81*(_xlfn.XLOOKUP([1]data!$C81,[2]data!$B$2:$B$218,[2]data!T$2:T$218)/100)</f>
        <v>7.1036039511000002</v>
      </c>
      <c r="Y80">
        <f>[1]data!V81*(_xlfn.XLOOKUP([1]data!$C81,[2]data!$B$2:$B$218,[2]data!U$2:U$218)/100)</f>
        <v>7.7957380740199991</v>
      </c>
      <c r="Z80">
        <f>[1]data!W81*(_xlfn.XLOOKUP([1]data!$C81,[2]data!$B$2:$B$218,[2]data!V$2:V$218)/100)</f>
        <v>8.4574016092800015</v>
      </c>
      <c r="AA80">
        <f>[1]data!X81*(_xlfn.XLOOKUP([1]data!$C81,[2]data!$B$2:$B$218,[2]data!W$2:W$218)/100)</f>
        <v>9.0699959132199997</v>
      </c>
      <c r="AB80">
        <f>[1]data!Y81*(_xlfn.XLOOKUP([1]data!$C81,[2]data!$B$2:$B$218,[2]data!X$2:X$218)/100)</f>
        <v>9.6307676750000013</v>
      </c>
      <c r="AC80">
        <f>[1]data!Z81*(_xlfn.XLOOKUP([1]data!$C81,[2]data!$B$2:$B$218,[2]data!Y$2:Y$218)/100)</f>
        <v>10.117480609489998</v>
      </c>
      <c r="AD80">
        <f>[1]data!AA81*(_xlfn.XLOOKUP([1]data!$C81,[2]data!$B$2:$B$218,[2]data!Z$2:Z$218)/100)</f>
        <v>10.514870291640001</v>
      </c>
      <c r="AE80">
        <f>[1]data!AB81*(_xlfn.XLOOKUP([1]data!$C81,[2]data!$B$2:$B$218,[2]data!AA$2:AA$218)/100)</f>
        <v>10.821166990469999</v>
      </c>
      <c r="AF80">
        <f>[1]data!AC81*(_xlfn.XLOOKUP([1]data!$C81,[2]data!$B$2:$B$218,[2]data!AB$2:AB$218)/100)</f>
        <v>11.06204046805</v>
      </c>
      <c r="AG80">
        <f>[1]data!AD81*(_xlfn.XLOOKUP([1]data!$C81,[2]data!$B$2:$B$218,[2]data!AC$2:AC$218)/100)</f>
        <v>11.247703215480001</v>
      </c>
      <c r="AH80">
        <f>[1]data!AE81*(_xlfn.XLOOKUP([1]data!$C81,[2]data!$B$2:$B$218,[2]data!AD$2:AD$218)/100)</f>
        <v>11.384855333070002</v>
      </c>
      <c r="AI80">
        <f>[1]data!AF81*(_xlfn.XLOOKUP([1]data!$C81,[2]data!$B$2:$B$218,[2]data!AE$2:AE$218)/100)</f>
        <v>11.476288746999998</v>
      </c>
      <c r="AJ80">
        <f>[1]data!AG81*(_xlfn.XLOOKUP([1]data!$C81,[2]data!$B$2:$B$218,[2]data!AF$2:AF$218)/100)</f>
        <v>11.522602362090002</v>
      </c>
      <c r="AK80">
        <f>[1]data!AH81*(_xlfn.XLOOKUP([1]data!$C81,[2]data!$B$2:$B$218,[2]data!AG$2:AG$218)/100)</f>
        <v>11.52632022928</v>
      </c>
      <c r="AL80">
        <f>[1]data!AI81*(_xlfn.XLOOKUP([1]data!$C81,[2]data!$B$2:$B$218,[2]data!AH$2:AH$218)/100)</f>
        <v>11.491378289650001</v>
      </c>
      <c r="AM80">
        <f>[1]data!AJ81*(_xlfn.XLOOKUP([1]data!$C81,[2]data!$B$2:$B$218,[2]data!AI$2:AI$218)/100)</f>
        <v>11.42827047902</v>
      </c>
    </row>
    <row r="81" spans="1:39" x14ac:dyDescent="0.25">
      <c r="A81" t="s">
        <v>30</v>
      </c>
      <c r="B81" t="s">
        <v>31</v>
      </c>
      <c r="C81" t="s">
        <v>112</v>
      </c>
      <c r="D81" t="s">
        <v>347</v>
      </c>
      <c r="E81" t="str">
        <f>_xlfn.XLOOKUP(D81,[6]Feuil1!$C$2:$C$248,[6]Feuil1!$B$2:$B$248)</f>
        <v>HU</v>
      </c>
      <c r="F81" t="s">
        <v>33</v>
      </c>
      <c r="G81" t="str">
        <f>_xlfn.XLOOKUP(C81,[3]Sheet1!$B$2:$B$172,[3]Sheet1!$D$2:$D$172)</f>
        <v>Central Europe</v>
      </c>
      <c r="H81" t="s">
        <v>34</v>
      </c>
      <c r="I81">
        <f>[1]data!F82*(_xlfn.XLOOKUP([1]data!$C82,[2]data!$B$2:$B$218,[2]data!E$2:E$218)/100)</f>
        <v>4.9249804800000003</v>
      </c>
      <c r="J81">
        <f>[1]data!G82*(_xlfn.XLOOKUP([1]data!$C82,[2]data!$B$2:$B$218,[2]data!F$2:F$218)/100)</f>
        <v>5.3122606399999999</v>
      </c>
      <c r="K81">
        <f>[1]data!H82*(_xlfn.XLOOKUP([1]data!$C82,[2]data!$B$2:$B$218,[2]data!G$2:G$218)/100)</f>
        <v>5.5681587519999995</v>
      </c>
      <c r="L81">
        <f>[1]data!I82*(_xlfn.XLOOKUP([1]data!$C82,[2]data!$B$2:$B$218,[2]data!H$2:H$218)/100)</f>
        <v>5.8749389000000001</v>
      </c>
      <c r="M81">
        <f>[1]data!J82*(_xlfn.XLOOKUP([1]data!$C82,[2]data!$B$2:$B$218,[2]data!I$2:I$218)/100)</f>
        <v>6.1900307520000002</v>
      </c>
      <c r="N81">
        <f>[1]data!K82*(_xlfn.XLOOKUP([1]data!$C82,[2]data!$B$2:$B$218,[2]data!J$2:J$218)/100)</f>
        <v>6.5238855639999995</v>
      </c>
      <c r="O81">
        <f>[1]data!L82*(_xlfn.XLOOKUP([1]data!$C82,[2]data!$B$2:$B$218,[2]data!K$2:K$218)/100)</f>
        <v>6.8735287020000007</v>
      </c>
      <c r="P81">
        <f>[1]data!M82*(_xlfn.XLOOKUP([1]data!$C82,[2]data!$B$2:$B$218,[2]data!L$2:L$218)/100)</f>
        <v>6.8751335309999995</v>
      </c>
      <c r="Q81">
        <f>[1]data!N82*(_xlfn.XLOOKUP([1]data!$C82,[2]data!$B$2:$B$218,[2]data!M$2:M$218)/100)</f>
        <v>6.828252213999999</v>
      </c>
      <c r="R81">
        <f>[1]data!O82*(_xlfn.XLOOKUP([1]data!$C82,[2]data!$B$2:$B$218,[2]data!N$2:N$218)/100)</f>
        <v>6.7386482000000001</v>
      </c>
      <c r="S81">
        <f>[1]data!P82*(_xlfn.XLOOKUP([1]data!$C82,[2]data!$B$2:$B$218,[2]data!O$2:O$218)/100)</f>
        <v>6.5979035579999996</v>
      </c>
      <c r="T81">
        <f>[1]data!Q82*(_xlfn.XLOOKUP([1]data!$C82,[2]data!$B$2:$B$218,[2]data!P$2:P$218)/100)</f>
        <v>6.6960356240000003</v>
      </c>
      <c r="U81">
        <f>[1]data!R82*(_xlfn.XLOOKUP([1]data!$C82,[2]data!$B$2:$B$218,[2]data!Q$2:Q$218)/100)</f>
        <v>6.8907007130000002</v>
      </c>
      <c r="V81">
        <f>[1]data!S82*(_xlfn.XLOOKUP([1]data!$C82,[2]data!$B$2:$B$218,[2]data!R$2:R$218)/100)</f>
        <v>6.9491293049999996</v>
      </c>
      <c r="W81">
        <f>[1]data!T82*(_xlfn.XLOOKUP([1]data!$C82,[2]data!$B$2:$B$218,[2]data!S$2:S$218)/100)</f>
        <v>7.0247184370000086</v>
      </c>
      <c r="X81">
        <f>[1]data!U82*(_xlfn.XLOOKUP([1]data!$C82,[2]data!$B$2:$B$218,[2]data!T$2:T$218)/100)</f>
        <v>7.0825137742800006</v>
      </c>
      <c r="Y81">
        <f>[1]data!V82*(_xlfn.XLOOKUP([1]data!$C82,[2]data!$B$2:$B$218,[2]data!U$2:U$218)/100)</f>
        <v>7.1207996270400065</v>
      </c>
      <c r="Z81">
        <f>[1]data!W82*(_xlfn.XLOOKUP([1]data!$C82,[2]data!$B$2:$B$218,[2]data!V$2:V$218)/100)</f>
        <v>7.1262369335800075</v>
      </c>
      <c r="AA81">
        <f>[1]data!X82*(_xlfn.XLOOKUP([1]data!$C82,[2]data!$B$2:$B$218,[2]data!W$2:W$218)/100)</f>
        <v>7.1100672636000075</v>
      </c>
      <c r="AB81">
        <f>[1]data!Y82*(_xlfn.XLOOKUP([1]data!$C82,[2]data!$B$2:$B$218,[2]data!X$2:X$218)/100)</f>
        <v>7.0834374374000086</v>
      </c>
      <c r="AC81">
        <f>[1]data!Z82*(_xlfn.XLOOKUP([1]data!$C82,[2]data!$B$2:$B$218,[2]data!Y$2:Y$218)/100)</f>
        <v>7.0557774717599999</v>
      </c>
      <c r="AD81">
        <f>[1]data!AA82*(_xlfn.XLOOKUP([1]data!$C82,[2]data!$B$2:$B$218,[2]data!Z$2:Z$218)/100)</f>
        <v>7.0219939922000103</v>
      </c>
      <c r="AE81">
        <f>[1]data!AB82*(_xlfn.XLOOKUP([1]data!$C82,[2]data!$B$2:$B$218,[2]data!AA$2:AA$218)/100)</f>
        <v>6.9737902761200008</v>
      </c>
      <c r="AF81">
        <f>[1]data!AC82*(_xlfn.XLOOKUP([1]data!$C82,[2]data!$B$2:$B$218,[2]data!AB$2:AB$218)/100)</f>
        <v>6.8973614948699922</v>
      </c>
      <c r="AG81">
        <f>[1]data!AD82*(_xlfn.XLOOKUP([1]data!$C82,[2]data!$B$2:$B$218,[2]data!AC$2:AC$218)/100)</f>
        <v>6.7982166420000087</v>
      </c>
      <c r="AH81">
        <f>[1]data!AE82*(_xlfn.XLOOKUP([1]data!$C82,[2]data!$B$2:$B$218,[2]data!AD$2:AD$218)/100)</f>
        <v>6.6892964381100004</v>
      </c>
      <c r="AI81">
        <f>[1]data!AF82*(_xlfn.XLOOKUP([1]data!$C82,[2]data!$B$2:$B$218,[2]data!AE$2:AE$218)/100)</f>
        <v>6.5827045881800004</v>
      </c>
      <c r="AJ81">
        <f>[1]data!AG82*(_xlfn.XLOOKUP([1]data!$C82,[2]data!$B$2:$B$218,[2]data!AF$2:AF$218)/100)</f>
        <v>6.4793142988200003</v>
      </c>
      <c r="AK81">
        <f>[1]data!AH82*(_xlfn.XLOOKUP([1]data!$C82,[2]data!$B$2:$B$218,[2]data!AG$2:AG$218)/100)</f>
        <v>6.3714055870399999</v>
      </c>
      <c r="AL81">
        <f>[1]data!AI82*(_xlfn.XLOOKUP([1]data!$C82,[2]data!$B$2:$B$218,[2]data!AH$2:AH$218)/100)</f>
        <v>6.25701812385</v>
      </c>
      <c r="AM81">
        <f>[1]data!AJ82*(_xlfn.XLOOKUP([1]data!$C82,[2]data!$B$2:$B$218,[2]data!AI$2:AI$218)/100)</f>
        <v>6.1350244309699997</v>
      </c>
    </row>
    <row r="82" spans="1:39" x14ac:dyDescent="0.25">
      <c r="A82" t="s">
        <v>30</v>
      </c>
      <c r="B82" t="s">
        <v>31</v>
      </c>
      <c r="C82" t="s">
        <v>113</v>
      </c>
      <c r="D82" t="s">
        <v>348</v>
      </c>
      <c r="E82" t="str">
        <f>_xlfn.XLOOKUP(D82,[6]Feuil1!$C$2:$C$248,[6]Feuil1!$B$2:$B$248)</f>
        <v>ID</v>
      </c>
      <c r="F82" t="s">
        <v>33</v>
      </c>
      <c r="G82" t="str">
        <f>_xlfn.XLOOKUP(C82,[3]Sheet1!$B$2:$B$172,[3]Sheet1!$D$2:$D$172)</f>
        <v>Indonesia region</v>
      </c>
      <c r="H82" t="s">
        <v>34</v>
      </c>
      <c r="I82">
        <f>[1]data!F83*(_xlfn.XLOOKUP([1]data!$C83,[2]data!$B$2:$B$218,[2]data!E$2:E$218)/100)</f>
        <v>8.5390056760000004</v>
      </c>
      <c r="J82">
        <f>[1]data!G83*(_xlfn.XLOOKUP([1]data!$C83,[2]data!$B$2:$B$218,[2]data!F$2:F$218)/100)</f>
        <v>10.369340010000002</v>
      </c>
      <c r="K82">
        <f>[1]data!H83*(_xlfn.XLOOKUP([1]data!$C83,[2]data!$B$2:$B$218,[2]data!G$2:G$218)/100)</f>
        <v>12.729624951999998</v>
      </c>
      <c r="L82">
        <f>[1]data!I83*(_xlfn.XLOOKUP([1]data!$C83,[2]data!$B$2:$B$218,[2]data!H$2:H$218)/100)</f>
        <v>15.809277602</v>
      </c>
      <c r="M82">
        <f>[1]data!J83*(_xlfn.XLOOKUP([1]data!$C83,[2]data!$B$2:$B$218,[2]data!I$2:I$218)/100)</f>
        <v>19.438826850000002</v>
      </c>
      <c r="N82">
        <f>[1]data!K83*(_xlfn.XLOOKUP([1]data!$C83,[2]data!$B$2:$B$218,[2]data!J$2:J$218)/100)</f>
        <v>25.006186276000001</v>
      </c>
      <c r="O82">
        <f>[1]data!L83*(_xlfn.XLOOKUP([1]data!$C83,[2]data!$B$2:$B$218,[2]data!K$2:K$218)/100)</f>
        <v>32.360139812</v>
      </c>
      <c r="P82">
        <f>[1]data!M83*(_xlfn.XLOOKUP([1]data!$C83,[2]data!$B$2:$B$218,[2]data!L$2:L$218)/100)</f>
        <v>42.828941943000004</v>
      </c>
      <c r="Q82">
        <f>[1]data!N83*(_xlfn.XLOOKUP([1]data!$C83,[2]data!$B$2:$B$218,[2]data!M$2:M$218)/100)</f>
        <v>55.254148578000006</v>
      </c>
      <c r="R82">
        <f>[1]data!O83*(_xlfn.XLOOKUP([1]data!$C83,[2]data!$B$2:$B$218,[2]data!N$2:N$218)/100)</f>
        <v>70.946428582999999</v>
      </c>
      <c r="S82">
        <f>[1]data!P83*(_xlfn.XLOOKUP([1]data!$C83,[2]data!$B$2:$B$218,[2]data!O$2:O$218)/100)</f>
        <v>89.268523680000001</v>
      </c>
      <c r="T82">
        <f>[1]data!Q83*(_xlfn.XLOOKUP([1]data!$C83,[2]data!$B$2:$B$218,[2]data!P$2:P$218)/100)</f>
        <v>104.341255164</v>
      </c>
      <c r="U82">
        <f>[1]data!R83*(_xlfn.XLOOKUP([1]data!$C83,[2]data!$B$2:$B$218,[2]data!Q$2:Q$218)/100)</f>
        <v>121.00676447400001</v>
      </c>
      <c r="V82">
        <f>[1]data!S83*(_xlfn.XLOOKUP([1]data!$C83,[2]data!$B$2:$B$218,[2]data!R$2:R$218)/100)</f>
        <v>137.34743909899998</v>
      </c>
      <c r="W82">
        <f>[1]data!T83*(_xlfn.XLOOKUP([1]data!$C83,[2]data!$B$2:$B$218,[2]data!S$2:S$218)/100)</f>
        <v>153.28742883600003</v>
      </c>
      <c r="X82">
        <f>[1]data!U83*(_xlfn.XLOOKUP([1]data!$C83,[2]data!$B$2:$B$218,[2]data!T$2:T$218)/100)</f>
        <v>164.47471910231999</v>
      </c>
      <c r="Y82">
        <f>[1]data!V83*(_xlfn.XLOOKUP([1]data!$C83,[2]data!$B$2:$B$218,[2]data!U$2:U$218)/100)</f>
        <v>175.82817645722002</v>
      </c>
      <c r="Z82">
        <f>[1]data!W83*(_xlfn.XLOOKUP([1]data!$C83,[2]data!$B$2:$B$218,[2]data!V$2:V$218)/100)</f>
        <v>186.16862106832002</v>
      </c>
      <c r="AA82">
        <f>[1]data!X83*(_xlfn.XLOOKUP([1]data!$C83,[2]data!$B$2:$B$218,[2]data!W$2:W$218)/100)</f>
        <v>195.23028593357003</v>
      </c>
      <c r="AB82">
        <f>[1]data!Y83*(_xlfn.XLOOKUP([1]data!$C83,[2]data!$B$2:$B$218,[2]data!X$2:X$218)/100)</f>
        <v>202.90940298640001</v>
      </c>
      <c r="AC82">
        <f>[1]data!Z83*(_xlfn.XLOOKUP([1]data!$C83,[2]data!$B$2:$B$218,[2]data!Y$2:Y$218)/100)</f>
        <v>209.15267107175998</v>
      </c>
      <c r="AD82">
        <f>[1]data!AA83*(_xlfn.XLOOKUP([1]data!$C83,[2]data!$B$2:$B$218,[2]data!Z$2:Z$218)/100)</f>
        <v>214.25518634716005</v>
      </c>
      <c r="AE82">
        <f>[1]data!AB83*(_xlfn.XLOOKUP([1]data!$C83,[2]data!$B$2:$B$218,[2]data!AA$2:AA$218)/100)</f>
        <v>218.22156522220996</v>
      </c>
      <c r="AF82">
        <f>[1]data!AC83*(_xlfn.XLOOKUP([1]data!$C83,[2]data!$B$2:$B$218,[2]data!AB$2:AB$218)/100)</f>
        <v>221.12390221200002</v>
      </c>
      <c r="AG82">
        <f>[1]data!AD83*(_xlfn.XLOOKUP([1]data!$C83,[2]data!$B$2:$B$218,[2]data!AC$2:AC$218)/100)</f>
        <v>223.04810844884</v>
      </c>
      <c r="AH82">
        <f>[1]data!AE83*(_xlfn.XLOOKUP([1]data!$C83,[2]data!$B$2:$B$218,[2]data!AD$2:AD$218)/100)</f>
        <v>224.08884161902</v>
      </c>
      <c r="AI82">
        <f>[1]data!AF83*(_xlfn.XLOOKUP([1]data!$C83,[2]data!$B$2:$B$218,[2]data!AE$2:AE$218)/100)</f>
        <v>224.19655016359999</v>
      </c>
      <c r="AJ82">
        <f>[1]data!AG83*(_xlfn.XLOOKUP([1]data!$C83,[2]data!$B$2:$B$218,[2]data!AF$2:AF$218)/100)</f>
        <v>223.46373014560001</v>
      </c>
      <c r="AK82">
        <f>[1]data!AH83*(_xlfn.XLOOKUP([1]data!$C83,[2]data!$B$2:$B$218,[2]data!AG$2:AG$218)/100)</f>
        <v>221.96475321209999</v>
      </c>
      <c r="AL82">
        <f>[1]data!AI83*(_xlfn.XLOOKUP([1]data!$C83,[2]data!$B$2:$B$218,[2]data!AH$2:AH$218)/100)</f>
        <v>219.79047870625999</v>
      </c>
      <c r="AM82">
        <f>[1]data!AJ83*(_xlfn.XLOOKUP([1]data!$C83,[2]data!$B$2:$B$218,[2]data!AI$2:AI$218)/100)</f>
        <v>217.05697476855005</v>
      </c>
    </row>
    <row r="83" spans="1:39" x14ac:dyDescent="0.25">
      <c r="A83" t="s">
        <v>30</v>
      </c>
      <c r="B83" t="s">
        <v>31</v>
      </c>
      <c r="C83" t="s">
        <v>114</v>
      </c>
      <c r="D83" t="s">
        <v>349</v>
      </c>
      <c r="E83" t="str">
        <f>_xlfn.XLOOKUP(D83,[6]Feuil1!$C$2:$C$248,[6]Feuil1!$B$2:$B$248)</f>
        <v>IN</v>
      </c>
      <c r="F83" t="s">
        <v>33</v>
      </c>
      <c r="G83" t="str">
        <f>_xlfn.XLOOKUP(C83,[3]Sheet1!$B$2:$B$172,[3]Sheet1!$D$2:$D$172)</f>
        <v>India</v>
      </c>
      <c r="H83" t="s">
        <v>34</v>
      </c>
      <c r="I83">
        <f>[1]data!F84*(_xlfn.XLOOKUP([1]data!$C84,[2]data!$B$2:$B$218,[2]data!E$2:E$218)/100)</f>
        <v>60.027726920000006</v>
      </c>
      <c r="J83">
        <f>[1]data!G84*(_xlfn.XLOOKUP([1]data!$C84,[2]data!$B$2:$B$218,[2]data!F$2:F$218)/100)</f>
        <v>69.360716832000008</v>
      </c>
      <c r="K83">
        <f>[1]data!H84*(_xlfn.XLOOKUP([1]data!$C84,[2]data!$B$2:$B$218,[2]data!G$2:G$218)/100)</f>
        <v>78.908174051999993</v>
      </c>
      <c r="L83">
        <f>[1]data!I84*(_xlfn.XLOOKUP([1]data!$C84,[2]data!$B$2:$B$218,[2]data!H$2:H$218)/100)</f>
        <v>92.999348003999998</v>
      </c>
      <c r="M83">
        <f>[1]data!J84*(_xlfn.XLOOKUP([1]data!$C84,[2]data!$B$2:$B$218,[2]data!I$2:I$218)/100)</f>
        <v>109.15853592600001</v>
      </c>
      <c r="N83">
        <f>[1]data!K84*(_xlfn.XLOOKUP([1]data!$C84,[2]data!$B$2:$B$218,[2]data!J$2:J$218)/100)</f>
        <v>131.33652270900001</v>
      </c>
      <c r="O83">
        <f>[1]data!L84*(_xlfn.XLOOKUP([1]data!$C84,[2]data!$B$2:$B$218,[2]data!K$2:K$218)/100)</f>
        <v>159.13004484300004</v>
      </c>
      <c r="P83">
        <f>[1]data!M84*(_xlfn.XLOOKUP([1]data!$C84,[2]data!$B$2:$B$218,[2]data!L$2:L$218)/100)</f>
        <v>187.479280053</v>
      </c>
      <c r="Q83">
        <f>[1]data!N84*(_xlfn.XLOOKUP([1]data!$C84,[2]data!$B$2:$B$218,[2]data!M$2:M$218)/100)</f>
        <v>219.60720972000001</v>
      </c>
      <c r="R83">
        <f>[1]data!O84*(_xlfn.XLOOKUP([1]data!$C84,[2]data!$B$2:$B$218,[2]data!N$2:N$218)/100)</f>
        <v>253.97294167000001</v>
      </c>
      <c r="S83">
        <f>[1]data!P84*(_xlfn.XLOOKUP([1]data!$C84,[2]data!$B$2:$B$218,[2]data!O$2:O$218)/100)</f>
        <v>290.85325336500006</v>
      </c>
      <c r="T83">
        <f>[1]data!Q84*(_xlfn.XLOOKUP([1]data!$C84,[2]data!$B$2:$B$218,[2]data!P$2:P$218)/100)</f>
        <v>334.52652638799998</v>
      </c>
      <c r="U83">
        <f>[1]data!R84*(_xlfn.XLOOKUP([1]data!$C84,[2]data!$B$2:$B$218,[2]data!Q$2:Q$218)/100)</f>
        <v>380.714384892</v>
      </c>
      <c r="V83">
        <f>[1]data!S84*(_xlfn.XLOOKUP([1]data!$C84,[2]data!$B$2:$B$218,[2]data!R$2:R$218)/100)</f>
        <v>431.35371512</v>
      </c>
      <c r="W83">
        <f>[1]data!T84*(_xlfn.XLOOKUP([1]data!$C84,[2]data!$B$2:$B$218,[2]data!S$2:S$218)/100)</f>
        <v>485.098271506</v>
      </c>
      <c r="X83">
        <f>[1]data!U84*(_xlfn.XLOOKUP([1]data!$C84,[2]data!$B$2:$B$218,[2]data!T$2:T$218)/100)</f>
        <v>548.09693956080002</v>
      </c>
      <c r="Y83">
        <f>[1]data!V84*(_xlfn.XLOOKUP([1]data!$C84,[2]data!$B$2:$B$218,[2]data!U$2:U$218)/100)</f>
        <v>614.17565327404009</v>
      </c>
      <c r="Z83">
        <f>[1]data!W84*(_xlfn.XLOOKUP([1]data!$C84,[2]data!$B$2:$B$218,[2]data!V$2:V$218)/100)</f>
        <v>678.23933353811992</v>
      </c>
      <c r="AA83">
        <f>[1]data!X84*(_xlfn.XLOOKUP([1]data!$C84,[2]data!$B$2:$B$218,[2]data!W$2:W$218)/100)</f>
        <v>738.55241939220002</v>
      </c>
      <c r="AB83">
        <f>[1]data!Y84*(_xlfn.XLOOKUP([1]data!$C84,[2]data!$B$2:$B$218,[2]data!X$2:X$218)/100)</f>
        <v>793.38123085453992</v>
      </c>
      <c r="AC83">
        <f>[1]data!Z84*(_xlfn.XLOOKUP([1]data!$C84,[2]data!$B$2:$B$218,[2]data!Y$2:Y$218)/100)</f>
        <v>841.66252841020992</v>
      </c>
      <c r="AD83">
        <f>[1]data!AA84*(_xlfn.XLOOKUP([1]data!$C84,[2]data!$B$2:$B$218,[2]data!Z$2:Z$218)/100)</f>
        <v>884.16372969551992</v>
      </c>
      <c r="AE83">
        <f>[1]data!AB84*(_xlfn.XLOOKUP([1]data!$C84,[2]data!$B$2:$B$218,[2]data!AA$2:AA$218)/100)</f>
        <v>920.64717520379997</v>
      </c>
      <c r="AF83">
        <f>[1]data!AC84*(_xlfn.XLOOKUP([1]data!$C84,[2]data!$B$2:$B$218,[2]data!AB$2:AB$218)/100)</f>
        <v>950.18068575669997</v>
      </c>
      <c r="AG83">
        <f>[1]data!AD84*(_xlfn.XLOOKUP([1]data!$C84,[2]data!$B$2:$B$218,[2]data!AC$2:AC$218)/100)</f>
        <v>972.8479228184201</v>
      </c>
      <c r="AH83">
        <f>[1]data!AE84*(_xlfn.XLOOKUP([1]data!$C84,[2]data!$B$2:$B$218,[2]data!AD$2:AD$218)/100)</f>
        <v>988.25143999575005</v>
      </c>
      <c r="AI83">
        <f>[1]data!AF84*(_xlfn.XLOOKUP([1]data!$C84,[2]data!$B$2:$B$218,[2]data!AE$2:AE$218)/100)</f>
        <v>997.00647673621995</v>
      </c>
      <c r="AJ83">
        <f>[1]data!AG84*(_xlfn.XLOOKUP([1]data!$C84,[2]data!$B$2:$B$218,[2]data!AF$2:AF$218)/100)</f>
        <v>1000.25533194582</v>
      </c>
      <c r="AK83">
        <f>[1]data!AH84*(_xlfn.XLOOKUP([1]data!$C84,[2]data!$B$2:$B$218,[2]data!AG$2:AG$218)/100)</f>
        <v>999.21054782416013</v>
      </c>
      <c r="AL83">
        <f>[1]data!AI84*(_xlfn.XLOOKUP([1]data!$C84,[2]data!$B$2:$B$218,[2]data!AH$2:AH$218)/100)</f>
        <v>994.56644723611998</v>
      </c>
      <c r="AM83">
        <f>[1]data!AJ84*(_xlfn.XLOOKUP([1]data!$C84,[2]data!$B$2:$B$218,[2]data!AI$2:AI$218)/100)</f>
        <v>987.12319956782005</v>
      </c>
    </row>
    <row r="84" spans="1:39" x14ac:dyDescent="0.25">
      <c r="A84" t="s">
        <v>30</v>
      </c>
      <c r="B84" t="s">
        <v>31</v>
      </c>
      <c r="C84" t="s">
        <v>115</v>
      </c>
      <c r="D84" t="s">
        <v>350</v>
      </c>
      <c r="E84" t="str">
        <f>_xlfn.XLOOKUP(D84,[6]Feuil1!$C$2:$C$248,[6]Feuil1!$B$2:$B$248)</f>
        <v>IE</v>
      </c>
      <c r="F84" t="s">
        <v>33</v>
      </c>
      <c r="G84" t="str">
        <f>_xlfn.XLOOKUP(C84,[3]Sheet1!$B$2:$B$172,[3]Sheet1!$D$2:$D$172)</f>
        <v>Western Europe</v>
      </c>
      <c r="H84" t="s">
        <v>34</v>
      </c>
      <c r="I84">
        <f>[1]data!F85*(_xlfn.XLOOKUP([1]data!$C85,[2]data!$B$2:$B$218,[2]data!E$2:E$218)/100)</f>
        <v>1.1624075720000002</v>
      </c>
      <c r="J84">
        <f>[1]data!G85*(_xlfn.XLOOKUP([1]data!$C85,[2]data!$B$2:$B$218,[2]data!F$2:F$218)/100)</f>
        <v>1.2652281830000003</v>
      </c>
      <c r="K84">
        <f>[1]data!H85*(_xlfn.XLOOKUP([1]data!$C85,[2]data!$B$2:$B$218,[2]data!G$2:G$218)/100)</f>
        <v>1.2729400280000001</v>
      </c>
      <c r="L84">
        <f>[1]data!I85*(_xlfn.XLOOKUP([1]data!$C85,[2]data!$B$2:$B$218,[2]data!H$2:H$218)/100)</f>
        <v>1.3142578680000001</v>
      </c>
      <c r="M84">
        <f>[1]data!J85*(_xlfn.XLOOKUP([1]data!$C85,[2]data!$B$2:$B$218,[2]data!I$2:I$218)/100)</f>
        <v>1.501372989</v>
      </c>
      <c r="N84">
        <f>[1]data!K85*(_xlfn.XLOOKUP([1]data!$C85,[2]data!$B$2:$B$218,[2]data!J$2:J$218)/100)</f>
        <v>1.6798111360000001</v>
      </c>
      <c r="O84">
        <f>[1]data!L85*(_xlfn.XLOOKUP([1]data!$C85,[2]data!$B$2:$B$218,[2]data!K$2:K$218)/100)</f>
        <v>1.8649001489999999</v>
      </c>
      <c r="P84">
        <f>[1]data!M85*(_xlfn.XLOOKUP([1]data!$C85,[2]data!$B$2:$B$218,[2]data!L$2:L$218)/100)</f>
        <v>1.9700867579999999</v>
      </c>
      <c r="Q84">
        <f>[1]data!N85*(_xlfn.XLOOKUP([1]data!$C85,[2]data!$B$2:$B$218,[2]data!M$2:M$218)/100)</f>
        <v>1.9794952379999999</v>
      </c>
      <c r="R84">
        <f>[1]data!O85*(_xlfn.XLOOKUP([1]data!$C85,[2]data!$B$2:$B$218,[2]data!N$2:N$218)/100)</f>
        <v>2.0649264929999998</v>
      </c>
      <c r="S84">
        <f>[1]data!P85*(_xlfn.XLOOKUP([1]data!$C85,[2]data!$B$2:$B$218,[2]data!O$2:O$218)/100)</f>
        <v>2.2152225600000004</v>
      </c>
      <c r="T84">
        <f>[1]data!Q85*(_xlfn.XLOOKUP([1]data!$C85,[2]data!$B$2:$B$218,[2]data!P$2:P$218)/100)</f>
        <v>2.4641341450000001</v>
      </c>
      <c r="U84">
        <f>[1]data!R85*(_xlfn.XLOOKUP([1]data!$C85,[2]data!$B$2:$B$218,[2]data!Q$2:Q$218)/100)</f>
        <v>2.7763172549999999</v>
      </c>
      <c r="V84">
        <f>[1]data!S85*(_xlfn.XLOOKUP([1]data!$C85,[2]data!$B$2:$B$218,[2]data!R$2:R$218)/100)</f>
        <v>2.9010012499999998</v>
      </c>
      <c r="W84">
        <f>[1]data!T85*(_xlfn.XLOOKUP([1]data!$C85,[2]data!$B$2:$B$218,[2]data!S$2:S$218)/100)</f>
        <v>3.1372734119999999</v>
      </c>
      <c r="X84">
        <f>[1]data!U85*(_xlfn.XLOOKUP([1]data!$C85,[2]data!$B$2:$B$218,[2]data!T$2:T$218)/100)</f>
        <v>3.3564666243399999</v>
      </c>
      <c r="Y84">
        <f>[1]data!V85*(_xlfn.XLOOKUP([1]data!$C85,[2]data!$B$2:$B$218,[2]data!U$2:U$218)/100)</f>
        <v>3.5429153814599998</v>
      </c>
      <c r="Z84">
        <f>[1]data!W85*(_xlfn.XLOOKUP([1]data!$C85,[2]data!$B$2:$B$218,[2]data!V$2:V$218)/100)</f>
        <v>3.7366294140000007</v>
      </c>
      <c r="AA84">
        <f>[1]data!X85*(_xlfn.XLOOKUP([1]data!$C85,[2]data!$B$2:$B$218,[2]data!W$2:W$218)/100)</f>
        <v>3.94093209518</v>
      </c>
      <c r="AB84">
        <f>[1]data!Y85*(_xlfn.XLOOKUP([1]data!$C85,[2]data!$B$2:$B$218,[2]data!X$2:X$218)/100)</f>
        <v>4.1527015959</v>
      </c>
      <c r="AC84">
        <f>[1]data!Z85*(_xlfn.XLOOKUP([1]data!$C85,[2]data!$B$2:$B$218,[2]data!Y$2:Y$218)/100)</f>
        <v>4.3662643335000073</v>
      </c>
      <c r="AD84">
        <f>[1]data!AA85*(_xlfn.XLOOKUP([1]data!$C85,[2]data!$B$2:$B$218,[2]data!Z$2:Z$218)/100)</f>
        <v>4.5613417051600003</v>
      </c>
      <c r="AE84">
        <f>[1]data!AB85*(_xlfn.XLOOKUP([1]data!$C85,[2]data!$B$2:$B$218,[2]data!AA$2:AA$218)/100)</f>
        <v>4.7363753862299998</v>
      </c>
      <c r="AF84">
        <f>[1]data!AC85*(_xlfn.XLOOKUP([1]data!$C85,[2]data!$B$2:$B$218,[2]data!AB$2:AB$218)/100)</f>
        <v>4.8918051408599998</v>
      </c>
      <c r="AG84">
        <f>[1]data!AD85*(_xlfn.XLOOKUP([1]data!$C85,[2]data!$B$2:$B$218,[2]data!AC$2:AC$218)/100)</f>
        <v>5.0349529150200008</v>
      </c>
      <c r="AH84">
        <f>[1]data!AE85*(_xlfn.XLOOKUP([1]data!$C85,[2]data!$B$2:$B$218,[2]data!AD$2:AD$218)/100)</f>
        <v>5.1707550401399995</v>
      </c>
      <c r="AI84">
        <f>[1]data!AF85*(_xlfn.XLOOKUP([1]data!$C85,[2]data!$B$2:$B$218,[2]data!AE$2:AE$218)/100)</f>
        <v>5.3028815613199987</v>
      </c>
      <c r="AJ84">
        <f>[1]data!AG85*(_xlfn.XLOOKUP([1]data!$C85,[2]data!$B$2:$B$218,[2]data!AF$2:AF$218)/100)</f>
        <v>5.4315030498299999</v>
      </c>
      <c r="AK84">
        <f>[1]data!AH85*(_xlfn.XLOOKUP([1]data!$C85,[2]data!$B$2:$B$218,[2]data!AG$2:AG$218)/100)</f>
        <v>5.5511165273799996</v>
      </c>
      <c r="AL84">
        <f>[1]data!AI85*(_xlfn.XLOOKUP([1]data!$C85,[2]data!$B$2:$B$218,[2]data!AH$2:AH$218)/100)</f>
        <v>5.6531251994799998</v>
      </c>
      <c r="AM84">
        <f>[1]data!AJ85*(_xlfn.XLOOKUP([1]data!$C85,[2]data!$B$2:$B$218,[2]data!AI$2:AI$218)/100)</f>
        <v>5.7315716227000006</v>
      </c>
    </row>
    <row r="85" spans="1:39" x14ac:dyDescent="0.25">
      <c r="A85" t="s">
        <v>30</v>
      </c>
      <c r="B85" t="s">
        <v>31</v>
      </c>
      <c r="C85" t="s">
        <v>116</v>
      </c>
      <c r="D85" t="s">
        <v>261</v>
      </c>
      <c r="E85" t="str">
        <f>_xlfn.XLOOKUP(D85,[6]Feuil1!$C$2:$C$248,[6]Feuil1!$B$2:$B$248)</f>
        <v>IR</v>
      </c>
      <c r="F85" t="s">
        <v>33</v>
      </c>
      <c r="G85" t="str">
        <f>_xlfn.XLOOKUP(C85,[3]Sheet1!$B$2:$B$172,[3]Sheet1!$D$2:$D$172)</f>
        <v>Middle East</v>
      </c>
      <c r="H85" t="s">
        <v>34</v>
      </c>
      <c r="I85">
        <f>[1]data!F86*(_xlfn.XLOOKUP([1]data!$C86,[2]data!$B$2:$B$218,[2]data!E$2:E$218)/100)</f>
        <v>4.5762051500000007</v>
      </c>
      <c r="J85">
        <f>[1]data!G86*(_xlfn.XLOOKUP([1]data!$C86,[2]data!$B$2:$B$218,[2]data!F$2:F$218)/100)</f>
        <v>5.7066698879999995</v>
      </c>
      <c r="K85">
        <f>[1]data!H86*(_xlfn.XLOOKUP([1]data!$C86,[2]data!$B$2:$B$218,[2]data!G$2:G$218)/100)</f>
        <v>7.1103414320000011</v>
      </c>
      <c r="L85">
        <f>[1]data!I86*(_xlfn.XLOOKUP([1]data!$C86,[2]data!$B$2:$B$218,[2]data!H$2:H$218)/100)</f>
        <v>9.0155203739999994</v>
      </c>
      <c r="M85">
        <f>[1]data!J86*(_xlfn.XLOOKUP([1]data!$C86,[2]data!$B$2:$B$218,[2]data!I$2:I$218)/100)</f>
        <v>11.552277708</v>
      </c>
      <c r="N85">
        <f>[1]data!K86*(_xlfn.XLOOKUP([1]data!$C86,[2]data!$B$2:$B$218,[2]data!J$2:J$218)/100)</f>
        <v>14.789870892</v>
      </c>
      <c r="O85">
        <f>[1]data!L86*(_xlfn.XLOOKUP([1]data!$C86,[2]data!$B$2:$B$218,[2]data!K$2:K$218)/100)</f>
        <v>18.808752780999999</v>
      </c>
      <c r="P85">
        <f>[1]data!M86*(_xlfn.XLOOKUP([1]data!$C86,[2]data!$B$2:$B$218,[2]data!L$2:L$218)/100)</f>
        <v>24.801708498</v>
      </c>
      <c r="Q85">
        <f>[1]data!N86*(_xlfn.XLOOKUP([1]data!$C86,[2]data!$B$2:$B$218,[2]data!M$2:M$218)/100)</f>
        <v>30.632501207999997</v>
      </c>
      <c r="R85">
        <f>[1]data!O86*(_xlfn.XLOOKUP([1]data!$C86,[2]data!$B$2:$B$218,[2]data!N$2:N$218)/100)</f>
        <v>36.361248490000001</v>
      </c>
      <c r="S85">
        <f>[1]data!P86*(_xlfn.XLOOKUP([1]data!$C86,[2]data!$B$2:$B$218,[2]data!O$2:O$218)/100)</f>
        <v>41.587089919999997</v>
      </c>
      <c r="T85">
        <f>[1]data!Q86*(_xlfn.XLOOKUP([1]data!$C86,[2]data!$B$2:$B$218,[2]data!P$2:P$218)/100)</f>
        <v>47.06813524399999</v>
      </c>
      <c r="U85">
        <f>[1]data!R86*(_xlfn.XLOOKUP([1]data!$C86,[2]data!$B$2:$B$218,[2]data!Q$2:Q$218)/100)</f>
        <v>52.832569608</v>
      </c>
      <c r="V85">
        <f>[1]data!S86*(_xlfn.XLOOKUP([1]data!$C86,[2]data!$B$2:$B$218,[2]data!R$2:R$218)/100)</f>
        <v>59.36774839400001</v>
      </c>
      <c r="W85">
        <f>[1]data!T86*(_xlfn.XLOOKUP([1]data!$C86,[2]data!$B$2:$B$218,[2]data!S$2:S$218)/100)</f>
        <v>66.025532198999997</v>
      </c>
      <c r="X85">
        <f>[1]data!U86*(_xlfn.XLOOKUP([1]data!$C86,[2]data!$B$2:$B$218,[2]data!T$2:T$218)/100)</f>
        <v>70.0710286419</v>
      </c>
      <c r="Y85">
        <f>[1]data!V86*(_xlfn.XLOOKUP([1]data!$C86,[2]data!$B$2:$B$218,[2]data!U$2:U$218)/100)</f>
        <v>73.925593552800095</v>
      </c>
      <c r="Z85">
        <f>[1]data!W86*(_xlfn.XLOOKUP([1]data!$C86,[2]data!$B$2:$B$218,[2]data!V$2:V$218)/100)</f>
        <v>77.29161781174993</v>
      </c>
      <c r="AA85">
        <f>[1]data!X86*(_xlfn.XLOOKUP([1]data!$C86,[2]data!$B$2:$B$218,[2]data!W$2:W$218)/100)</f>
        <v>80.280542985420013</v>
      </c>
      <c r="AB85">
        <f>[1]data!Y86*(_xlfn.XLOOKUP([1]data!$C86,[2]data!$B$2:$B$218,[2]data!X$2:X$218)/100)</f>
        <v>82.9496825895</v>
      </c>
      <c r="AC85">
        <f>[1]data!Z86*(_xlfn.XLOOKUP([1]data!$C86,[2]data!$B$2:$B$218,[2]data!Y$2:Y$218)/100)</f>
        <v>85.224228525040004</v>
      </c>
      <c r="AD85">
        <f>[1]data!AA86*(_xlfn.XLOOKUP([1]data!$C86,[2]data!$B$2:$B$218,[2]data!Z$2:Z$218)/100)</f>
        <v>87.016035740899994</v>
      </c>
      <c r="AE85">
        <f>[1]data!AB86*(_xlfn.XLOOKUP([1]data!$C86,[2]data!$B$2:$B$218,[2]data!AA$2:AA$218)/100)</f>
        <v>88.165384113599984</v>
      </c>
      <c r="AF85">
        <f>[1]data!AC86*(_xlfn.XLOOKUP([1]data!$C86,[2]data!$B$2:$B$218,[2]data!AB$2:AB$218)/100)</f>
        <v>88.653686048979992</v>
      </c>
      <c r="AG85">
        <f>[1]data!AD86*(_xlfn.XLOOKUP([1]data!$C86,[2]data!$B$2:$B$218,[2]data!AC$2:AC$218)/100)</f>
        <v>88.570533940020013</v>
      </c>
      <c r="AH85">
        <f>[1]data!AE86*(_xlfn.XLOOKUP([1]data!$C86,[2]data!$B$2:$B$218,[2]data!AD$2:AD$218)/100)</f>
        <v>87.974395911040006</v>
      </c>
      <c r="AI85">
        <f>[1]data!AF86*(_xlfn.XLOOKUP([1]data!$C86,[2]data!$B$2:$B$218,[2]data!AE$2:AE$218)/100)</f>
        <v>86.990248354500011</v>
      </c>
      <c r="AJ85">
        <f>[1]data!AG86*(_xlfn.XLOOKUP([1]data!$C86,[2]data!$B$2:$B$218,[2]data!AF$2:AF$218)/100)</f>
        <v>85.819266104020002</v>
      </c>
      <c r="AK85">
        <f>[1]data!AH86*(_xlfn.XLOOKUP([1]data!$C86,[2]data!$B$2:$B$218,[2]data!AG$2:AG$218)/100)</f>
        <v>84.670306435699999</v>
      </c>
      <c r="AL85">
        <f>[1]data!AI86*(_xlfn.XLOOKUP([1]data!$C86,[2]data!$B$2:$B$218,[2]data!AH$2:AH$218)/100)</f>
        <v>83.616105577440095</v>
      </c>
      <c r="AM85">
        <f>[1]data!AJ86*(_xlfn.XLOOKUP([1]data!$C86,[2]data!$B$2:$B$218,[2]data!AI$2:AI$218)/100)</f>
        <v>82.561675216799998</v>
      </c>
    </row>
    <row r="86" spans="1:39" x14ac:dyDescent="0.25">
      <c r="A86" t="s">
        <v>30</v>
      </c>
      <c r="B86" t="s">
        <v>31</v>
      </c>
      <c r="C86" t="s">
        <v>117</v>
      </c>
      <c r="D86" t="s">
        <v>351</v>
      </c>
      <c r="E86" t="str">
        <f>_xlfn.XLOOKUP(D86,[6]Feuil1!$C$2:$C$248,[6]Feuil1!$B$2:$B$248)</f>
        <v>IQ</v>
      </c>
      <c r="F86" t="s">
        <v>33</v>
      </c>
      <c r="G86" t="str">
        <f>_xlfn.XLOOKUP(C86,[3]Sheet1!$B$2:$B$172,[3]Sheet1!$D$2:$D$172)</f>
        <v>Middle East</v>
      </c>
      <c r="H86" t="s">
        <v>34</v>
      </c>
      <c r="I86">
        <f>[1]data!F87*(_xlfn.XLOOKUP([1]data!$C87,[2]data!$B$2:$B$218,[2]data!E$2:E$218)/100)</f>
        <v>1.9644139710000001</v>
      </c>
      <c r="J86">
        <f>[1]data!G87*(_xlfn.XLOOKUP([1]data!$C87,[2]data!$B$2:$B$218,[2]data!F$2:F$218)/100)</f>
        <v>2.3818253920000001</v>
      </c>
      <c r="K86">
        <f>[1]data!H87*(_xlfn.XLOOKUP([1]data!$C87,[2]data!$B$2:$B$218,[2]data!G$2:G$218)/100)</f>
        <v>3.0048833100000003</v>
      </c>
      <c r="L86">
        <f>[1]data!I87*(_xlfn.XLOOKUP([1]data!$C87,[2]data!$B$2:$B$218,[2]data!H$2:H$218)/100)</f>
        <v>4.1223475409999999</v>
      </c>
      <c r="M86">
        <f>[1]data!J87*(_xlfn.XLOOKUP([1]data!$C87,[2]data!$B$2:$B$218,[2]data!I$2:I$218)/100)</f>
        <v>5.4180576640000009</v>
      </c>
      <c r="N86">
        <f>[1]data!K87*(_xlfn.XLOOKUP([1]data!$C87,[2]data!$B$2:$B$218,[2]data!J$2:J$218)/100)</f>
        <v>7.0172887259999994</v>
      </c>
      <c r="O86">
        <f>[1]data!L87*(_xlfn.XLOOKUP([1]data!$C87,[2]data!$B$2:$B$218,[2]data!K$2:K$218)/100)</f>
        <v>8.8008282449999999</v>
      </c>
      <c r="P86">
        <f>[1]data!M87*(_xlfn.XLOOKUP([1]data!$C87,[2]data!$B$2:$B$218,[2]data!L$2:L$218)/100)</f>
        <v>10.745041583999999</v>
      </c>
      <c r="Q86">
        <f>[1]data!N87*(_xlfn.XLOOKUP([1]data!$C87,[2]data!$B$2:$B$218,[2]data!M$2:M$218)/100)</f>
        <v>12.336902091000002</v>
      </c>
      <c r="R86">
        <f>[1]data!O87*(_xlfn.XLOOKUP([1]data!$C87,[2]data!$B$2:$B$218,[2]data!N$2:N$218)/100)</f>
        <v>14.172702992</v>
      </c>
      <c r="S86">
        <f>[1]data!P87*(_xlfn.XLOOKUP([1]data!$C87,[2]data!$B$2:$B$218,[2]data!O$2:O$218)/100)</f>
        <v>16.587429125</v>
      </c>
      <c r="T86">
        <f>[1]data!Q87*(_xlfn.XLOOKUP([1]data!$C87,[2]data!$B$2:$B$218,[2]data!P$2:P$218)/100)</f>
        <v>19.458085487999998</v>
      </c>
      <c r="U86">
        <f>[1]data!R87*(_xlfn.XLOOKUP([1]data!$C87,[2]data!$B$2:$B$218,[2]data!Q$2:Q$218)/100)</f>
        <v>21.260097885999997</v>
      </c>
      <c r="V86">
        <f>[1]data!S87*(_xlfn.XLOOKUP([1]data!$C87,[2]data!$B$2:$B$218,[2]data!R$2:R$218)/100)</f>
        <v>26.048062347000002</v>
      </c>
      <c r="W86">
        <f>[1]data!T87*(_xlfn.XLOOKUP([1]data!$C87,[2]data!$B$2:$B$218,[2]data!S$2:S$218)/100)</f>
        <v>29.808455804000001</v>
      </c>
      <c r="X86">
        <f>[1]data!U87*(_xlfn.XLOOKUP([1]data!$C87,[2]data!$B$2:$B$218,[2]data!T$2:T$218)/100)</f>
        <v>34.055307045439996</v>
      </c>
      <c r="Y86">
        <f>[1]data!V87*(_xlfn.XLOOKUP([1]data!$C87,[2]data!$B$2:$B$218,[2]data!U$2:U$218)/100)</f>
        <v>38.45624686707</v>
      </c>
      <c r="Z86">
        <f>[1]data!W87*(_xlfn.XLOOKUP([1]data!$C87,[2]data!$B$2:$B$218,[2]data!V$2:V$218)/100)</f>
        <v>42.970847767119928</v>
      </c>
      <c r="AA86">
        <f>[1]data!X87*(_xlfn.XLOOKUP([1]data!$C87,[2]data!$B$2:$B$218,[2]data!W$2:W$218)/100)</f>
        <v>47.576857804319999</v>
      </c>
      <c r="AB86">
        <f>[1]data!Y87*(_xlfn.XLOOKUP([1]data!$C87,[2]data!$B$2:$B$218,[2]data!X$2:X$218)/100)</f>
        <v>52.084396965480067</v>
      </c>
      <c r="AC86">
        <f>[1]data!Z87*(_xlfn.XLOOKUP([1]data!$C87,[2]data!$B$2:$B$218,[2]data!Y$2:Y$218)/100)</f>
        <v>56.361687514240003</v>
      </c>
      <c r="AD86">
        <f>[1]data!AA87*(_xlfn.XLOOKUP([1]data!$C87,[2]data!$B$2:$B$218,[2]data!Z$2:Z$218)/100)</f>
        <v>60.396380462249994</v>
      </c>
      <c r="AE86">
        <f>[1]data!AB87*(_xlfn.XLOOKUP([1]data!$C87,[2]data!$B$2:$B$218,[2]data!AA$2:AA$218)/100)</f>
        <v>64.104173588159995</v>
      </c>
      <c r="AF86">
        <f>[1]data!AC87*(_xlfn.XLOOKUP([1]data!$C87,[2]data!$B$2:$B$218,[2]data!AB$2:AB$218)/100)</f>
        <v>67.390852393919999</v>
      </c>
      <c r="AG86">
        <f>[1]data!AD87*(_xlfn.XLOOKUP([1]data!$C87,[2]data!$B$2:$B$218,[2]data!AC$2:AC$218)/100)</f>
        <v>70.260326675400009</v>
      </c>
      <c r="AH86">
        <f>[1]data!AE87*(_xlfn.XLOOKUP([1]data!$C87,[2]data!$B$2:$B$218,[2]data!AD$2:AD$218)/100)</f>
        <v>72.803134206620001</v>
      </c>
      <c r="AI86">
        <f>[1]data!AF87*(_xlfn.XLOOKUP([1]data!$C87,[2]data!$B$2:$B$218,[2]data!AE$2:AE$218)/100)</f>
        <v>75.030509266680085</v>
      </c>
      <c r="AJ86">
        <f>[1]data!AG87*(_xlfn.XLOOKUP([1]data!$C87,[2]data!$B$2:$B$218,[2]data!AF$2:AF$218)/100)</f>
        <v>76.917263030500081</v>
      </c>
      <c r="AK86">
        <f>[1]data!AH87*(_xlfn.XLOOKUP([1]data!$C87,[2]data!$B$2:$B$218,[2]data!AG$2:AG$218)/100)</f>
        <v>78.435082902000019</v>
      </c>
      <c r="AL86">
        <f>[1]data!AI87*(_xlfn.XLOOKUP([1]data!$C87,[2]data!$B$2:$B$218,[2]data!AH$2:AH$218)/100)</f>
        <v>79.581943610820005</v>
      </c>
      <c r="AM86">
        <f>[1]data!AJ87*(_xlfn.XLOOKUP([1]data!$C87,[2]data!$B$2:$B$218,[2]data!AI$2:AI$218)/100)</f>
        <v>80.373142721600004</v>
      </c>
    </row>
    <row r="87" spans="1:39" x14ac:dyDescent="0.25">
      <c r="A87" t="s">
        <v>30</v>
      </c>
      <c r="B87" t="s">
        <v>31</v>
      </c>
      <c r="C87" t="s">
        <v>118</v>
      </c>
      <c r="D87" t="s">
        <v>352</v>
      </c>
      <c r="E87" t="str">
        <f>_xlfn.XLOOKUP(D87,[6]Feuil1!$C$2:$C$248,[6]Feuil1!$B$2:$B$248)</f>
        <v>IS</v>
      </c>
      <c r="F87" t="s">
        <v>33</v>
      </c>
      <c r="G87" t="str">
        <f>_xlfn.XLOOKUP(C87,[3]Sheet1!$B$2:$B$172,[3]Sheet1!$D$2:$D$172)</f>
        <v>Western Europe</v>
      </c>
      <c r="H87" t="s">
        <v>34</v>
      </c>
      <c r="I87">
        <f>[1]data!F88*(_xlfn.XLOOKUP([1]data!$C88,[2]data!$B$2:$B$218,[2]data!E$2:E$218)/100)</f>
        <v>0.10267493599999999</v>
      </c>
      <c r="J87">
        <f>[1]data!G88*(_xlfn.XLOOKUP([1]data!$C88,[2]data!$B$2:$B$218,[2]data!F$2:F$218)/100)</f>
        <v>0.119825664</v>
      </c>
      <c r="K87">
        <f>[1]data!H88*(_xlfn.XLOOKUP([1]data!$C88,[2]data!$B$2:$B$218,[2]data!G$2:G$218)/100)</f>
        <v>0.139600747</v>
      </c>
      <c r="L87">
        <f>[1]data!I88*(_xlfn.XLOOKUP([1]data!$C88,[2]data!$B$2:$B$218,[2]data!H$2:H$218)/100)</f>
        <v>0.15773205600000001</v>
      </c>
      <c r="M87">
        <f>[1]data!J88*(_xlfn.XLOOKUP([1]data!$C88,[2]data!$B$2:$B$218,[2]data!I$2:I$218)/100)</f>
        <v>0.17320618800000001</v>
      </c>
      <c r="N87">
        <f>[1]data!K88*(_xlfn.XLOOKUP([1]data!$C88,[2]data!$B$2:$B$218,[2]data!J$2:J$218)/100)</f>
        <v>0.187946526</v>
      </c>
      <c r="O87">
        <f>[1]data!L88*(_xlfn.XLOOKUP([1]data!$C88,[2]data!$B$2:$B$218,[2]data!K$2:K$218)/100)</f>
        <v>0.200501927</v>
      </c>
      <c r="P87">
        <f>[1]data!M88*(_xlfn.XLOOKUP([1]data!$C88,[2]data!$B$2:$B$218,[2]data!L$2:L$218)/100)</f>
        <v>0.21573350399999999</v>
      </c>
      <c r="Q87">
        <f>[1]data!N88*(_xlfn.XLOOKUP([1]data!$C88,[2]data!$B$2:$B$218,[2]data!M$2:M$218)/100)</f>
        <v>0.23061565599999997</v>
      </c>
      <c r="R87">
        <f>[1]data!O88*(_xlfn.XLOOKUP([1]data!$C88,[2]data!$B$2:$B$218,[2]data!N$2:N$218)/100)</f>
        <v>0.24474237599999996</v>
      </c>
      <c r="S87">
        <f>[1]data!P88*(_xlfn.XLOOKUP([1]data!$C88,[2]data!$B$2:$B$218,[2]data!O$2:O$218)/100)</f>
        <v>0.25806950400000001</v>
      </c>
      <c r="T87">
        <f>[1]data!Q88*(_xlfn.XLOOKUP([1]data!$C88,[2]data!$B$2:$B$218,[2]data!P$2:P$218)/100)</f>
        <v>0.27329631000000004</v>
      </c>
      <c r="U87">
        <f>[1]data!R88*(_xlfn.XLOOKUP([1]data!$C88,[2]data!$B$2:$B$218,[2]data!Q$2:Q$218)/100)</f>
        <v>0.29757873599999995</v>
      </c>
      <c r="V87">
        <f>[1]data!S88*(_xlfn.XLOOKUP([1]data!$C88,[2]data!$B$2:$B$218,[2]data!R$2:R$218)/100)</f>
        <v>0.30860188700000002</v>
      </c>
      <c r="W87">
        <f>[1]data!T88*(_xlfn.XLOOKUP([1]data!$C88,[2]data!$B$2:$B$218,[2]data!S$2:S$218)/100)</f>
        <v>0.34210587000000003</v>
      </c>
      <c r="X87">
        <f>[1]data!U88*(_xlfn.XLOOKUP([1]data!$C88,[2]data!$B$2:$B$218,[2]data!T$2:T$218)/100)</f>
        <v>0.35621251599999998</v>
      </c>
      <c r="Y87">
        <f>[1]data!V88*(_xlfn.XLOOKUP([1]data!$C88,[2]data!$B$2:$B$218,[2]data!U$2:U$218)/100)</f>
        <v>0.36829392614999995</v>
      </c>
      <c r="Z87">
        <f>[1]data!W88*(_xlfn.XLOOKUP([1]data!$C88,[2]data!$B$2:$B$218,[2]data!V$2:V$218)/100)</f>
        <v>0.37917379399999906</v>
      </c>
      <c r="AA87">
        <f>[1]data!X88*(_xlfn.XLOOKUP([1]data!$C88,[2]data!$B$2:$B$218,[2]data!W$2:W$218)/100)</f>
        <v>0.38879130840000004</v>
      </c>
      <c r="AB87">
        <f>[1]data!Y88*(_xlfn.XLOOKUP([1]data!$C88,[2]data!$B$2:$B$218,[2]data!X$2:X$218)/100)</f>
        <v>0.39737014799999992</v>
      </c>
      <c r="AC87">
        <f>[1]data!Z88*(_xlfn.XLOOKUP([1]data!$C88,[2]data!$B$2:$B$218,[2]data!Y$2:Y$218)/100)</f>
        <v>0.40548674431999998</v>
      </c>
      <c r="AD87">
        <f>[1]data!AA88*(_xlfn.XLOOKUP([1]data!$C88,[2]data!$B$2:$B$218,[2]data!Z$2:Z$218)/100)</f>
        <v>0.41250393269999908</v>
      </c>
      <c r="AE87">
        <f>[1]data!AB88*(_xlfn.XLOOKUP([1]data!$C88,[2]data!$B$2:$B$218,[2]data!AA$2:AA$218)/100)</f>
        <v>0.41883869806000001</v>
      </c>
      <c r="AF87">
        <f>[1]data!AC88*(_xlfn.XLOOKUP([1]data!$C88,[2]data!$B$2:$B$218,[2]data!AB$2:AB$218)/100)</f>
        <v>0.42455647389000006</v>
      </c>
      <c r="AG87">
        <f>[1]data!AD88*(_xlfn.XLOOKUP([1]data!$C88,[2]data!$B$2:$B$218,[2]data!AC$2:AC$218)/100)</f>
        <v>0.42955879427999999</v>
      </c>
      <c r="AH87">
        <f>[1]data!AE88*(_xlfn.XLOOKUP([1]data!$C88,[2]data!$B$2:$B$218,[2]data!AD$2:AD$218)/100)</f>
        <v>0.43371184673999996</v>
      </c>
      <c r="AI87">
        <f>[1]data!AF88*(_xlfn.XLOOKUP([1]data!$C88,[2]data!$B$2:$B$218,[2]data!AE$2:AE$218)/100)</f>
        <v>0.43684145316</v>
      </c>
      <c r="AJ87">
        <f>[1]data!AG88*(_xlfn.XLOOKUP([1]data!$C88,[2]data!$B$2:$B$218,[2]data!AF$2:AF$218)/100)</f>
        <v>0.43883442002</v>
      </c>
      <c r="AK87">
        <f>[1]data!AH88*(_xlfn.XLOOKUP([1]data!$C88,[2]data!$B$2:$B$218,[2]data!AG$2:AG$218)/100)</f>
        <v>0.43979628891999906</v>
      </c>
      <c r="AL87">
        <f>[1]data!AI88*(_xlfn.XLOOKUP([1]data!$C88,[2]data!$B$2:$B$218,[2]data!AH$2:AH$218)/100)</f>
        <v>0.44025886623999999</v>
      </c>
      <c r="AM87">
        <f>[1]data!AJ88*(_xlfn.XLOOKUP([1]data!$C88,[2]data!$B$2:$B$218,[2]data!AI$2:AI$218)/100)</f>
        <v>0.44090464183999994</v>
      </c>
    </row>
    <row r="88" spans="1:39" x14ac:dyDescent="0.25">
      <c r="A88" t="s">
        <v>30</v>
      </c>
      <c r="B88" t="s">
        <v>31</v>
      </c>
      <c r="C88" t="s">
        <v>119</v>
      </c>
      <c r="D88" t="s">
        <v>353</v>
      </c>
      <c r="E88" t="str">
        <f>_xlfn.XLOOKUP(D88,[6]Feuil1!$C$2:$C$248,[6]Feuil1!$B$2:$B$248)</f>
        <v>IL</v>
      </c>
      <c r="F88" t="s">
        <v>33</v>
      </c>
      <c r="G88" t="str">
        <f>_xlfn.XLOOKUP(C88,[3]Sheet1!$B$2:$B$172,[3]Sheet1!$D$2:$D$172)</f>
        <v>Middle East</v>
      </c>
      <c r="H88" t="s">
        <v>34</v>
      </c>
      <c r="I88">
        <f>[1]data!F89*(_xlfn.XLOOKUP([1]data!$C89,[2]data!$B$2:$B$218,[2]data!E$2:E$218)/100)</f>
        <v>0.89315657000000004</v>
      </c>
      <c r="J88">
        <f>[1]data!G89*(_xlfn.XLOOKUP([1]data!$C89,[2]data!$B$2:$B$218,[2]data!F$2:F$218)/100)</f>
        <v>1.0901198000000001</v>
      </c>
      <c r="K88">
        <f>[1]data!H89*(_xlfn.XLOOKUP([1]data!$C89,[2]data!$B$2:$B$218,[2]data!G$2:G$218)/100)</f>
        <v>1.4305344</v>
      </c>
      <c r="L88">
        <f>[1]data!I89*(_xlfn.XLOOKUP([1]data!$C89,[2]data!$B$2:$B$218,[2]data!H$2:H$218)/100)</f>
        <v>1.8674381610000002</v>
      </c>
      <c r="M88">
        <f>[1]data!J89*(_xlfn.XLOOKUP([1]data!$C89,[2]data!$B$2:$B$218,[2]data!I$2:I$218)/100)</f>
        <v>2.4005015840000006</v>
      </c>
      <c r="N88">
        <f>[1]data!K89*(_xlfn.XLOOKUP([1]data!$C89,[2]data!$B$2:$B$218,[2]data!J$2:J$218)/100)</f>
        <v>2.8987488099999998</v>
      </c>
      <c r="O88">
        <f>[1]data!L89*(_xlfn.XLOOKUP([1]data!$C89,[2]data!$B$2:$B$218,[2]data!K$2:K$218)/100)</f>
        <v>3.2866240879999995</v>
      </c>
      <c r="P88">
        <f>[1]data!M89*(_xlfn.XLOOKUP([1]data!$C89,[2]data!$B$2:$B$218,[2]data!L$2:L$218)/100)</f>
        <v>3.7066862739999999</v>
      </c>
      <c r="Q88">
        <f>[1]data!N89*(_xlfn.XLOOKUP([1]data!$C89,[2]data!$B$2:$B$218,[2]data!M$2:M$218)/100)</f>
        <v>4.2792385840000007</v>
      </c>
      <c r="R88">
        <f>[1]data!O89*(_xlfn.XLOOKUP([1]data!$C89,[2]data!$B$2:$B$218,[2]data!N$2:N$218)/100)</f>
        <v>4.9200334020000005</v>
      </c>
      <c r="S88">
        <f>[1]data!P89*(_xlfn.XLOOKUP([1]data!$C89,[2]data!$B$2:$B$218,[2]data!O$2:O$218)/100)</f>
        <v>5.5227400320000006</v>
      </c>
      <c r="T88">
        <f>[1]data!Q89*(_xlfn.XLOOKUP([1]data!$C89,[2]data!$B$2:$B$218,[2]data!P$2:P$218)/100)</f>
        <v>6.090100005</v>
      </c>
      <c r="U88">
        <f>[1]data!R89*(_xlfn.XLOOKUP([1]data!$C89,[2]data!$B$2:$B$218,[2]data!Q$2:Q$218)/100)</f>
        <v>6.667079652</v>
      </c>
      <c r="V88">
        <f>[1]data!S89*(_xlfn.XLOOKUP([1]data!$C89,[2]data!$B$2:$B$218,[2]data!R$2:R$218)/100)</f>
        <v>7.3145311820000005</v>
      </c>
      <c r="W88">
        <f>[1]data!T89*(_xlfn.XLOOKUP([1]data!$C89,[2]data!$B$2:$B$218,[2]data!S$2:S$218)/100)</f>
        <v>8.0428609699999996</v>
      </c>
      <c r="X88">
        <f>[1]data!U89*(_xlfn.XLOOKUP([1]data!$C89,[2]data!$B$2:$B$218,[2]data!T$2:T$218)/100)</f>
        <v>8.7401122260899999</v>
      </c>
      <c r="Y88">
        <f>[1]data!V89*(_xlfn.XLOOKUP([1]data!$C89,[2]data!$B$2:$B$218,[2]data!U$2:U$218)/100)</f>
        <v>9.4242989260000005</v>
      </c>
      <c r="Z88">
        <f>[1]data!W89*(_xlfn.XLOOKUP([1]data!$C89,[2]data!$B$2:$B$218,[2]data!V$2:V$218)/100)</f>
        <v>10.10392917287</v>
      </c>
      <c r="AA88">
        <f>[1]data!X89*(_xlfn.XLOOKUP([1]data!$C89,[2]data!$B$2:$B$218,[2]data!W$2:W$218)/100)</f>
        <v>10.80416357891</v>
      </c>
      <c r="AB88">
        <f>[1]data!Y89*(_xlfn.XLOOKUP([1]data!$C89,[2]data!$B$2:$B$218,[2]data!X$2:X$218)/100)</f>
        <v>11.525521739389999</v>
      </c>
      <c r="AC88">
        <f>[1]data!Z89*(_xlfn.XLOOKUP([1]data!$C89,[2]data!$B$2:$B$218,[2]data!Y$2:Y$218)/100)</f>
        <v>12.251103415269998</v>
      </c>
      <c r="AD88">
        <f>[1]data!AA89*(_xlfn.XLOOKUP([1]data!$C89,[2]data!$B$2:$B$218,[2]data!Z$2:Z$218)/100)</f>
        <v>12.961447312500001</v>
      </c>
      <c r="AE88">
        <f>[1]data!AB89*(_xlfn.XLOOKUP([1]data!$C89,[2]data!$B$2:$B$218,[2]data!AA$2:AA$218)/100)</f>
        <v>13.642466842900001</v>
      </c>
      <c r="AF88">
        <f>[1]data!AC89*(_xlfn.XLOOKUP([1]data!$C89,[2]data!$B$2:$B$218,[2]data!AB$2:AB$218)/100)</f>
        <v>14.292917892</v>
      </c>
      <c r="AG88">
        <f>[1]data!AD89*(_xlfn.XLOOKUP([1]data!$C89,[2]data!$B$2:$B$218,[2]data!AC$2:AC$218)/100)</f>
        <v>14.923337485499999</v>
      </c>
      <c r="AH88">
        <f>[1]data!AE89*(_xlfn.XLOOKUP([1]data!$C89,[2]data!$B$2:$B$218,[2]data!AD$2:AD$218)/100)</f>
        <v>15.54493870088</v>
      </c>
      <c r="AI88">
        <f>[1]data!AF89*(_xlfn.XLOOKUP([1]data!$C89,[2]data!$B$2:$B$218,[2]data!AE$2:AE$218)/100)</f>
        <v>16.159565710110002</v>
      </c>
      <c r="AJ88">
        <f>[1]data!AG89*(_xlfn.XLOOKUP([1]data!$C89,[2]data!$B$2:$B$218,[2]data!AF$2:AF$218)/100)</f>
        <v>16.7628338488</v>
      </c>
      <c r="AK88">
        <f>[1]data!AH89*(_xlfn.XLOOKUP([1]data!$C89,[2]data!$B$2:$B$218,[2]data!AG$2:AG$218)/100)</f>
        <v>17.348435556399998</v>
      </c>
      <c r="AL88">
        <f>[1]data!AI89*(_xlfn.XLOOKUP([1]data!$C89,[2]data!$B$2:$B$218,[2]data!AH$2:AH$218)/100)</f>
        <v>17.913933543479999</v>
      </c>
      <c r="AM88">
        <f>[1]data!AJ89*(_xlfn.XLOOKUP([1]data!$C89,[2]data!$B$2:$B$218,[2]data!AI$2:AI$218)/100)</f>
        <v>18.459743184750003</v>
      </c>
    </row>
    <row r="89" spans="1:39" x14ac:dyDescent="0.25">
      <c r="A89" t="s">
        <v>30</v>
      </c>
      <c r="B89" t="s">
        <v>31</v>
      </c>
      <c r="C89" t="s">
        <v>120</v>
      </c>
      <c r="D89" t="s">
        <v>354</v>
      </c>
      <c r="E89" t="str">
        <f>_xlfn.XLOOKUP(D89,[6]Feuil1!$C$2:$C$248,[6]Feuil1!$B$2:$B$248)</f>
        <v>IT</v>
      </c>
      <c r="F89" t="s">
        <v>33</v>
      </c>
      <c r="G89" t="str">
        <f>_xlfn.XLOOKUP(C89,[3]Sheet1!$B$2:$B$172,[3]Sheet1!$D$2:$D$172)</f>
        <v>Western Europe</v>
      </c>
      <c r="H89" t="s">
        <v>34</v>
      </c>
      <c r="I89">
        <f>[1]data!F90*(_xlfn.XLOOKUP([1]data!$C90,[2]data!$B$2:$B$218,[2]data!E$2:E$218)/100)</f>
        <v>24.980744788999999</v>
      </c>
      <c r="J89">
        <f>[1]data!G90*(_xlfn.XLOOKUP([1]data!$C90,[2]data!$B$2:$B$218,[2]data!F$2:F$218)/100)</f>
        <v>27.302584757000002</v>
      </c>
      <c r="K89">
        <f>[1]data!H90*(_xlfn.XLOOKUP([1]data!$C90,[2]data!$B$2:$B$218,[2]data!G$2:G$218)/100)</f>
        <v>29.331746136000003</v>
      </c>
      <c r="L89">
        <f>[1]data!I90*(_xlfn.XLOOKUP([1]data!$C90,[2]data!$B$2:$B$218,[2]data!H$2:H$218)/100)</f>
        <v>31.66613151</v>
      </c>
      <c r="M89">
        <f>[1]data!J90*(_xlfn.XLOOKUP([1]data!$C90,[2]data!$B$2:$B$218,[2]data!I$2:I$218)/100)</f>
        <v>34.188709302999996</v>
      </c>
      <c r="N89">
        <f>[1]data!K90*(_xlfn.XLOOKUP([1]data!$C90,[2]data!$B$2:$B$218,[2]data!J$2:J$218)/100)</f>
        <v>36.039524800000002</v>
      </c>
      <c r="O89">
        <f>[1]data!L90*(_xlfn.XLOOKUP([1]data!$C90,[2]data!$B$2:$B$218,[2]data!K$2:K$218)/100)</f>
        <v>37.401580979999999</v>
      </c>
      <c r="P89">
        <f>[1]data!M90*(_xlfn.XLOOKUP([1]data!$C90,[2]data!$B$2:$B$218,[2]data!L$2:L$218)/100)</f>
        <v>37.830005659999998</v>
      </c>
      <c r="Q89">
        <f>[1]data!N90*(_xlfn.XLOOKUP([1]data!$C90,[2]data!$B$2:$B$218,[2]data!M$2:M$218)/100)</f>
        <v>37.841183803</v>
      </c>
      <c r="R89">
        <f>[1]data!O90*(_xlfn.XLOOKUP([1]data!$C90,[2]data!$B$2:$B$218,[2]data!N$2:N$218)/100)</f>
        <v>38.056624953000004</v>
      </c>
      <c r="S89">
        <f>[1]data!P90*(_xlfn.XLOOKUP([1]data!$C90,[2]data!$B$2:$B$218,[2]data!O$2:O$218)/100)</f>
        <v>38.270892576000001</v>
      </c>
      <c r="T89">
        <f>[1]data!Q90*(_xlfn.XLOOKUP([1]data!$C90,[2]data!$B$2:$B$218,[2]data!P$2:P$218)/100)</f>
        <v>39.318942753999998</v>
      </c>
      <c r="U89">
        <f>[1]data!R90*(_xlfn.XLOOKUP([1]data!$C90,[2]data!$B$2:$B$218,[2]data!Q$2:Q$218)/100)</f>
        <v>40.772322922000001</v>
      </c>
      <c r="V89">
        <f>[1]data!S90*(_xlfn.XLOOKUP([1]data!$C90,[2]data!$B$2:$B$218,[2]data!R$2:R$218)/100)</f>
        <v>41.967225647999996</v>
      </c>
      <c r="W89">
        <f>[1]data!T90*(_xlfn.XLOOKUP([1]data!$C90,[2]data!$B$2:$B$218,[2]data!S$2:S$218)/100)</f>
        <v>42.344327579999998</v>
      </c>
      <c r="X89">
        <f>[1]data!U90*(_xlfn.XLOOKUP([1]data!$C90,[2]data!$B$2:$B$218,[2]data!T$2:T$218)/100)</f>
        <v>42.723164081849994</v>
      </c>
      <c r="Y89">
        <f>[1]data!V90*(_xlfn.XLOOKUP([1]data!$C90,[2]data!$B$2:$B$218,[2]data!U$2:U$218)/100)</f>
        <v>43.00040118714</v>
      </c>
      <c r="Z89">
        <f>[1]data!W90*(_xlfn.XLOOKUP([1]data!$C90,[2]data!$B$2:$B$218,[2]data!V$2:V$218)/100)</f>
        <v>43.268668293200001</v>
      </c>
      <c r="AA89">
        <f>[1]data!X90*(_xlfn.XLOOKUP([1]data!$C90,[2]data!$B$2:$B$218,[2]data!W$2:W$218)/100)</f>
        <v>43.536624628700075</v>
      </c>
      <c r="AB89">
        <f>[1]data!Y90*(_xlfn.XLOOKUP([1]data!$C90,[2]data!$B$2:$B$218,[2]data!X$2:X$218)/100)</f>
        <v>43.776645522479996</v>
      </c>
      <c r="AC89">
        <f>[1]data!Z90*(_xlfn.XLOOKUP([1]data!$C90,[2]data!$B$2:$B$218,[2]data!Y$2:Y$218)/100)</f>
        <v>43.967755546980008</v>
      </c>
      <c r="AD89">
        <f>[1]data!AA90*(_xlfn.XLOOKUP([1]data!$C90,[2]data!$B$2:$B$218,[2]data!Z$2:Z$218)/100)</f>
        <v>43.942786533389992</v>
      </c>
      <c r="AE89">
        <f>[1]data!AB90*(_xlfn.XLOOKUP([1]data!$C90,[2]data!$B$2:$B$218,[2]data!AA$2:AA$218)/100)</f>
        <v>43.726994035200001</v>
      </c>
      <c r="AF89">
        <f>[1]data!AC90*(_xlfn.XLOOKUP([1]data!$C90,[2]data!$B$2:$B$218,[2]data!AB$2:AB$218)/100)</f>
        <v>43.365617403720009</v>
      </c>
      <c r="AG89">
        <f>[1]data!AD90*(_xlfn.XLOOKUP([1]data!$C90,[2]data!$B$2:$B$218,[2]data!AC$2:AC$218)/100)</f>
        <v>42.995183436599994</v>
      </c>
      <c r="AH89">
        <f>[1]data!AE90*(_xlfn.XLOOKUP([1]data!$C90,[2]data!$B$2:$B$218,[2]data!AD$2:AD$218)/100)</f>
        <v>42.712197096720004</v>
      </c>
      <c r="AI89">
        <f>[1]data!AF90*(_xlfn.XLOOKUP([1]data!$C90,[2]data!$B$2:$B$218,[2]data!AE$2:AE$218)/100)</f>
        <v>42.530994267230007</v>
      </c>
      <c r="AJ89">
        <f>[1]data!AG90*(_xlfn.XLOOKUP([1]data!$C90,[2]data!$B$2:$B$218,[2]data!AF$2:AF$218)/100)</f>
        <v>42.379467782310009</v>
      </c>
      <c r="AK89">
        <f>[1]data!AH90*(_xlfn.XLOOKUP([1]data!$C90,[2]data!$B$2:$B$218,[2]data!AG$2:AG$218)/100)</f>
        <v>42.159763386169999</v>
      </c>
      <c r="AL89">
        <f>[1]data!AI90*(_xlfn.XLOOKUP([1]data!$C90,[2]data!$B$2:$B$218,[2]data!AH$2:AH$218)/100)</f>
        <v>41.814700589380003</v>
      </c>
      <c r="AM89">
        <f>[1]data!AJ90*(_xlfn.XLOOKUP([1]data!$C90,[2]data!$B$2:$B$218,[2]data!AI$2:AI$218)/100)</f>
        <v>41.326063668000003</v>
      </c>
    </row>
    <row r="90" spans="1:39" x14ac:dyDescent="0.25">
      <c r="A90" t="s">
        <v>30</v>
      </c>
      <c r="B90" t="s">
        <v>31</v>
      </c>
      <c r="C90" t="s">
        <v>121</v>
      </c>
      <c r="D90" t="s">
        <v>355</v>
      </c>
      <c r="E90" t="str">
        <f>_xlfn.XLOOKUP(D90,[6]Feuil1!$C$2:$C$248,[6]Feuil1!$B$2:$B$248)</f>
        <v>JM</v>
      </c>
      <c r="F90" t="s">
        <v>33</v>
      </c>
      <c r="G90" t="str">
        <f>_xlfn.XLOOKUP(C90,[3]Sheet1!$B$2:$B$172,[3]Sheet1!$D$2:$D$172)</f>
        <v>Central America</v>
      </c>
      <c r="H90" t="s">
        <v>34</v>
      </c>
      <c r="I90">
        <f>[1]data!F91*(_xlfn.XLOOKUP([1]data!$C91,[2]data!$B$2:$B$218,[2]data!E$2:E$218)/100)</f>
        <v>0.33386284300000002</v>
      </c>
      <c r="J90">
        <f>[1]data!G91*(_xlfn.XLOOKUP([1]data!$C91,[2]data!$B$2:$B$218,[2]data!F$2:F$218)/100)</f>
        <v>0.44308322799999994</v>
      </c>
      <c r="K90">
        <f>[1]data!H91*(_xlfn.XLOOKUP([1]data!$C91,[2]data!$B$2:$B$218,[2]data!G$2:G$218)/100)</f>
        <v>0.55134289599999997</v>
      </c>
      <c r="L90">
        <f>[1]data!I91*(_xlfn.XLOOKUP([1]data!$C91,[2]data!$B$2:$B$218,[2]data!H$2:H$218)/100)</f>
        <v>0.65104162500000007</v>
      </c>
      <c r="M90">
        <f>[1]data!J91*(_xlfn.XLOOKUP([1]data!$C91,[2]data!$B$2:$B$218,[2]data!I$2:I$218)/100)</f>
        <v>0.76248431699999997</v>
      </c>
      <c r="N90">
        <f>[1]data!K91*(_xlfn.XLOOKUP([1]data!$C91,[2]data!$B$2:$B$218,[2]data!J$2:J$218)/100)</f>
        <v>0.87533731999999997</v>
      </c>
      <c r="O90">
        <f>[1]data!L91*(_xlfn.XLOOKUP([1]data!$C91,[2]data!$B$2:$B$218,[2]data!K$2:K$218)/100)</f>
        <v>0.99030665700000009</v>
      </c>
      <c r="P90">
        <f>[1]data!M91*(_xlfn.XLOOKUP([1]data!$C91,[2]data!$B$2:$B$218,[2]data!L$2:L$218)/100)</f>
        <v>1.103058748</v>
      </c>
      <c r="Q90">
        <f>[1]data!N91*(_xlfn.XLOOKUP([1]data!$C91,[2]data!$B$2:$B$218,[2]data!M$2:M$218)/100)</f>
        <v>1.17714272</v>
      </c>
      <c r="R90">
        <f>[1]data!O91*(_xlfn.XLOOKUP([1]data!$C91,[2]data!$B$2:$B$218,[2]data!N$2:N$218)/100)</f>
        <v>1.2633969919999999</v>
      </c>
      <c r="S90">
        <f>[1]data!P91*(_xlfn.XLOOKUP([1]data!$C91,[2]data!$B$2:$B$218,[2]data!O$2:O$218)/100)</f>
        <v>1.3496179200000002</v>
      </c>
      <c r="T90">
        <f>[1]data!Q91*(_xlfn.XLOOKUP([1]data!$C91,[2]data!$B$2:$B$218,[2]data!P$2:P$218)/100)</f>
        <v>1.4100984480000003</v>
      </c>
      <c r="U90">
        <f>[1]data!R91*(_xlfn.XLOOKUP([1]data!$C91,[2]data!$B$2:$B$218,[2]data!Q$2:Q$218)/100)</f>
        <v>1.4650772310000002</v>
      </c>
      <c r="V90">
        <f>[1]data!S91*(_xlfn.XLOOKUP([1]data!$C91,[2]data!$B$2:$B$218,[2]data!R$2:R$218)/100)</f>
        <v>1.5287292959999998</v>
      </c>
      <c r="W90">
        <f>[1]data!T91*(_xlfn.XLOOKUP([1]data!$C91,[2]data!$B$2:$B$218,[2]data!S$2:S$218)/100)</f>
        <v>1.5845499879999998</v>
      </c>
      <c r="X90">
        <f>[1]data!U91*(_xlfn.XLOOKUP([1]data!$C91,[2]data!$B$2:$B$218,[2]data!T$2:T$218)/100)</f>
        <v>1.6663855514599999</v>
      </c>
      <c r="Y90">
        <f>[1]data!V91*(_xlfn.XLOOKUP([1]data!$C91,[2]data!$B$2:$B$218,[2]data!U$2:U$218)/100)</f>
        <v>1.7439148878600002</v>
      </c>
      <c r="Z90">
        <f>[1]data!W91*(_xlfn.XLOOKUP([1]data!$C91,[2]data!$B$2:$B$218,[2]data!V$2:V$218)/100)</f>
        <v>1.80857213345</v>
      </c>
      <c r="AA90">
        <f>[1]data!X91*(_xlfn.XLOOKUP([1]data!$C91,[2]data!$B$2:$B$218,[2]data!W$2:W$218)/100)</f>
        <v>1.8588710033599998</v>
      </c>
      <c r="AB90">
        <f>[1]data!Y91*(_xlfn.XLOOKUP([1]data!$C91,[2]data!$B$2:$B$218,[2]data!X$2:X$218)/100)</f>
        <v>1.8939596689400005</v>
      </c>
      <c r="AC90">
        <f>[1]data!Z91*(_xlfn.XLOOKUP([1]data!$C91,[2]data!$B$2:$B$218,[2]data!Y$2:Y$218)/100)</f>
        <v>1.91530888845</v>
      </c>
      <c r="AD90">
        <f>[1]data!AA91*(_xlfn.XLOOKUP([1]data!$C91,[2]data!$B$2:$B$218,[2]data!Z$2:Z$218)/100)</f>
        <v>1.9241188665500002</v>
      </c>
      <c r="AE90">
        <f>[1]data!AB91*(_xlfn.XLOOKUP([1]data!$C91,[2]data!$B$2:$B$218,[2]data!AA$2:AA$218)/100)</f>
        <v>1.9224071184999998</v>
      </c>
      <c r="AF90">
        <f>[1]data!AC91*(_xlfn.XLOOKUP([1]data!$C91,[2]data!$B$2:$B$218,[2]data!AB$2:AB$218)/100)</f>
        <v>1.9139147892999993</v>
      </c>
      <c r="AG90">
        <f>[1]data!AD91*(_xlfn.XLOOKUP([1]data!$C91,[2]data!$B$2:$B$218,[2]data!AC$2:AC$218)/100)</f>
        <v>1.8962608992600003</v>
      </c>
      <c r="AH90">
        <f>[1]data!AE91*(_xlfn.XLOOKUP([1]data!$C91,[2]data!$B$2:$B$218,[2]data!AD$2:AD$218)/100)</f>
        <v>1.8703999491600003</v>
      </c>
      <c r="AI90">
        <f>[1]data!AF91*(_xlfn.XLOOKUP([1]data!$C91,[2]data!$B$2:$B$218,[2]data!AE$2:AE$218)/100)</f>
        <v>1.8379536125999991</v>
      </c>
      <c r="AJ90">
        <f>[1]data!AG91*(_xlfn.XLOOKUP([1]data!$C91,[2]data!$B$2:$B$218,[2]data!AF$2:AF$218)/100)</f>
        <v>1.80186011035</v>
      </c>
      <c r="AK90">
        <f>[1]data!AH91*(_xlfn.XLOOKUP([1]data!$C91,[2]data!$B$2:$B$218,[2]data!AG$2:AG$218)/100)</f>
        <v>1.7655164579500002</v>
      </c>
      <c r="AL90">
        <f>[1]data!AI91*(_xlfn.XLOOKUP([1]data!$C91,[2]data!$B$2:$B$218,[2]data!AH$2:AH$218)/100)</f>
        <v>1.73169467005</v>
      </c>
      <c r="AM90">
        <f>[1]data!AJ91*(_xlfn.XLOOKUP([1]data!$C91,[2]data!$B$2:$B$218,[2]data!AI$2:AI$218)/100)</f>
        <v>1.70150504252</v>
      </c>
    </row>
    <row r="91" spans="1:39" x14ac:dyDescent="0.25">
      <c r="A91" t="s">
        <v>30</v>
      </c>
      <c r="B91" t="s">
        <v>31</v>
      </c>
      <c r="C91" t="s">
        <v>122</v>
      </c>
      <c r="D91" t="s">
        <v>356</v>
      </c>
      <c r="E91" t="str">
        <f>_xlfn.XLOOKUP(D91,[6]Feuil1!$C$2:$C$248,[6]Feuil1!$B$2:$B$248)</f>
        <v>JO</v>
      </c>
      <c r="F91" t="s">
        <v>33</v>
      </c>
      <c r="G91" t="str">
        <f>_xlfn.XLOOKUP(C91,[3]Sheet1!$B$2:$B$172,[3]Sheet1!$D$2:$D$172)</f>
        <v>Middle East</v>
      </c>
      <c r="H91" t="s">
        <v>34</v>
      </c>
      <c r="I91">
        <f>[1]data!F92*(_xlfn.XLOOKUP([1]data!$C92,[2]data!$B$2:$B$218,[2]data!E$2:E$218)/100)</f>
        <v>0.15667206</v>
      </c>
      <c r="J91">
        <f>[1]data!G92*(_xlfn.XLOOKUP([1]data!$C92,[2]data!$B$2:$B$218,[2]data!F$2:F$218)/100)</f>
        <v>0.25959787200000006</v>
      </c>
      <c r="K91">
        <f>[1]data!H92*(_xlfn.XLOOKUP([1]data!$C92,[2]data!$B$2:$B$218,[2]data!G$2:G$218)/100)</f>
        <v>0.420205459</v>
      </c>
      <c r="L91">
        <f>[1]data!I92*(_xlfn.XLOOKUP([1]data!$C92,[2]data!$B$2:$B$218,[2]data!H$2:H$218)/100)</f>
        <v>0.57424204799999989</v>
      </c>
      <c r="M91">
        <f>[1]data!J92*(_xlfn.XLOOKUP([1]data!$C92,[2]data!$B$2:$B$218,[2]data!I$2:I$218)/100)</f>
        <v>0.84828912000000012</v>
      </c>
      <c r="N91">
        <f>[1]data!K92*(_xlfn.XLOOKUP([1]data!$C92,[2]data!$B$2:$B$218,[2]data!J$2:J$218)/100)</f>
        <v>1.0716182480000001</v>
      </c>
      <c r="O91">
        <f>[1]data!L92*(_xlfn.XLOOKUP([1]data!$C92,[2]data!$B$2:$B$218,[2]data!K$2:K$218)/100)</f>
        <v>1.3047300000000002</v>
      </c>
      <c r="P91">
        <f>[1]data!M92*(_xlfn.XLOOKUP([1]data!$C92,[2]data!$B$2:$B$218,[2]data!L$2:L$218)/100)</f>
        <v>1.80159717</v>
      </c>
      <c r="Q91">
        <f>[1]data!N92*(_xlfn.XLOOKUP([1]data!$C92,[2]data!$B$2:$B$218,[2]data!M$2:M$218)/100)</f>
        <v>2.4858786080000002</v>
      </c>
      <c r="R91">
        <f>[1]data!O92*(_xlfn.XLOOKUP([1]data!$C92,[2]data!$B$2:$B$218,[2]data!N$2:N$218)/100)</f>
        <v>3.4217418780000002</v>
      </c>
      <c r="S91">
        <f>[1]data!P92*(_xlfn.XLOOKUP([1]data!$C92,[2]data!$B$2:$B$218,[2]data!O$2:O$218)/100)</f>
        <v>3.9177271889999998</v>
      </c>
      <c r="T91">
        <f>[1]data!Q92*(_xlfn.XLOOKUP([1]data!$C92,[2]data!$B$2:$B$218,[2]data!P$2:P$218)/100)</f>
        <v>4.4567071950000008</v>
      </c>
      <c r="U91">
        <f>[1]data!R92*(_xlfn.XLOOKUP([1]data!$C92,[2]data!$B$2:$B$218,[2]data!Q$2:Q$218)/100)</f>
        <v>5.8911376439999996</v>
      </c>
      <c r="V91">
        <f>[1]data!S92*(_xlfn.XLOOKUP([1]data!$C92,[2]data!$B$2:$B$218,[2]data!R$2:R$218)/100)</f>
        <v>8.2629051120000021</v>
      </c>
      <c r="W91">
        <f>[1]data!T92*(_xlfn.XLOOKUP([1]data!$C92,[2]data!$B$2:$B$218,[2]data!S$2:S$218)/100)</f>
        <v>9.8868129480000011</v>
      </c>
      <c r="X91">
        <f>[1]data!U92*(_xlfn.XLOOKUP([1]data!$C92,[2]data!$B$2:$B$218,[2]data!T$2:T$218)/100)</f>
        <v>10.91654453772</v>
      </c>
      <c r="Y91">
        <f>[1]data!V92*(_xlfn.XLOOKUP([1]data!$C92,[2]data!$B$2:$B$218,[2]data!U$2:U$218)/100)</f>
        <v>11.949084646720001</v>
      </c>
      <c r="Z91">
        <f>[1]data!W92*(_xlfn.XLOOKUP([1]data!$C92,[2]data!$B$2:$B$218,[2]data!V$2:V$218)/100)</f>
        <v>12.958368158339999</v>
      </c>
      <c r="AA91">
        <f>[1]data!X92*(_xlfn.XLOOKUP([1]data!$C92,[2]data!$B$2:$B$218,[2]data!W$2:W$218)/100)</f>
        <v>13.914199004739999</v>
      </c>
      <c r="AB91">
        <f>[1]data!Y92*(_xlfn.XLOOKUP([1]data!$C92,[2]data!$B$2:$B$218,[2]data!X$2:X$218)/100)</f>
        <v>14.79058779615</v>
      </c>
      <c r="AC91">
        <f>[1]data!Z92*(_xlfn.XLOOKUP([1]data!$C92,[2]data!$B$2:$B$218,[2]data!Y$2:Y$218)/100)</f>
        <v>15.534601248640001</v>
      </c>
      <c r="AD91">
        <f>[1]data!AA92*(_xlfn.XLOOKUP([1]data!$C92,[2]data!$B$2:$B$218,[2]data!Z$2:Z$218)/100)</f>
        <v>16.156213922860001</v>
      </c>
      <c r="AE91">
        <f>[1]data!AB92*(_xlfn.XLOOKUP([1]data!$C92,[2]data!$B$2:$B$218,[2]data!AA$2:AA$218)/100)</f>
        <v>16.656985743580002</v>
      </c>
      <c r="AF91">
        <f>[1]data!AC92*(_xlfn.XLOOKUP([1]data!$C92,[2]data!$B$2:$B$218,[2]data!AB$2:AB$218)/100)</f>
        <v>17.070474424240004</v>
      </c>
      <c r="AG91">
        <f>[1]data!AD92*(_xlfn.XLOOKUP([1]data!$C92,[2]data!$B$2:$B$218,[2]data!AC$2:AC$218)/100)</f>
        <v>17.4093935645</v>
      </c>
      <c r="AH91">
        <f>[1]data!AE92*(_xlfn.XLOOKUP([1]data!$C92,[2]data!$B$2:$B$218,[2]data!AD$2:AD$218)/100)</f>
        <v>17.676460012049997</v>
      </c>
      <c r="AI91">
        <f>[1]data!AF92*(_xlfn.XLOOKUP([1]data!$C92,[2]data!$B$2:$B$218,[2]data!AE$2:AE$218)/100)</f>
        <v>17.846718837240001</v>
      </c>
      <c r="AJ91">
        <f>[1]data!AG92*(_xlfn.XLOOKUP([1]data!$C92,[2]data!$B$2:$B$218,[2]data!AF$2:AF$218)/100)</f>
        <v>17.926957664260001</v>
      </c>
      <c r="AK91">
        <f>[1]data!AH92*(_xlfn.XLOOKUP([1]data!$C92,[2]data!$B$2:$B$218,[2]data!AG$2:AG$218)/100)</f>
        <v>17.921226340600004</v>
      </c>
      <c r="AL91">
        <f>[1]data!AI92*(_xlfn.XLOOKUP([1]data!$C92,[2]data!$B$2:$B$218,[2]data!AH$2:AH$218)/100)</f>
        <v>17.848126153759999</v>
      </c>
      <c r="AM91">
        <f>[1]data!AJ92*(_xlfn.XLOOKUP([1]data!$C92,[2]data!$B$2:$B$218,[2]data!AI$2:AI$218)/100)</f>
        <v>17.719501483439998</v>
      </c>
    </row>
    <row r="92" spans="1:39" x14ac:dyDescent="0.25">
      <c r="A92" t="s">
        <v>30</v>
      </c>
      <c r="B92" t="s">
        <v>31</v>
      </c>
      <c r="C92" t="s">
        <v>123</v>
      </c>
      <c r="D92" t="s">
        <v>357</v>
      </c>
      <c r="E92" t="str">
        <f>_xlfn.XLOOKUP(D92,[6]Feuil1!$C$2:$C$248,[6]Feuil1!$B$2:$B$248)</f>
        <v>JP</v>
      </c>
      <c r="F92" t="s">
        <v>33</v>
      </c>
      <c r="G92" t="str">
        <f>_xlfn.XLOOKUP(C92,[3]Sheet1!$B$2:$B$172,[3]Sheet1!$D$2:$D$172)</f>
        <v>Japan</v>
      </c>
      <c r="H92" t="s">
        <v>34</v>
      </c>
      <c r="I92">
        <f>[1]data!F93*(_xlfn.XLOOKUP([1]data!$C93,[2]data!$B$2:$B$218,[2]data!E$2:E$218)/100)</f>
        <v>44.672444442000007</v>
      </c>
      <c r="J92">
        <f>[1]data!G93*(_xlfn.XLOOKUP([1]data!$C93,[2]data!$B$2:$B$218,[2]data!F$2:F$218)/100)</f>
        <v>52.325331279999993</v>
      </c>
      <c r="K92">
        <f>[1]data!H93*(_xlfn.XLOOKUP([1]data!$C93,[2]data!$B$2:$B$218,[2]data!G$2:G$218)/100)</f>
        <v>59.517179973000005</v>
      </c>
      <c r="L92">
        <f>[1]data!I93*(_xlfn.XLOOKUP([1]data!$C93,[2]data!$B$2:$B$218,[2]data!H$2:H$218)/100)</f>
        <v>67.136676348000009</v>
      </c>
      <c r="M92">
        <f>[1]data!J93*(_xlfn.XLOOKUP([1]data!$C93,[2]data!$B$2:$B$218,[2]data!I$2:I$218)/100)</f>
        <v>75.314651073000007</v>
      </c>
      <c r="N92">
        <f>[1]data!K93*(_xlfn.XLOOKUP([1]data!$C93,[2]data!$B$2:$B$218,[2]data!J$2:J$218)/100)</f>
        <v>84.623299498000009</v>
      </c>
      <c r="O92">
        <f>[1]data!L93*(_xlfn.XLOOKUP([1]data!$C93,[2]data!$B$2:$B$218,[2]data!K$2:K$218)/100)</f>
        <v>89.322278556000001</v>
      </c>
      <c r="P92">
        <f>[1]data!M93*(_xlfn.XLOOKUP([1]data!$C93,[2]data!$B$2:$B$218,[2]data!L$2:L$218)/100)</f>
        <v>92.658464314</v>
      </c>
      <c r="Q92">
        <f>[1]data!N93*(_xlfn.XLOOKUP([1]data!$C93,[2]data!$B$2:$B$218,[2]data!M$2:M$218)/100)</f>
        <v>95.460531156000002</v>
      </c>
      <c r="R92">
        <f>[1]data!O93*(_xlfn.XLOOKUP([1]data!$C93,[2]data!$B$2:$B$218,[2]data!N$2:N$218)/100)</f>
        <v>97.733886120000008</v>
      </c>
      <c r="S92">
        <f>[1]data!P93*(_xlfn.XLOOKUP([1]data!$C93,[2]data!$B$2:$B$218,[2]data!O$2:O$218)/100)</f>
        <v>99.558652272000003</v>
      </c>
      <c r="T92">
        <f>[1]data!Q93*(_xlfn.XLOOKUP([1]data!$C93,[2]data!$B$2:$B$218,[2]data!P$2:P$218)/100)</f>
        <v>109.86730652</v>
      </c>
      <c r="U92">
        <f>[1]data!R93*(_xlfn.XLOOKUP([1]data!$C93,[2]data!$B$2:$B$218,[2]data!Q$2:Q$218)/100)</f>
        <v>116.34331119999997</v>
      </c>
      <c r="V92">
        <f>[1]data!S93*(_xlfn.XLOOKUP([1]data!$C93,[2]data!$B$2:$B$218,[2]data!R$2:R$218)/100)</f>
        <v>116.414302644</v>
      </c>
      <c r="W92">
        <f>[1]data!T93*(_xlfn.XLOOKUP([1]data!$C93,[2]data!$B$2:$B$218,[2]data!S$2:S$218)/100)</f>
        <v>115.24826102399999</v>
      </c>
      <c r="X92">
        <f>[1]data!U93*(_xlfn.XLOOKUP([1]data!$C93,[2]data!$B$2:$B$218,[2]data!T$2:T$218)/100)</f>
        <v>113.31303245690999</v>
      </c>
      <c r="Y92">
        <f>[1]data!V93*(_xlfn.XLOOKUP([1]data!$C93,[2]data!$B$2:$B$218,[2]data!U$2:U$218)/100)</f>
        <v>111.23454121609998</v>
      </c>
      <c r="Z92">
        <f>[1]data!W93*(_xlfn.XLOOKUP([1]data!$C93,[2]data!$B$2:$B$218,[2]data!V$2:V$218)/100)</f>
        <v>108.90543587868001</v>
      </c>
      <c r="AA92">
        <f>[1]data!X93*(_xlfn.XLOOKUP([1]data!$C93,[2]data!$B$2:$B$218,[2]data!W$2:W$218)/100)</f>
        <v>106.40261845905</v>
      </c>
      <c r="AB92">
        <f>[1]data!Y93*(_xlfn.XLOOKUP([1]data!$C93,[2]data!$B$2:$B$218,[2]data!X$2:X$218)/100)</f>
        <v>103.79545668095999</v>
      </c>
      <c r="AC92">
        <f>[1]data!Z93*(_xlfn.XLOOKUP([1]data!$C93,[2]data!$B$2:$B$218,[2]data!Y$2:Y$218)/100)</f>
        <v>101.22205707755002</v>
      </c>
      <c r="AD92">
        <f>[1]data!AA93*(_xlfn.XLOOKUP([1]data!$C93,[2]data!$B$2:$B$218,[2]data!Z$2:Z$218)/100)</f>
        <v>98.717395670399995</v>
      </c>
      <c r="AE92">
        <f>[1]data!AB93*(_xlfn.XLOOKUP([1]data!$C93,[2]data!$B$2:$B$218,[2]data!AA$2:AA$218)/100)</f>
        <v>96.153191718900004</v>
      </c>
      <c r="AF92">
        <f>[1]data!AC93*(_xlfn.XLOOKUP([1]data!$C93,[2]data!$B$2:$B$218,[2]data!AB$2:AB$218)/100)</f>
        <v>93.354875687909995</v>
      </c>
      <c r="AG92">
        <f>[1]data!AD93*(_xlfn.XLOOKUP([1]data!$C93,[2]data!$B$2:$B$218,[2]data!AC$2:AC$218)/100)</f>
        <v>90.311164516440002</v>
      </c>
      <c r="AH92">
        <f>[1]data!AE93*(_xlfn.XLOOKUP([1]data!$C93,[2]data!$B$2:$B$218,[2]data!AD$2:AD$218)/100)</f>
        <v>87.178337083439999</v>
      </c>
      <c r="AI92">
        <f>[1]data!AF93*(_xlfn.XLOOKUP([1]data!$C93,[2]data!$B$2:$B$218,[2]data!AE$2:AE$218)/100)</f>
        <v>84.2220318331199</v>
      </c>
      <c r="AJ92">
        <f>[1]data!AG93*(_xlfn.XLOOKUP([1]data!$C93,[2]data!$B$2:$B$218,[2]data!AF$2:AF$218)/100)</f>
        <v>81.52753811268002</v>
      </c>
      <c r="AK92">
        <f>[1]data!AH93*(_xlfn.XLOOKUP([1]data!$C93,[2]data!$B$2:$B$218,[2]data!AG$2:AG$218)/100)</f>
        <v>79.007356617210007</v>
      </c>
      <c r="AL92">
        <f>[1]data!AI93*(_xlfn.XLOOKUP([1]data!$C93,[2]data!$B$2:$B$218,[2]data!AH$2:AH$218)/100)</f>
        <v>76.53689885528</v>
      </c>
      <c r="AM92">
        <f>[1]data!AJ93*(_xlfn.XLOOKUP([1]data!$C93,[2]data!$B$2:$B$218,[2]data!AI$2:AI$218)/100)</f>
        <v>74.021844577999985</v>
      </c>
    </row>
    <row r="93" spans="1:39" x14ac:dyDescent="0.25">
      <c r="A93" t="s">
        <v>30</v>
      </c>
      <c r="B93" t="s">
        <v>31</v>
      </c>
      <c r="C93" t="s">
        <v>124</v>
      </c>
      <c r="D93" t="s">
        <v>358</v>
      </c>
      <c r="E93" t="str">
        <f>_xlfn.XLOOKUP(D93,[6]Feuil1!$C$2:$C$248,[6]Feuil1!$B$2:$B$248)</f>
        <v>KZ</v>
      </c>
      <c r="F93" t="s">
        <v>33</v>
      </c>
      <c r="G93" t="str">
        <f>_xlfn.XLOOKUP(C93,[3]Sheet1!$B$2:$B$172,[3]Sheet1!$D$2:$D$172)</f>
        <v>Central Asia</v>
      </c>
      <c r="H93" t="s">
        <v>34</v>
      </c>
      <c r="I93">
        <f>[1]data!F94*(_xlfn.XLOOKUP([1]data!$C94,[2]data!$B$2:$B$218,[2]data!E$2:E$218)/100)</f>
        <v>2.3808624839999997</v>
      </c>
      <c r="J93">
        <f>[1]data!G94*(_xlfn.XLOOKUP([1]data!$C94,[2]data!$B$2:$B$218,[2]data!F$2:F$218)/100)</f>
        <v>3.1229333320000001</v>
      </c>
      <c r="K93">
        <f>[1]data!H94*(_xlfn.XLOOKUP([1]data!$C94,[2]data!$B$2:$B$218,[2]data!G$2:G$218)/100)</f>
        <v>4.0485812120000002</v>
      </c>
      <c r="L93">
        <f>[1]data!I94*(_xlfn.XLOOKUP([1]data!$C94,[2]data!$B$2:$B$218,[2]data!H$2:H$218)/100)</f>
        <v>5.0503351800000003</v>
      </c>
      <c r="M93">
        <f>[1]data!J94*(_xlfn.XLOOKUP([1]data!$C94,[2]data!$B$2:$B$218,[2]data!I$2:I$218)/100)</f>
        <v>6.10756794</v>
      </c>
      <c r="N93">
        <f>[1]data!K94*(_xlfn.XLOOKUP([1]data!$C94,[2]data!$B$2:$B$218,[2]data!J$2:J$218)/100)</f>
        <v>6.8719180580000012</v>
      </c>
      <c r="O93">
        <f>[1]data!L94*(_xlfn.XLOOKUP([1]data!$C94,[2]data!$B$2:$B$218,[2]data!K$2:K$218)/100)</f>
        <v>7.6081392640000001</v>
      </c>
      <c r="P93">
        <f>[1]data!M94*(_xlfn.XLOOKUP([1]data!$C94,[2]data!$B$2:$B$218,[2]data!L$2:L$218)/100)</f>
        <v>8.5563184000000003</v>
      </c>
      <c r="Q93">
        <f>[1]data!N94*(_xlfn.XLOOKUP([1]data!$C94,[2]data!$B$2:$B$218,[2]data!M$2:M$218)/100)</f>
        <v>9.4576523359999989</v>
      </c>
      <c r="R93">
        <f>[1]data!O94*(_xlfn.XLOOKUP([1]data!$C94,[2]data!$B$2:$B$218,[2]data!N$2:N$218)/100)</f>
        <v>9.2618541079999996</v>
      </c>
      <c r="S93">
        <f>[1]data!P94*(_xlfn.XLOOKUP([1]data!$C94,[2]data!$B$2:$B$218,[2]data!O$2:O$218)/100)</f>
        <v>8.5364032050000009</v>
      </c>
      <c r="T93">
        <f>[1]data!Q94*(_xlfn.XLOOKUP([1]data!$C94,[2]data!$B$2:$B$218,[2]data!P$2:P$218)/100)</f>
        <v>8.8037605049999996</v>
      </c>
      <c r="U93">
        <f>[1]data!R94*(_xlfn.XLOOKUP([1]data!$C94,[2]data!$B$2:$B$218,[2]data!Q$2:Q$218)/100)</f>
        <v>9.3771676639999999</v>
      </c>
      <c r="V93">
        <f>[1]data!S94*(_xlfn.XLOOKUP([1]data!$C94,[2]data!$B$2:$B$218,[2]data!R$2:R$218)/100)</f>
        <v>10.133323772000001</v>
      </c>
      <c r="W93">
        <f>[1]data!T94*(_xlfn.XLOOKUP([1]data!$C94,[2]data!$B$2:$B$218,[2]data!S$2:S$218)/100)</f>
        <v>10.882829889000003</v>
      </c>
      <c r="X93">
        <f>[1]data!U94*(_xlfn.XLOOKUP([1]data!$C94,[2]data!$B$2:$B$218,[2]data!T$2:T$218)/100)</f>
        <v>11.86943992416</v>
      </c>
      <c r="Y93">
        <f>[1]data!V94*(_xlfn.XLOOKUP([1]data!$C94,[2]data!$B$2:$B$218,[2]data!U$2:U$218)/100)</f>
        <v>12.817252182120001</v>
      </c>
      <c r="Z93">
        <f>[1]data!W94*(_xlfn.XLOOKUP([1]data!$C94,[2]data!$B$2:$B$218,[2]data!V$2:V$218)/100)</f>
        <v>13.706687607999998</v>
      </c>
      <c r="AA93">
        <f>[1]data!X94*(_xlfn.XLOOKUP([1]data!$C94,[2]data!$B$2:$B$218,[2]data!W$2:W$218)/100)</f>
        <v>14.571591044280002</v>
      </c>
      <c r="AB93">
        <f>[1]data!Y94*(_xlfn.XLOOKUP([1]data!$C94,[2]data!$B$2:$B$218,[2]data!X$2:X$218)/100)</f>
        <v>15.40536295992</v>
      </c>
      <c r="AC93">
        <f>[1]data!Z94*(_xlfn.XLOOKUP([1]data!$C94,[2]data!$B$2:$B$218,[2]data!Y$2:Y$218)/100)</f>
        <v>16.180587461280002</v>
      </c>
      <c r="AD93">
        <f>[1]data!AA94*(_xlfn.XLOOKUP([1]data!$C94,[2]data!$B$2:$B$218,[2]data!Z$2:Z$218)/100)</f>
        <v>16.855134117199999</v>
      </c>
      <c r="AE93">
        <f>[1]data!AB94*(_xlfn.XLOOKUP([1]data!$C94,[2]data!$B$2:$B$218,[2]data!AA$2:AA$218)/100)</f>
        <v>17.396819340160004</v>
      </c>
      <c r="AF93">
        <f>[1]data!AC94*(_xlfn.XLOOKUP([1]data!$C94,[2]data!$B$2:$B$218,[2]data!AB$2:AB$218)/100)</f>
        <v>17.85245339091</v>
      </c>
      <c r="AG93">
        <f>[1]data!AD94*(_xlfn.XLOOKUP([1]data!$C94,[2]data!$B$2:$B$218,[2]data!AC$2:AC$218)/100)</f>
        <v>18.261665821010002</v>
      </c>
      <c r="AH93">
        <f>[1]data!AE94*(_xlfn.XLOOKUP([1]data!$C94,[2]data!$B$2:$B$218,[2]data!AD$2:AD$218)/100)</f>
        <v>18.643016734900002</v>
      </c>
      <c r="AI93">
        <f>[1]data!AF94*(_xlfn.XLOOKUP([1]data!$C94,[2]data!$B$2:$B$218,[2]data!AE$2:AE$218)/100)</f>
        <v>19.004421181680001</v>
      </c>
      <c r="AJ93">
        <f>[1]data!AG94*(_xlfn.XLOOKUP([1]data!$C94,[2]data!$B$2:$B$218,[2]data!AF$2:AF$218)/100)</f>
        <v>19.340206747500002</v>
      </c>
      <c r="AK93">
        <f>[1]data!AH94*(_xlfn.XLOOKUP([1]data!$C94,[2]data!$B$2:$B$218,[2]data!AG$2:AG$218)/100)</f>
        <v>19.645308501700001</v>
      </c>
      <c r="AL93">
        <f>[1]data!AI94*(_xlfn.XLOOKUP([1]data!$C94,[2]data!$B$2:$B$218,[2]data!AH$2:AH$218)/100)</f>
        <v>19.909627899380002</v>
      </c>
      <c r="AM93">
        <f>[1]data!AJ94*(_xlfn.XLOOKUP([1]data!$C94,[2]data!$B$2:$B$218,[2]data!AI$2:AI$218)/100)</f>
        <v>20.122128796920002</v>
      </c>
    </row>
    <row r="94" spans="1:39" x14ac:dyDescent="0.25">
      <c r="A94" t="s">
        <v>30</v>
      </c>
      <c r="B94" t="s">
        <v>31</v>
      </c>
      <c r="C94" t="s">
        <v>125</v>
      </c>
      <c r="D94" t="s">
        <v>359</v>
      </c>
      <c r="E94" t="str">
        <f>_xlfn.XLOOKUP(D94,[6]Feuil1!$C$2:$C$248,[6]Feuil1!$B$2:$B$248)</f>
        <v>KE</v>
      </c>
      <c r="F94" t="s">
        <v>33</v>
      </c>
      <c r="G94" t="str">
        <f>_xlfn.XLOOKUP(C94,[3]Sheet1!$B$2:$B$172,[3]Sheet1!$D$2:$D$172)</f>
        <v>Eastern Africa</v>
      </c>
      <c r="H94" t="s">
        <v>34</v>
      </c>
      <c r="I94">
        <f>[1]data!F95*(_xlfn.XLOOKUP([1]data!$C95,[2]data!$B$2:$B$218,[2]data!E$2:E$218)/100)</f>
        <v>0.319853744</v>
      </c>
      <c r="J94">
        <f>[1]data!G95*(_xlfn.XLOOKUP([1]data!$C95,[2]data!$B$2:$B$218,[2]data!F$2:F$218)/100)</f>
        <v>0.41349248</v>
      </c>
      <c r="K94">
        <f>[1]data!H95*(_xlfn.XLOOKUP([1]data!$C95,[2]data!$B$2:$B$218,[2]data!G$2:G$218)/100)</f>
        <v>0.56305023800000009</v>
      </c>
      <c r="L94">
        <f>[1]data!I95*(_xlfn.XLOOKUP([1]data!$C95,[2]data!$B$2:$B$218,[2]data!H$2:H$218)/100)</f>
        <v>0.79349379200000081</v>
      </c>
      <c r="M94">
        <f>[1]data!J95*(_xlfn.XLOOKUP([1]data!$C95,[2]data!$B$2:$B$218,[2]data!I$2:I$218)/100)</f>
        <v>1.1593695450000001</v>
      </c>
      <c r="N94">
        <f>[1]data!K95*(_xlfn.XLOOKUP([1]data!$C95,[2]data!$B$2:$B$218,[2]data!J$2:J$218)/100)</f>
        <v>1.7319719309999999</v>
      </c>
      <c r="O94">
        <f>[1]data!L95*(_xlfn.XLOOKUP([1]data!$C95,[2]data!$B$2:$B$218,[2]data!K$2:K$218)/100)</f>
        <v>2.4794976960000001</v>
      </c>
      <c r="P94">
        <f>[1]data!M95*(_xlfn.XLOOKUP([1]data!$C95,[2]data!$B$2:$B$218,[2]data!L$2:L$218)/100)</f>
        <v>3.0748620420000004</v>
      </c>
      <c r="Q94">
        <f>[1]data!N95*(_xlfn.XLOOKUP([1]data!$C95,[2]data!$B$2:$B$218,[2]data!M$2:M$218)/100)</f>
        <v>3.8028560310000001</v>
      </c>
      <c r="R94">
        <f>[1]data!O95*(_xlfn.XLOOKUP([1]data!$C95,[2]data!$B$2:$B$218,[2]data!N$2:N$218)/100)</f>
        <v>4.8516498840000004</v>
      </c>
      <c r="S94">
        <f>[1]data!P95*(_xlfn.XLOOKUP([1]data!$C95,[2]data!$B$2:$B$218,[2]data!O$2:O$218)/100)</f>
        <v>6.0491052859999996</v>
      </c>
      <c r="T94">
        <f>[1]data!Q95*(_xlfn.XLOOKUP([1]data!$C95,[2]data!$B$2:$B$218,[2]data!P$2:P$218)/100)</f>
        <v>7.6631564449999994</v>
      </c>
      <c r="U94">
        <f>[1]data!R95*(_xlfn.XLOOKUP([1]data!$C95,[2]data!$B$2:$B$218,[2]data!Q$2:Q$218)/100)</f>
        <v>9.6642271399999995</v>
      </c>
      <c r="V94">
        <f>[1]data!S95*(_xlfn.XLOOKUP([1]data!$C95,[2]data!$B$2:$B$218,[2]data!R$2:R$218)/100)</f>
        <v>11.910919944000002</v>
      </c>
      <c r="W94">
        <f>[1]data!T95*(_xlfn.XLOOKUP([1]data!$C95,[2]data!$B$2:$B$218,[2]data!S$2:S$218)/100)</f>
        <v>14.408860480000001</v>
      </c>
      <c r="X94">
        <f>[1]data!U95*(_xlfn.XLOOKUP([1]data!$C95,[2]data!$B$2:$B$218,[2]data!T$2:T$218)/100)</f>
        <v>17.55159796065</v>
      </c>
      <c r="Y94">
        <f>[1]data!V95*(_xlfn.XLOOKUP([1]data!$C95,[2]data!$B$2:$B$218,[2]data!U$2:U$218)/100)</f>
        <v>21.121374857279999</v>
      </c>
      <c r="Z94">
        <f>[1]data!W95*(_xlfn.XLOOKUP([1]data!$C95,[2]data!$B$2:$B$218,[2]data!V$2:V$218)/100)</f>
        <v>25.020483200439998</v>
      </c>
      <c r="AA94">
        <f>[1]data!X95*(_xlfn.XLOOKUP([1]data!$C95,[2]data!$B$2:$B$218,[2]data!W$2:W$218)/100)</f>
        <v>29.144799432770046</v>
      </c>
      <c r="AB94">
        <f>[1]data!Y95*(_xlfn.XLOOKUP([1]data!$C95,[2]data!$B$2:$B$218,[2]data!X$2:X$218)/100)</f>
        <v>33.397857144139998</v>
      </c>
      <c r="AC94">
        <f>[1]data!Z95*(_xlfn.XLOOKUP([1]data!$C95,[2]data!$B$2:$B$218,[2]data!Y$2:Y$218)/100)</f>
        <v>37.71036501911</v>
      </c>
      <c r="AD94">
        <f>[1]data!AA95*(_xlfn.XLOOKUP([1]data!$C95,[2]data!$B$2:$B$218,[2]data!Z$2:Z$218)/100)</f>
        <v>41.937426251400005</v>
      </c>
      <c r="AE94">
        <f>[1]data!AB95*(_xlfn.XLOOKUP([1]data!$C95,[2]data!$B$2:$B$218,[2]data!AA$2:AA$218)/100)</f>
        <v>46.041723899000004</v>
      </c>
      <c r="AF94">
        <f>[1]data!AC95*(_xlfn.XLOOKUP([1]data!$C95,[2]data!$B$2:$B$218,[2]data!AB$2:AB$218)/100)</f>
        <v>49.855419611279999</v>
      </c>
      <c r="AG94">
        <f>[1]data!AD95*(_xlfn.XLOOKUP([1]data!$C95,[2]data!$B$2:$B$218,[2]data!AC$2:AC$218)/100)</f>
        <v>53.317960553440003</v>
      </c>
      <c r="AH94">
        <f>[1]data!AE95*(_xlfn.XLOOKUP([1]data!$C95,[2]data!$B$2:$B$218,[2]data!AD$2:AD$218)/100)</f>
        <v>56.439978060750008</v>
      </c>
      <c r="AI94">
        <f>[1]data!AF95*(_xlfn.XLOOKUP([1]data!$C95,[2]data!$B$2:$B$218,[2]data!AE$2:AE$218)/100)</f>
        <v>59.24230220086001</v>
      </c>
      <c r="AJ94">
        <f>[1]data!AG95*(_xlfn.XLOOKUP([1]data!$C95,[2]data!$B$2:$B$218,[2]data!AF$2:AF$218)/100)</f>
        <v>61.717184757689999</v>
      </c>
      <c r="AK94">
        <f>[1]data!AH95*(_xlfn.XLOOKUP([1]data!$C95,[2]data!$B$2:$B$218,[2]data!AG$2:AG$218)/100)</f>
        <v>63.838154488950053</v>
      </c>
      <c r="AL94">
        <f>[1]data!AI95*(_xlfn.XLOOKUP([1]data!$C95,[2]data!$B$2:$B$218,[2]data!AH$2:AH$218)/100)</f>
        <v>65.553841647719935</v>
      </c>
      <c r="AM94">
        <f>[1]data!AJ95*(_xlfn.XLOOKUP([1]data!$C95,[2]data!$B$2:$B$218,[2]data!AI$2:AI$218)/100)</f>
        <v>66.883863284549989</v>
      </c>
    </row>
    <row r="95" spans="1:39" x14ac:dyDescent="0.25">
      <c r="A95" t="s">
        <v>30</v>
      </c>
      <c r="B95" t="s">
        <v>31</v>
      </c>
      <c r="C95" t="s">
        <v>126</v>
      </c>
      <c r="D95" t="s">
        <v>262</v>
      </c>
      <c r="E95" t="str">
        <f>_xlfn.XLOOKUP(D95,[6]Feuil1!$C$2:$C$248,[6]Feuil1!$B$2:$B$248)</f>
        <v>KG</v>
      </c>
      <c r="F95" t="s">
        <v>33</v>
      </c>
      <c r="G95" t="str">
        <f>_xlfn.XLOOKUP(C95,[3]Sheet1!$B$2:$B$172,[3]Sheet1!$D$2:$D$172)</f>
        <v>Central Asia</v>
      </c>
      <c r="H95" t="s">
        <v>34</v>
      </c>
      <c r="I95">
        <f>[1]data!F96*(_xlfn.XLOOKUP([1]data!$C96,[2]data!$B$2:$B$218,[2]data!E$2:E$218)/100)</f>
        <v>0.45926249000000002</v>
      </c>
      <c r="J95">
        <f>[1]data!G96*(_xlfn.XLOOKUP([1]data!$C96,[2]data!$B$2:$B$218,[2]data!F$2:F$218)/100)</f>
        <v>0.58850654400000002</v>
      </c>
      <c r="K95">
        <f>[1]data!H96*(_xlfn.XLOOKUP([1]data!$C96,[2]data!$B$2:$B$218,[2]data!G$2:G$218)/100)</f>
        <v>0.74602751400000011</v>
      </c>
      <c r="L95">
        <f>[1]data!I96*(_xlfn.XLOOKUP([1]data!$C96,[2]data!$B$2:$B$218,[2]data!H$2:H$218)/100)</f>
        <v>0.92401358599999994</v>
      </c>
      <c r="M95">
        <f>[1]data!J96*(_xlfn.XLOOKUP([1]data!$C96,[2]data!$B$2:$B$218,[2]data!I$2:I$218)/100)</f>
        <v>1.1169603750000001</v>
      </c>
      <c r="N95">
        <f>[1]data!K96*(_xlfn.XLOOKUP([1]data!$C96,[2]data!$B$2:$B$218,[2]data!J$2:J$218)/100)</f>
        <v>1.2690746700000002</v>
      </c>
      <c r="O95">
        <f>[1]data!L96*(_xlfn.XLOOKUP([1]data!$C96,[2]data!$B$2:$B$218,[2]data!K$2:K$218)/100)</f>
        <v>1.4108666699999999</v>
      </c>
      <c r="P95">
        <f>[1]data!M96*(_xlfn.XLOOKUP([1]data!$C96,[2]data!$B$2:$B$218,[2]data!L$2:L$218)/100)</f>
        <v>1.5479796480000003</v>
      </c>
      <c r="Q95">
        <f>[1]data!N96*(_xlfn.XLOOKUP([1]data!$C96,[2]data!$B$2:$B$218,[2]data!M$2:M$218)/100)</f>
        <v>1.6496706239999996</v>
      </c>
      <c r="R95">
        <f>[1]data!O96*(_xlfn.XLOOKUP([1]data!$C96,[2]data!$B$2:$B$218,[2]data!N$2:N$218)/100)</f>
        <v>1.6560470190000001</v>
      </c>
      <c r="S95">
        <f>[1]data!P96*(_xlfn.XLOOKUP([1]data!$C96,[2]data!$B$2:$B$218,[2]data!O$2:O$218)/100)</f>
        <v>1.7337241999999997</v>
      </c>
      <c r="T95">
        <f>[1]data!Q96*(_xlfn.XLOOKUP([1]data!$C96,[2]data!$B$2:$B$218,[2]data!P$2:P$218)/100)</f>
        <v>1.8239107580000002</v>
      </c>
      <c r="U95">
        <f>[1]data!R96*(_xlfn.XLOOKUP([1]data!$C96,[2]data!$B$2:$B$218,[2]data!Q$2:Q$218)/100)</f>
        <v>1.9247826259999998</v>
      </c>
      <c r="V95">
        <f>[1]data!S96*(_xlfn.XLOOKUP([1]data!$C96,[2]data!$B$2:$B$218,[2]data!R$2:R$218)/100)</f>
        <v>2.0992586579999997</v>
      </c>
      <c r="W95">
        <f>[1]data!T96*(_xlfn.XLOOKUP([1]data!$C96,[2]data!$B$2:$B$218,[2]data!S$2:S$218)/100)</f>
        <v>2.3513908769999996</v>
      </c>
      <c r="X95">
        <f>[1]data!U96*(_xlfn.XLOOKUP([1]data!$C96,[2]data!$B$2:$B$218,[2]data!T$2:T$218)/100)</f>
        <v>2.7634461145499998</v>
      </c>
      <c r="Y95">
        <f>[1]data!V96*(_xlfn.XLOOKUP([1]data!$C96,[2]data!$B$2:$B$218,[2]data!U$2:U$218)/100)</f>
        <v>3.1816724161199996</v>
      </c>
      <c r="Z95">
        <f>[1]data!W96*(_xlfn.XLOOKUP([1]data!$C96,[2]data!$B$2:$B$218,[2]data!V$2:V$218)/100)</f>
        <v>3.6056935668800008</v>
      </c>
      <c r="AA95">
        <f>[1]data!X96*(_xlfn.XLOOKUP([1]data!$C96,[2]data!$B$2:$B$218,[2]data!W$2:W$218)/100)</f>
        <v>4.0392027606399994</v>
      </c>
      <c r="AB95">
        <f>[1]data!Y96*(_xlfn.XLOOKUP([1]data!$C96,[2]data!$B$2:$B$218,[2]data!X$2:X$218)/100)</f>
        <v>4.4736656842600002</v>
      </c>
      <c r="AC95">
        <f>[1]data!Z96*(_xlfn.XLOOKUP([1]data!$C96,[2]data!$B$2:$B$218,[2]data!Y$2:Y$218)/100)</f>
        <v>4.8858955951400063</v>
      </c>
      <c r="AD95">
        <f>[1]data!AA96*(_xlfn.XLOOKUP([1]data!$C96,[2]data!$B$2:$B$218,[2]data!Z$2:Z$218)/100)</f>
        <v>5.263583665600005</v>
      </c>
      <c r="AE95">
        <f>[1]data!AB96*(_xlfn.XLOOKUP([1]data!$C96,[2]data!$B$2:$B$218,[2]data!AA$2:AA$218)/100)</f>
        <v>5.5991253238800001</v>
      </c>
      <c r="AF95">
        <f>[1]data!AC96*(_xlfn.XLOOKUP([1]data!$C96,[2]data!$B$2:$B$218,[2]data!AB$2:AB$218)/100)</f>
        <v>5.8983873902099999</v>
      </c>
      <c r="AG95">
        <f>[1]data!AD96*(_xlfn.XLOOKUP([1]data!$C96,[2]data!$B$2:$B$218,[2]data!AC$2:AC$218)/100)</f>
        <v>6.1711519524199945</v>
      </c>
      <c r="AH95">
        <f>[1]data!AE96*(_xlfn.XLOOKUP([1]data!$C96,[2]data!$B$2:$B$218,[2]data!AD$2:AD$218)/100)</f>
        <v>6.4194987235499994</v>
      </c>
      <c r="AI95">
        <f>[1]data!AF96*(_xlfn.XLOOKUP([1]data!$C96,[2]data!$B$2:$B$218,[2]data!AE$2:AE$218)/100)</f>
        <v>6.6408015943500072</v>
      </c>
      <c r="AJ95">
        <f>[1]data!AG96*(_xlfn.XLOOKUP([1]data!$C96,[2]data!$B$2:$B$218,[2]data!AF$2:AF$218)/100)</f>
        <v>6.8376659241000004</v>
      </c>
      <c r="AK95">
        <f>[1]data!AH96*(_xlfn.XLOOKUP([1]data!$C96,[2]data!$B$2:$B$218,[2]data!AG$2:AG$218)/100)</f>
        <v>7.0077255371200016</v>
      </c>
      <c r="AL95">
        <f>[1]data!AI96*(_xlfn.XLOOKUP([1]data!$C96,[2]data!$B$2:$B$218,[2]data!AH$2:AH$218)/100)</f>
        <v>7.1556691205999998</v>
      </c>
      <c r="AM95">
        <f>[1]data!AJ96*(_xlfn.XLOOKUP([1]data!$C96,[2]data!$B$2:$B$218,[2]data!AI$2:AI$218)/100)</f>
        <v>7.2801167467000001</v>
      </c>
    </row>
    <row r="96" spans="1:39" x14ac:dyDescent="0.25">
      <c r="A96" t="s">
        <v>30</v>
      </c>
      <c r="B96" t="s">
        <v>31</v>
      </c>
      <c r="C96" t="s">
        <v>127</v>
      </c>
      <c r="D96" t="s">
        <v>360</v>
      </c>
      <c r="E96" t="str">
        <f>_xlfn.XLOOKUP(D96,[6]Feuil1!$C$2:$C$248,[6]Feuil1!$B$2:$B$248)</f>
        <v>KH</v>
      </c>
      <c r="F96" t="s">
        <v>33</v>
      </c>
      <c r="G96" t="str">
        <f>_xlfn.XLOOKUP(C96,[3]Sheet1!$B$2:$B$172,[3]Sheet1!$D$2:$D$172)</f>
        <v>Southeastern Asia</v>
      </c>
      <c r="H96" t="s">
        <v>34</v>
      </c>
      <c r="I96">
        <f>[1]data!F97*(_xlfn.XLOOKUP([1]data!$C97,[2]data!$B$2:$B$218,[2]data!E$2:E$218)/100)</f>
        <v>0.44150802</v>
      </c>
      <c r="J96">
        <f>[1]data!G97*(_xlfn.XLOOKUP([1]data!$C97,[2]data!$B$2:$B$218,[2]data!F$2:F$218)/100)</f>
        <v>0.49692890399999995</v>
      </c>
      <c r="K96">
        <f>[1]data!H97*(_xlfn.XLOOKUP([1]data!$C97,[2]data!$B$2:$B$218,[2]data!G$2:G$218)/100)</f>
        <v>0.56447059099999997</v>
      </c>
      <c r="L96">
        <f>[1]data!I97*(_xlfn.XLOOKUP([1]data!$C97,[2]data!$B$2:$B$218,[2]data!H$2:H$218)/100)</f>
        <v>0.65942532000000009</v>
      </c>
      <c r="M96">
        <f>[1]data!J97*(_xlfn.XLOOKUP([1]data!$C97,[2]data!$B$2:$B$218,[2]data!I$2:I$218)/100)</f>
        <v>1.07892688</v>
      </c>
      <c r="N96">
        <f>[1]data!K97*(_xlfn.XLOOKUP([1]data!$C97,[2]data!$B$2:$B$218,[2]data!J$2:J$218)/100)</f>
        <v>0.31211027999999996</v>
      </c>
      <c r="O96">
        <f>[1]data!L97*(_xlfn.XLOOKUP([1]data!$C97,[2]data!$B$2:$B$218,[2]data!K$2:K$218)/100)</f>
        <v>0.61057675800000011</v>
      </c>
      <c r="P96">
        <f>[1]data!M97*(_xlfn.XLOOKUP([1]data!$C97,[2]data!$B$2:$B$218,[2]data!L$2:L$218)/100)</f>
        <v>1.0070277560000001</v>
      </c>
      <c r="Q96">
        <f>[1]data!N97*(_xlfn.XLOOKUP([1]data!$C97,[2]data!$B$2:$B$218,[2]data!M$2:M$218)/100)</f>
        <v>1.3544261150000001</v>
      </c>
      <c r="R96">
        <f>[1]data!O97*(_xlfn.XLOOKUP([1]data!$C97,[2]data!$B$2:$B$218,[2]data!N$2:N$218)/100)</f>
        <v>1.8660982350000002</v>
      </c>
      <c r="S96">
        <f>[1]data!P97*(_xlfn.XLOOKUP([1]data!$C97,[2]data!$B$2:$B$218,[2]data!O$2:O$218)/100)</f>
        <v>2.2338847380000004</v>
      </c>
      <c r="T96">
        <f>[1]data!Q97*(_xlfn.XLOOKUP([1]data!$C97,[2]data!$B$2:$B$218,[2]data!P$2:P$218)/100)</f>
        <v>2.5213520640000002</v>
      </c>
      <c r="U96">
        <f>[1]data!R97*(_xlfn.XLOOKUP([1]data!$C97,[2]data!$B$2:$B$218,[2]data!Q$2:Q$218)/100)</f>
        <v>2.8945469560000006</v>
      </c>
      <c r="V96">
        <f>[1]data!S97*(_xlfn.XLOOKUP([1]data!$C97,[2]data!$B$2:$B$218,[2]data!R$2:R$218)/100)</f>
        <v>3.4001500020000002</v>
      </c>
      <c r="W96">
        <f>[1]data!T97*(_xlfn.XLOOKUP([1]data!$C97,[2]data!$B$2:$B$218,[2]data!S$2:S$218)/100)</f>
        <v>3.9436980659999996</v>
      </c>
      <c r="X96">
        <f>[1]data!U97*(_xlfn.XLOOKUP([1]data!$C97,[2]data!$B$2:$B$218,[2]data!T$2:T$218)/100)</f>
        <v>4.5664535135500008</v>
      </c>
      <c r="Y96">
        <f>[1]data!V97*(_xlfn.XLOOKUP([1]data!$C97,[2]data!$B$2:$B$218,[2]data!U$2:U$218)/100)</f>
        <v>5.2157130164500005</v>
      </c>
      <c r="Z96">
        <f>[1]data!W97*(_xlfn.XLOOKUP([1]data!$C97,[2]data!$B$2:$B$218,[2]data!V$2:V$218)/100)</f>
        <v>5.8798022331299995</v>
      </c>
      <c r="AA96">
        <f>[1]data!X97*(_xlfn.XLOOKUP([1]data!$C97,[2]data!$B$2:$B$218,[2]data!W$2:W$218)/100)</f>
        <v>6.5413877831399994</v>
      </c>
      <c r="AB96">
        <f>[1]data!Y97*(_xlfn.XLOOKUP([1]data!$C97,[2]data!$B$2:$B$218,[2]data!X$2:X$218)/100)</f>
        <v>7.1732694482899992</v>
      </c>
      <c r="AC96">
        <f>[1]data!Z97*(_xlfn.XLOOKUP([1]data!$C97,[2]data!$B$2:$B$218,[2]data!Y$2:Y$218)/100)</f>
        <v>7.7745293413200001</v>
      </c>
      <c r="AD96">
        <f>[1]data!AA97*(_xlfn.XLOOKUP([1]data!$C97,[2]data!$B$2:$B$218,[2]data!Z$2:Z$218)/100)</f>
        <v>8.3457421210800007</v>
      </c>
      <c r="AE96">
        <f>[1]data!AB97*(_xlfn.XLOOKUP([1]data!$C97,[2]data!$B$2:$B$218,[2]data!AA$2:AA$218)/100)</f>
        <v>8.8828234764000005</v>
      </c>
      <c r="AF96">
        <f>[1]data!AC97*(_xlfn.XLOOKUP([1]data!$C97,[2]data!$B$2:$B$218,[2]data!AB$2:AB$218)/100)</f>
        <v>9.3750763111200008</v>
      </c>
      <c r="AG96">
        <f>[1]data!AD97*(_xlfn.XLOOKUP([1]data!$C97,[2]data!$B$2:$B$218,[2]data!AC$2:AC$218)/100)</f>
        <v>9.8047297327800003</v>
      </c>
      <c r="AH96">
        <f>[1]data!AE97*(_xlfn.XLOOKUP([1]data!$C97,[2]data!$B$2:$B$218,[2]data!AD$2:AD$218)/100)</f>
        <v>10.16291734506</v>
      </c>
      <c r="AI96">
        <f>[1]data!AF97*(_xlfn.XLOOKUP([1]data!$C97,[2]data!$B$2:$B$218,[2]data!AE$2:AE$218)/100)</f>
        <v>10.45501186289</v>
      </c>
      <c r="AJ96">
        <f>[1]data!AG97*(_xlfn.XLOOKUP([1]data!$C97,[2]data!$B$2:$B$218,[2]data!AF$2:AF$218)/100)</f>
        <v>10.692352833899999</v>
      </c>
      <c r="AK96">
        <f>[1]data!AH97*(_xlfn.XLOOKUP([1]data!$C97,[2]data!$B$2:$B$218,[2]data!AG$2:AG$218)/100)</f>
        <v>10.87876045872</v>
      </c>
      <c r="AL96">
        <f>[1]data!AI97*(_xlfn.XLOOKUP([1]data!$C97,[2]data!$B$2:$B$218,[2]data!AH$2:AH$218)/100)</f>
        <v>11.004962922719999</v>
      </c>
      <c r="AM96">
        <f>[1]data!AJ97*(_xlfn.XLOOKUP([1]data!$C97,[2]data!$B$2:$B$218,[2]data!AI$2:AI$218)/100)</f>
        <v>11.06947891764</v>
      </c>
    </row>
    <row r="97" spans="1:39" x14ac:dyDescent="0.25">
      <c r="A97" t="s">
        <v>30</v>
      </c>
      <c r="B97" t="s">
        <v>31</v>
      </c>
      <c r="C97" t="s">
        <v>128</v>
      </c>
      <c r="D97" t="s">
        <v>361</v>
      </c>
      <c r="E97" t="str">
        <f>_xlfn.XLOOKUP(D97,[6]Feuil1!$C$2:$C$248,[6]Feuil1!$B$2:$B$248)</f>
        <v>KI</v>
      </c>
      <c r="F97" t="s">
        <v>33</v>
      </c>
      <c r="G97" t="s">
        <v>250</v>
      </c>
      <c r="H97" t="s">
        <v>34</v>
      </c>
      <c r="I97">
        <f>[1]data!F98*(_xlfn.XLOOKUP([1]data!$C98,[2]data!$B$2:$B$218,[2]data!E$2:E$218)/100)</f>
        <v>4.1209300000000001E-3</v>
      </c>
      <c r="J97">
        <f>[1]data!G98*(_xlfn.XLOOKUP([1]data!$C98,[2]data!$B$2:$B$218,[2]data!F$2:F$218)/100)</f>
        <v>5.5677000000000001E-3</v>
      </c>
      <c r="K97">
        <f>[1]data!H98*(_xlfn.XLOOKUP([1]data!$C98,[2]data!$B$2:$B$218,[2]data!G$2:G$218)/100)</f>
        <v>7.5825969999999999E-3</v>
      </c>
      <c r="L97">
        <f>[1]data!I98*(_xlfn.XLOOKUP([1]data!$C98,[2]data!$B$2:$B$218,[2]data!H$2:H$218)/100)</f>
        <v>1.033998E-2</v>
      </c>
      <c r="M97">
        <f>[1]data!J98*(_xlfn.XLOOKUP([1]data!$C98,[2]data!$B$2:$B$218,[2]data!I$2:I$218)/100)</f>
        <v>1.3708562000000002E-2</v>
      </c>
      <c r="N97">
        <f>[1]data!K98*(_xlfn.XLOOKUP([1]data!$C98,[2]data!$B$2:$B$218,[2]data!J$2:J$218)/100)</f>
        <v>1.8009824000000004E-2</v>
      </c>
      <c r="O97">
        <f>[1]data!L98*(_xlfn.XLOOKUP([1]data!$C98,[2]data!$B$2:$B$218,[2]data!K$2:K$218)/100)</f>
        <v>1.9474315999999998E-2</v>
      </c>
      <c r="P97">
        <f>[1]data!M98*(_xlfn.XLOOKUP([1]data!$C98,[2]data!$B$2:$B$218,[2]data!L$2:L$218)/100)</f>
        <v>2.2100285000000001E-2</v>
      </c>
      <c r="Q97">
        <f>[1]data!N98*(_xlfn.XLOOKUP([1]data!$C98,[2]data!$B$2:$B$218,[2]data!M$2:M$218)/100)</f>
        <v>2.6011299999999998E-2</v>
      </c>
      <c r="R97">
        <f>[1]data!O98*(_xlfn.XLOOKUP([1]data!$C98,[2]data!$B$2:$B$218,[2]data!N$2:N$218)/100)</f>
        <v>2.9429764000000001E-2</v>
      </c>
      <c r="S97">
        <f>[1]data!P98*(_xlfn.XLOOKUP([1]data!$C98,[2]data!$B$2:$B$218,[2]data!O$2:O$218)/100)</f>
        <v>3.7854190000000003E-2</v>
      </c>
      <c r="T97">
        <f>[1]data!Q98*(_xlfn.XLOOKUP([1]data!$C98,[2]data!$B$2:$B$218,[2]data!P$2:P$218)/100)</f>
        <v>4.2379200000000006E-2</v>
      </c>
      <c r="U97">
        <f>[1]data!R98*(_xlfn.XLOOKUP([1]data!$C98,[2]data!$B$2:$B$218,[2]data!Q$2:Q$218)/100)</f>
        <v>5.0726057999999997E-2</v>
      </c>
      <c r="V97">
        <f>[1]data!S98*(_xlfn.XLOOKUP([1]data!$C98,[2]data!$B$2:$B$218,[2]data!R$2:R$218)/100)</f>
        <v>5.9760540000000001E-2</v>
      </c>
      <c r="W97">
        <f>[1]data!T98*(_xlfn.XLOOKUP([1]data!$C98,[2]data!$B$2:$B$218,[2]data!S$2:S$218)/100)</f>
        <v>6.9643447999999455E-2</v>
      </c>
      <c r="X97">
        <f>[1]data!U98*(_xlfn.XLOOKUP([1]data!$C98,[2]data!$B$2:$B$218,[2]data!T$2:T$218)/100)</f>
        <v>7.9194074720000007E-2</v>
      </c>
      <c r="Y97">
        <f>[1]data!V98*(_xlfn.XLOOKUP([1]data!$C98,[2]data!$B$2:$B$218,[2]data!U$2:U$218)/100)</f>
        <v>8.82593056799994E-2</v>
      </c>
      <c r="Z97">
        <f>[1]data!W98*(_xlfn.XLOOKUP([1]data!$C98,[2]data!$B$2:$B$218,[2]data!V$2:V$218)/100)</f>
        <v>9.6581035520000011E-2</v>
      </c>
      <c r="AA97">
        <f>[1]data!X98*(_xlfn.XLOOKUP([1]data!$C98,[2]data!$B$2:$B$218,[2]data!W$2:W$218)/100)</f>
        <v>0.104401997</v>
      </c>
      <c r="AB97">
        <f>[1]data!Y98*(_xlfn.XLOOKUP([1]data!$C98,[2]data!$B$2:$B$218,[2]data!X$2:X$218)/100)</f>
        <v>0.11205663392</v>
      </c>
      <c r="AC97">
        <f>[1]data!Z98*(_xlfn.XLOOKUP([1]data!$C98,[2]data!$B$2:$B$218,[2]data!Y$2:Y$218)/100)</f>
        <v>0.11909186444999999</v>
      </c>
      <c r="AD97">
        <f>[1]data!AA98*(_xlfn.XLOOKUP([1]data!$C98,[2]data!$B$2:$B$218,[2]data!Z$2:Z$218)/100)</f>
        <v>0.12509085910999998</v>
      </c>
      <c r="AE97">
        <f>[1]data!AB98*(_xlfn.XLOOKUP([1]data!$C98,[2]data!$B$2:$B$218,[2]data!AA$2:AA$218)/100)</f>
        <v>0.1296169086</v>
      </c>
      <c r="AF97">
        <f>[1]data!AC98*(_xlfn.XLOOKUP([1]data!$C98,[2]data!$B$2:$B$218,[2]data!AB$2:AB$218)/100)</f>
        <v>0.13297834659999927</v>
      </c>
      <c r="AG97">
        <f>[1]data!AD98*(_xlfn.XLOOKUP([1]data!$C98,[2]data!$B$2:$B$218,[2]data!AC$2:AC$218)/100)</f>
        <v>0.13561556559999999</v>
      </c>
      <c r="AH97">
        <f>[1]data!AE98*(_xlfn.XLOOKUP([1]data!$C98,[2]data!$B$2:$B$218,[2]data!AD$2:AD$218)/100)</f>
        <v>0.13786690060000001</v>
      </c>
      <c r="AI97">
        <f>[1]data!AF98*(_xlfn.XLOOKUP([1]data!$C98,[2]data!$B$2:$B$218,[2]data!AE$2:AE$218)/100)</f>
        <v>0.1397801595</v>
      </c>
      <c r="AJ97">
        <f>[1]data!AG98*(_xlfn.XLOOKUP([1]data!$C98,[2]data!$B$2:$B$218,[2]data!AF$2:AF$218)/100)</f>
        <v>0.14124751422000001</v>
      </c>
      <c r="AK97">
        <f>[1]data!AH98*(_xlfn.XLOOKUP([1]data!$C98,[2]data!$B$2:$B$218,[2]data!AG$2:AG$218)/100)</f>
        <v>0.14195754676999997</v>
      </c>
      <c r="AL97">
        <f>[1]data!AI98*(_xlfn.XLOOKUP([1]data!$C98,[2]data!$B$2:$B$218,[2]data!AH$2:AH$218)/100)</f>
        <v>0.1419254288</v>
      </c>
      <c r="AM97">
        <f>[1]data!AJ98*(_xlfn.XLOOKUP([1]data!$C98,[2]data!$B$2:$B$218,[2]data!AI$2:AI$218)/100)</f>
        <v>0.14136924457</v>
      </c>
    </row>
    <row r="98" spans="1:39" x14ac:dyDescent="0.25">
      <c r="A98" t="s">
        <v>30</v>
      </c>
      <c r="B98" t="s">
        <v>31</v>
      </c>
      <c r="C98" t="s">
        <v>129</v>
      </c>
      <c r="D98" t="s">
        <v>263</v>
      </c>
      <c r="E98" t="str">
        <f>_xlfn.XLOOKUP(D98,[6]Feuil1!$C$2:$C$248,[6]Feuil1!$B$2:$B$248)</f>
        <v>KR</v>
      </c>
      <c r="F98" t="s">
        <v>33</v>
      </c>
      <c r="G98" t="str">
        <f>_xlfn.XLOOKUP(C98,[3]Sheet1!$B$2:$B$172,[3]Sheet1!$D$2:$D$172)</f>
        <v>Korea region</v>
      </c>
      <c r="H98" t="s">
        <v>34</v>
      </c>
      <c r="I98">
        <f>[1]data!F99*(_xlfn.XLOOKUP([1]data!$C99,[2]data!$B$2:$B$218,[2]data!E$2:E$218)/100)</f>
        <v>4.3143039859999996</v>
      </c>
      <c r="J98">
        <f>[1]data!G99*(_xlfn.XLOOKUP([1]data!$C99,[2]data!$B$2:$B$218,[2]data!F$2:F$218)/100)</f>
        <v>5.304964064</v>
      </c>
      <c r="K98">
        <f>[1]data!H99*(_xlfn.XLOOKUP([1]data!$C99,[2]data!$B$2:$B$218,[2]data!G$2:G$218)/100)</f>
        <v>7.0435665259999993</v>
      </c>
      <c r="L98">
        <f>[1]data!I99*(_xlfn.XLOOKUP([1]data!$C99,[2]data!$B$2:$B$218,[2]data!H$2:H$218)/100)</f>
        <v>9.3543588720000006</v>
      </c>
      <c r="M98">
        <f>[1]data!J99*(_xlfn.XLOOKUP([1]data!$C99,[2]data!$B$2:$B$218,[2]data!I$2:I$218)/100)</f>
        <v>13.128540799000003</v>
      </c>
      <c r="N98">
        <f>[1]data!K99*(_xlfn.XLOOKUP([1]data!$C99,[2]data!$B$2:$B$218,[2]data!J$2:J$218)/100)</f>
        <v>17.107988639999999</v>
      </c>
      <c r="O98">
        <f>[1]data!L99*(_xlfn.XLOOKUP([1]data!$C99,[2]data!$B$2:$B$218,[2]data!K$2:K$218)/100)</f>
        <v>21.515137623000005</v>
      </c>
      <c r="P98">
        <f>[1]data!M99*(_xlfn.XLOOKUP([1]data!$C99,[2]data!$B$2:$B$218,[2]data!L$2:L$218)/100)</f>
        <v>26.582840757000003</v>
      </c>
      <c r="Q98">
        <f>[1]data!N99*(_xlfn.XLOOKUP([1]data!$C99,[2]data!$B$2:$B$218,[2]data!M$2:M$218)/100)</f>
        <v>32.366414339999999</v>
      </c>
      <c r="R98">
        <f>[1]data!O99*(_xlfn.XLOOKUP([1]data!$C99,[2]data!$B$2:$B$218,[2]data!N$2:N$218)/100)</f>
        <v>35.410193214000003</v>
      </c>
      <c r="S98">
        <f>[1]data!P99*(_xlfn.XLOOKUP([1]data!$C99,[2]data!$B$2:$B$218,[2]data!O$2:O$218)/100)</f>
        <v>37.133462087999995</v>
      </c>
      <c r="T98">
        <f>[1]data!Q99*(_xlfn.XLOOKUP([1]data!$C99,[2]data!$B$2:$B$218,[2]data!P$2:P$218)/100)</f>
        <v>38.87274460199999</v>
      </c>
      <c r="U98">
        <f>[1]data!R99*(_xlfn.XLOOKUP([1]data!$C99,[2]data!$B$2:$B$218,[2]data!Q$2:Q$218)/100)</f>
        <v>39.874230396000002</v>
      </c>
      <c r="V98">
        <f>[1]data!S99*(_xlfn.XLOOKUP([1]data!$C99,[2]data!$B$2:$B$218,[2]data!R$2:R$218)/100)</f>
        <v>41.442879071999997</v>
      </c>
      <c r="W98">
        <f>[1]data!T99*(_xlfn.XLOOKUP([1]data!$C99,[2]data!$B$2:$B$218,[2]data!S$2:S$218)/100)</f>
        <v>42.212513750000006</v>
      </c>
      <c r="X98">
        <f>[1]data!U99*(_xlfn.XLOOKUP([1]data!$C99,[2]data!$B$2:$B$218,[2]data!T$2:T$218)/100)</f>
        <v>42.415778032400006</v>
      </c>
      <c r="Y98">
        <f>[1]data!V99*(_xlfn.XLOOKUP([1]data!$C99,[2]data!$B$2:$B$218,[2]data!U$2:U$218)/100)</f>
        <v>42.480871354319994</v>
      </c>
      <c r="Z98">
        <f>[1]data!W99*(_xlfn.XLOOKUP([1]data!$C99,[2]data!$B$2:$B$218,[2]data!V$2:V$218)/100)</f>
        <v>42.3591328447</v>
      </c>
      <c r="AA98">
        <f>[1]data!X99*(_xlfn.XLOOKUP([1]data!$C99,[2]data!$B$2:$B$218,[2]data!W$2:W$218)/100)</f>
        <v>41.965119444759999</v>
      </c>
      <c r="AB98">
        <f>[1]data!Y99*(_xlfn.XLOOKUP([1]data!$C99,[2]data!$B$2:$B$218,[2]data!X$2:X$218)/100)</f>
        <v>41.307116019320006</v>
      </c>
      <c r="AC98">
        <f>[1]data!Z99*(_xlfn.XLOOKUP([1]data!$C99,[2]data!$B$2:$B$218,[2]data!Y$2:Y$218)/100)</f>
        <v>40.48264073608</v>
      </c>
      <c r="AD98">
        <f>[1]data!AA99*(_xlfn.XLOOKUP([1]data!$C99,[2]data!$B$2:$B$218,[2]data!Z$2:Z$218)/100)</f>
        <v>39.27957305403001</v>
      </c>
      <c r="AE98">
        <f>[1]data!AB99*(_xlfn.XLOOKUP([1]data!$C99,[2]data!$B$2:$B$218,[2]data!AA$2:AA$218)/100)</f>
        <v>37.768408984799997</v>
      </c>
      <c r="AF98">
        <f>[1]data!AC99*(_xlfn.XLOOKUP([1]data!$C99,[2]data!$B$2:$B$218,[2]data!AB$2:AB$218)/100)</f>
        <v>36.152419295710004</v>
      </c>
      <c r="AG98">
        <f>[1]data!AD99*(_xlfn.XLOOKUP([1]data!$C99,[2]data!$B$2:$B$218,[2]data!AC$2:AC$218)/100)</f>
        <v>34.562314419900005</v>
      </c>
      <c r="AH98">
        <f>[1]data!AE99*(_xlfn.XLOOKUP([1]data!$C99,[2]data!$B$2:$B$218,[2]data!AD$2:AD$218)/100)</f>
        <v>33.028542726200001</v>
      </c>
      <c r="AI98">
        <f>[1]data!AF99*(_xlfn.XLOOKUP([1]data!$C99,[2]data!$B$2:$B$218,[2]data!AE$2:AE$218)/100)</f>
        <v>31.548480041400005</v>
      </c>
      <c r="AJ98">
        <f>[1]data!AG99*(_xlfn.XLOOKUP([1]data!$C99,[2]data!$B$2:$B$218,[2]data!AF$2:AF$218)/100)</f>
        <v>30.132785575749999</v>
      </c>
      <c r="AK98">
        <f>[1]data!AH99*(_xlfn.XLOOKUP([1]data!$C99,[2]data!$B$2:$B$218,[2]data!AG$2:AG$218)/100)</f>
        <v>28.737605101859998</v>
      </c>
      <c r="AL98">
        <f>[1]data!AI99*(_xlfn.XLOOKUP([1]data!$C99,[2]data!$B$2:$B$218,[2]data!AH$2:AH$218)/100)</f>
        <v>27.346691830480001</v>
      </c>
      <c r="AM98">
        <f>[1]data!AJ99*(_xlfn.XLOOKUP([1]data!$C99,[2]data!$B$2:$B$218,[2]data!AI$2:AI$218)/100)</f>
        <v>26.03301409578</v>
      </c>
    </row>
    <row r="99" spans="1:39" x14ac:dyDescent="0.25">
      <c r="A99" t="s">
        <v>30</v>
      </c>
      <c r="B99" t="s">
        <v>31</v>
      </c>
      <c r="C99" t="s">
        <v>130</v>
      </c>
      <c r="D99" t="s">
        <v>362</v>
      </c>
      <c r="E99" t="str">
        <f>_xlfn.XLOOKUP(D99,[6]Feuil1!$C$2:$C$248,[6]Feuil1!$B$2:$B$248)</f>
        <v>KW</v>
      </c>
      <c r="F99" t="s">
        <v>33</v>
      </c>
      <c r="G99" t="str">
        <f>_xlfn.XLOOKUP(C99,[3]Sheet1!$B$2:$B$172,[3]Sheet1!$D$2:$D$172)</f>
        <v>Middle East</v>
      </c>
      <c r="H99" t="s">
        <v>34</v>
      </c>
      <c r="I99" t="e">
        <f>[1]data!F100*(_xlfn.XLOOKUP([1]data!$C100,[2]data!$B$2:$B$218,[2]data!E$2:E$218)/100)</f>
        <v>#N/A</v>
      </c>
      <c r="J99" t="e">
        <f>[1]data!G100*(_xlfn.XLOOKUP([1]data!$C100,[2]data!$B$2:$B$218,[2]data!F$2:F$218)/100)</f>
        <v>#N/A</v>
      </c>
      <c r="K99" t="e">
        <f>[1]data!H100*(_xlfn.XLOOKUP([1]data!$C100,[2]data!$B$2:$B$218,[2]data!G$2:G$218)/100)</f>
        <v>#N/A</v>
      </c>
      <c r="L99" t="e">
        <f>[1]data!I100*(_xlfn.XLOOKUP([1]data!$C100,[2]data!$B$2:$B$218,[2]data!H$2:H$218)/100)</f>
        <v>#N/A</v>
      </c>
      <c r="M99" t="e">
        <f>[1]data!J100*(_xlfn.XLOOKUP([1]data!$C100,[2]data!$B$2:$B$218,[2]data!I$2:I$218)/100)</f>
        <v>#N/A</v>
      </c>
      <c r="N99" t="e">
        <f>[1]data!K100*(_xlfn.XLOOKUP([1]data!$C100,[2]data!$B$2:$B$218,[2]data!J$2:J$218)/100)</f>
        <v>#N/A</v>
      </c>
      <c r="O99" t="e">
        <f>[1]data!L100*(_xlfn.XLOOKUP([1]data!$C100,[2]data!$B$2:$B$218,[2]data!K$2:K$218)/100)</f>
        <v>#N/A</v>
      </c>
      <c r="P99" t="e">
        <f>[1]data!M100*(_xlfn.XLOOKUP([1]data!$C100,[2]data!$B$2:$B$218,[2]data!L$2:L$218)/100)</f>
        <v>#N/A</v>
      </c>
      <c r="Q99" t="e">
        <f>[1]data!N100*(_xlfn.XLOOKUP([1]data!$C100,[2]data!$B$2:$B$218,[2]data!M$2:M$218)/100)</f>
        <v>#N/A</v>
      </c>
      <c r="R99" t="e">
        <f>[1]data!O100*(_xlfn.XLOOKUP([1]data!$C100,[2]data!$B$2:$B$218,[2]data!N$2:N$218)/100)</f>
        <v>#N/A</v>
      </c>
      <c r="S99" t="e">
        <f>[1]data!P100*(_xlfn.XLOOKUP([1]data!$C100,[2]data!$B$2:$B$218,[2]data!O$2:O$218)/100)</f>
        <v>#N/A</v>
      </c>
      <c r="T99" t="e">
        <f>[1]data!Q100*(_xlfn.XLOOKUP([1]data!$C100,[2]data!$B$2:$B$218,[2]data!P$2:P$218)/100)</f>
        <v>#N/A</v>
      </c>
      <c r="U99" t="e">
        <f>[1]data!R100*(_xlfn.XLOOKUP([1]data!$C100,[2]data!$B$2:$B$218,[2]data!Q$2:Q$218)/100)</f>
        <v>#N/A</v>
      </c>
      <c r="V99" t="e">
        <f>[1]data!S100*(_xlfn.XLOOKUP([1]data!$C100,[2]data!$B$2:$B$218,[2]data!R$2:R$218)/100)</f>
        <v>#N/A</v>
      </c>
      <c r="W99" t="e">
        <f>[1]data!T100*(_xlfn.XLOOKUP([1]data!$C100,[2]data!$B$2:$B$218,[2]data!S$2:S$218)/100)</f>
        <v>#N/A</v>
      </c>
      <c r="X99" t="e">
        <f>[1]data!U100*(_xlfn.XLOOKUP([1]data!$C100,[2]data!$B$2:$B$218,[2]data!T$2:T$218)/100)</f>
        <v>#N/A</v>
      </c>
      <c r="Y99" t="e">
        <f>[1]data!V100*(_xlfn.XLOOKUP([1]data!$C100,[2]data!$B$2:$B$218,[2]data!U$2:U$218)/100)</f>
        <v>#N/A</v>
      </c>
      <c r="Z99" t="e">
        <f>[1]data!W100*(_xlfn.XLOOKUP([1]data!$C100,[2]data!$B$2:$B$218,[2]data!V$2:V$218)/100)</f>
        <v>#N/A</v>
      </c>
      <c r="AA99" t="e">
        <f>[1]data!X100*(_xlfn.XLOOKUP([1]data!$C100,[2]data!$B$2:$B$218,[2]data!W$2:W$218)/100)</f>
        <v>#N/A</v>
      </c>
      <c r="AB99" t="e">
        <f>[1]data!Y100*(_xlfn.XLOOKUP([1]data!$C100,[2]data!$B$2:$B$218,[2]data!X$2:X$218)/100)</f>
        <v>#N/A</v>
      </c>
      <c r="AC99" t="e">
        <f>[1]data!Z100*(_xlfn.XLOOKUP([1]data!$C100,[2]data!$B$2:$B$218,[2]data!Y$2:Y$218)/100)</f>
        <v>#N/A</v>
      </c>
      <c r="AD99" t="e">
        <f>[1]data!AA100*(_xlfn.XLOOKUP([1]data!$C100,[2]data!$B$2:$B$218,[2]data!Z$2:Z$218)/100)</f>
        <v>#N/A</v>
      </c>
      <c r="AE99" t="e">
        <f>[1]data!AB100*(_xlfn.XLOOKUP([1]data!$C100,[2]data!$B$2:$B$218,[2]data!AA$2:AA$218)/100)</f>
        <v>#N/A</v>
      </c>
      <c r="AF99" t="e">
        <f>[1]data!AC100*(_xlfn.XLOOKUP([1]data!$C100,[2]data!$B$2:$B$218,[2]data!AB$2:AB$218)/100)</f>
        <v>#N/A</v>
      </c>
      <c r="AG99" t="e">
        <f>[1]data!AD100*(_xlfn.XLOOKUP([1]data!$C100,[2]data!$B$2:$B$218,[2]data!AC$2:AC$218)/100)</f>
        <v>#N/A</v>
      </c>
      <c r="AH99" t="e">
        <f>[1]data!AE100*(_xlfn.XLOOKUP([1]data!$C100,[2]data!$B$2:$B$218,[2]data!AD$2:AD$218)/100)</f>
        <v>#N/A</v>
      </c>
      <c r="AI99" t="e">
        <f>[1]data!AF100*(_xlfn.XLOOKUP([1]data!$C100,[2]data!$B$2:$B$218,[2]data!AE$2:AE$218)/100)</f>
        <v>#N/A</v>
      </c>
      <c r="AJ99" t="e">
        <f>[1]data!AG100*(_xlfn.XLOOKUP([1]data!$C100,[2]data!$B$2:$B$218,[2]data!AF$2:AF$218)/100)</f>
        <v>#N/A</v>
      </c>
      <c r="AK99" t="e">
        <f>[1]data!AH100*(_xlfn.XLOOKUP([1]data!$C100,[2]data!$B$2:$B$218,[2]data!AG$2:AG$218)/100)</f>
        <v>#N/A</v>
      </c>
      <c r="AL99" t="e">
        <f>[1]data!AI100*(_xlfn.XLOOKUP([1]data!$C100,[2]data!$B$2:$B$218,[2]data!AH$2:AH$218)/100)</f>
        <v>#N/A</v>
      </c>
      <c r="AM99" t="e">
        <f>[1]data!AJ100*(_xlfn.XLOOKUP([1]data!$C100,[2]data!$B$2:$B$218,[2]data!AI$2:AI$218)/100)</f>
        <v>#N/A</v>
      </c>
    </row>
    <row r="100" spans="1:39" x14ac:dyDescent="0.25">
      <c r="A100" t="s">
        <v>30</v>
      </c>
      <c r="B100" t="s">
        <v>31</v>
      </c>
      <c r="C100" t="s">
        <v>131</v>
      </c>
      <c r="D100" t="s">
        <v>264</v>
      </c>
      <c r="E100" t="str">
        <f>_xlfn.XLOOKUP(D100,[6]Feuil1!$C$2:$C$248,[6]Feuil1!$B$2:$B$248)</f>
        <v>LA</v>
      </c>
      <c r="F100" t="s">
        <v>33</v>
      </c>
      <c r="G100" t="str">
        <f>_xlfn.XLOOKUP(C100,[3]Sheet1!$B$2:$B$172,[3]Sheet1!$D$2:$D$172)</f>
        <v>Southeastern Asia</v>
      </c>
      <c r="H100" t="s">
        <v>34</v>
      </c>
      <c r="I100">
        <f>[1]data!F101*(_xlfn.XLOOKUP([1]data!$C101,[2]data!$B$2:$B$218,[2]data!E$2:E$218)/100)</f>
        <v>0.11982045600000002</v>
      </c>
      <c r="J100">
        <f>[1]data!G101*(_xlfn.XLOOKUP([1]data!$C101,[2]data!$B$2:$B$218,[2]data!F$2:F$218)/100)</f>
        <v>0.14224076399999999</v>
      </c>
      <c r="K100">
        <f>[1]data!H101*(_xlfn.XLOOKUP([1]data!$C101,[2]data!$B$2:$B$218,[2]data!G$2:G$218)/100)</f>
        <v>0.16578782</v>
      </c>
      <c r="L100">
        <f>[1]data!I101*(_xlfn.XLOOKUP([1]data!$C101,[2]data!$B$2:$B$218,[2]data!H$2:H$218)/100)</f>
        <v>0.19521766000000002</v>
      </c>
      <c r="M100">
        <f>[1]data!J101*(_xlfn.XLOOKUP([1]data!$C101,[2]data!$B$2:$B$218,[2]data!I$2:I$218)/100)</f>
        <v>0.25373817600000004</v>
      </c>
      <c r="N100">
        <f>[1]data!K101*(_xlfn.XLOOKUP([1]data!$C101,[2]data!$B$2:$B$218,[2]data!J$2:J$218)/100)</f>
        <v>0.330915087</v>
      </c>
      <c r="O100">
        <f>[1]data!L101*(_xlfn.XLOOKUP([1]data!$C101,[2]data!$B$2:$B$218,[2]data!K$2:K$218)/100)</f>
        <v>0.40463481600000001</v>
      </c>
      <c r="P100">
        <f>[1]data!M101*(_xlfn.XLOOKUP([1]data!$C101,[2]data!$B$2:$B$218,[2]data!L$2:L$218)/100)</f>
        <v>0.50914313400000011</v>
      </c>
      <c r="Q100">
        <f>[1]data!N101*(_xlfn.XLOOKUP([1]data!$C101,[2]data!$B$2:$B$218,[2]data!M$2:M$218)/100)</f>
        <v>0.65504192600000011</v>
      </c>
      <c r="R100">
        <f>[1]data!O101*(_xlfn.XLOOKUP([1]data!$C101,[2]data!$B$2:$B$218,[2]data!N$2:N$218)/100)</f>
        <v>0.84710821199999997</v>
      </c>
      <c r="S100">
        <f>[1]data!P101*(_xlfn.XLOOKUP([1]data!$C101,[2]data!$B$2:$B$218,[2]data!O$2:O$218)/100)</f>
        <v>1.18490702</v>
      </c>
      <c r="T100">
        <f>[1]data!Q101*(_xlfn.XLOOKUP([1]data!$C101,[2]data!$B$2:$B$218,[2]data!P$2:P$218)/100)</f>
        <v>1.5794384480000003</v>
      </c>
      <c r="U100">
        <f>[1]data!R101*(_xlfn.XLOOKUP([1]data!$C101,[2]data!$B$2:$B$218,[2]data!Q$2:Q$218)/100)</f>
        <v>1.8893249269999999</v>
      </c>
      <c r="V100">
        <f>[1]data!S101*(_xlfn.XLOOKUP([1]data!$C101,[2]data!$B$2:$B$218,[2]data!R$2:R$218)/100)</f>
        <v>2.2297447589999999</v>
      </c>
      <c r="W100">
        <f>[1]data!T101*(_xlfn.XLOOKUP([1]data!$C101,[2]data!$B$2:$B$218,[2]data!S$2:S$218)/100)</f>
        <v>2.6374305870000003</v>
      </c>
      <c r="X100">
        <f>[1]data!U101*(_xlfn.XLOOKUP([1]data!$C101,[2]data!$B$2:$B$218,[2]data!T$2:T$218)/100)</f>
        <v>3.0606437327400005</v>
      </c>
      <c r="Y100">
        <f>[1]data!V101*(_xlfn.XLOOKUP([1]data!$C101,[2]data!$B$2:$B$218,[2]data!U$2:U$218)/100)</f>
        <v>3.4871927760600001</v>
      </c>
      <c r="Z100">
        <f>[1]data!W101*(_xlfn.XLOOKUP([1]data!$C101,[2]data!$B$2:$B$218,[2]data!V$2:V$218)/100)</f>
        <v>3.9043756136000045</v>
      </c>
      <c r="AA100">
        <f>[1]data!X101*(_xlfn.XLOOKUP([1]data!$C101,[2]data!$B$2:$B$218,[2]data!W$2:W$218)/100)</f>
        <v>4.3018040865999998</v>
      </c>
      <c r="AB100">
        <f>[1]data!Y101*(_xlfn.XLOOKUP([1]data!$C101,[2]data!$B$2:$B$218,[2]data!X$2:X$218)/100)</f>
        <v>4.6666529752800008</v>
      </c>
      <c r="AC100">
        <f>[1]data!Z101*(_xlfn.XLOOKUP([1]data!$C101,[2]data!$B$2:$B$218,[2]data!Y$2:Y$218)/100)</f>
        <v>4.9892842611600043</v>
      </c>
      <c r="AD100">
        <f>[1]data!AA101*(_xlfn.XLOOKUP([1]data!$C101,[2]data!$B$2:$B$218,[2]data!Z$2:Z$218)/100)</f>
        <v>5.2724458330500008</v>
      </c>
      <c r="AE100">
        <f>[1]data!AB101*(_xlfn.XLOOKUP([1]data!$C101,[2]data!$B$2:$B$218,[2]data!AA$2:AA$218)/100)</f>
        <v>5.5149991815600066</v>
      </c>
      <c r="AF100">
        <f>[1]data!AC101*(_xlfn.XLOOKUP([1]data!$C101,[2]data!$B$2:$B$218,[2]data!AB$2:AB$218)/100)</f>
        <v>5.7150214355999989</v>
      </c>
      <c r="AG100">
        <f>[1]data!AD101*(_xlfn.XLOOKUP([1]data!$C101,[2]data!$B$2:$B$218,[2]data!AC$2:AC$218)/100)</f>
        <v>5.8732975797</v>
      </c>
      <c r="AH100">
        <f>[1]data!AE101*(_xlfn.XLOOKUP([1]data!$C101,[2]data!$B$2:$B$218,[2]data!AD$2:AD$218)/100)</f>
        <v>5.99209723321</v>
      </c>
      <c r="AI100">
        <f>[1]data!AF101*(_xlfn.XLOOKUP([1]data!$C101,[2]data!$B$2:$B$218,[2]data!AE$2:AE$218)/100)</f>
        <v>6.0769131884400007</v>
      </c>
      <c r="AJ100">
        <f>[1]data!AG101*(_xlfn.XLOOKUP([1]data!$C101,[2]data!$B$2:$B$218,[2]data!AF$2:AF$218)/100)</f>
        <v>6.1310736084499995</v>
      </c>
      <c r="AK100">
        <f>[1]data!AH101*(_xlfn.XLOOKUP([1]data!$C101,[2]data!$B$2:$B$218,[2]data!AG$2:AG$218)/100)</f>
        <v>6.1624595065000003</v>
      </c>
      <c r="AL100">
        <f>[1]data!AI101*(_xlfn.XLOOKUP([1]data!$C101,[2]data!$B$2:$B$218,[2]data!AH$2:AH$218)/100)</f>
        <v>6.1746597105300074</v>
      </c>
      <c r="AM100">
        <f>[1]data!AJ101*(_xlfn.XLOOKUP([1]data!$C101,[2]data!$B$2:$B$218,[2]data!AI$2:AI$218)/100)</f>
        <v>6.1694323879299997</v>
      </c>
    </row>
    <row r="101" spans="1:39" x14ac:dyDescent="0.25">
      <c r="A101" t="s">
        <v>30</v>
      </c>
      <c r="B101" t="s">
        <v>31</v>
      </c>
      <c r="C101" t="s">
        <v>132</v>
      </c>
      <c r="D101" t="s">
        <v>363</v>
      </c>
      <c r="E101" t="str">
        <f>_xlfn.XLOOKUP(D101,[6]Feuil1!$C$2:$C$248,[6]Feuil1!$B$2:$B$248)</f>
        <v>LB</v>
      </c>
      <c r="F101" t="s">
        <v>33</v>
      </c>
      <c r="G101" t="str">
        <f>_xlfn.XLOOKUP(C101,[3]Sheet1!$B$2:$B$172,[3]Sheet1!$D$2:$D$172)</f>
        <v>Middle East</v>
      </c>
      <c r="H101" t="s">
        <v>34</v>
      </c>
      <c r="I101">
        <f>[1]data!F102*(_xlfn.XLOOKUP([1]data!$C102,[2]data!$B$2:$B$218,[2]data!E$2:E$218)/100)</f>
        <v>0.42577663999999998</v>
      </c>
      <c r="J101">
        <f>[1]data!G102*(_xlfn.XLOOKUP([1]data!$C102,[2]data!$B$2:$B$218,[2]data!F$2:F$218)/100)</f>
        <v>0.55685978699999994</v>
      </c>
      <c r="K101">
        <f>[1]data!H102*(_xlfn.XLOOKUP([1]data!$C102,[2]data!$B$2:$B$218,[2]data!G$2:G$218)/100)</f>
        <v>0.74955980699999991</v>
      </c>
      <c r="L101">
        <f>[1]data!I102*(_xlfn.XLOOKUP([1]data!$C102,[2]data!$B$2:$B$218,[2]data!H$2:H$218)/100)</f>
        <v>1.0482157669999999</v>
      </c>
      <c r="M101">
        <f>[1]data!J102*(_xlfn.XLOOKUP([1]data!$C102,[2]data!$B$2:$B$218,[2]data!I$2:I$218)/100)</f>
        <v>1.4004526900000001</v>
      </c>
      <c r="N101">
        <f>[1]data!K102*(_xlfn.XLOOKUP([1]data!$C102,[2]data!$B$2:$B$218,[2]data!J$2:J$218)/100)</f>
        <v>1.7846227200000002</v>
      </c>
      <c r="O101">
        <f>[1]data!L102*(_xlfn.XLOOKUP([1]data!$C102,[2]data!$B$2:$B$218,[2]data!K$2:K$218)/100)</f>
        <v>2.1604919159999998</v>
      </c>
      <c r="P101">
        <f>[1]data!M102*(_xlfn.XLOOKUP([1]data!$C102,[2]data!$B$2:$B$218,[2]data!L$2:L$218)/100)</f>
        <v>2.5367442480000002</v>
      </c>
      <c r="Q101">
        <f>[1]data!N102*(_xlfn.XLOOKUP([1]data!$C102,[2]data!$B$2:$B$218,[2]data!M$2:M$218)/100)</f>
        <v>2.9592217469999995</v>
      </c>
      <c r="R101">
        <f>[1]data!O102*(_xlfn.XLOOKUP([1]data!$C102,[2]data!$B$2:$B$218,[2]data!N$2:N$218)/100)</f>
        <v>3.3261968959999999</v>
      </c>
      <c r="S101">
        <f>[1]data!P102*(_xlfn.XLOOKUP([1]data!$C102,[2]data!$B$2:$B$218,[2]data!O$2:O$218)/100)</f>
        <v>3.68592904</v>
      </c>
      <c r="T101">
        <f>[1]data!Q102*(_xlfn.XLOOKUP([1]data!$C102,[2]data!$B$2:$B$218,[2]data!P$2:P$218)/100)</f>
        <v>3.9924609119999999</v>
      </c>
      <c r="U101">
        <f>[1]data!R102*(_xlfn.XLOOKUP([1]data!$C102,[2]data!$B$2:$B$218,[2]data!Q$2:Q$218)/100)</f>
        <v>4.3496238510000005</v>
      </c>
      <c r="V101">
        <f>[1]data!S102*(_xlfn.XLOOKUP([1]data!$C102,[2]data!$B$2:$B$218,[2]data!R$2:R$218)/100)</f>
        <v>5.6972120359999998</v>
      </c>
      <c r="W101">
        <f>[1]data!T102*(_xlfn.XLOOKUP([1]data!$C102,[2]data!$B$2:$B$218,[2]data!S$2:S$218)/100)</f>
        <v>5.0624353920000003</v>
      </c>
      <c r="X101">
        <f>[1]data!U102*(_xlfn.XLOOKUP([1]data!$C102,[2]data!$B$2:$B$218,[2]data!T$2:T$218)/100)</f>
        <v>5.3342435151000096</v>
      </c>
      <c r="Y101">
        <f>[1]data!V102*(_xlfn.XLOOKUP([1]data!$C102,[2]data!$B$2:$B$218,[2]data!U$2:U$218)/100)</f>
        <v>5.6535182234299999</v>
      </c>
      <c r="Z101">
        <f>[1]data!W102*(_xlfn.XLOOKUP([1]data!$C102,[2]data!$B$2:$B$218,[2]data!V$2:V$218)/100)</f>
        <v>5.9509377521300086</v>
      </c>
      <c r="AA101">
        <f>[1]data!X102*(_xlfn.XLOOKUP([1]data!$C102,[2]data!$B$2:$B$218,[2]data!W$2:W$218)/100)</f>
        <v>6.2189654085100008</v>
      </c>
      <c r="AB101">
        <f>[1]data!Y102*(_xlfn.XLOOKUP([1]data!$C102,[2]data!$B$2:$B$218,[2]data!X$2:X$218)/100)</f>
        <v>6.4532242501999999</v>
      </c>
      <c r="AC101">
        <f>[1]data!Z102*(_xlfn.XLOOKUP([1]data!$C102,[2]data!$B$2:$B$218,[2]data!Y$2:Y$218)/100)</f>
        <v>6.6427240871000004</v>
      </c>
      <c r="AD101">
        <f>[1]data!AA102*(_xlfn.XLOOKUP([1]data!$C102,[2]data!$B$2:$B$218,[2]data!Z$2:Z$218)/100)</f>
        <v>6.78750389350001</v>
      </c>
      <c r="AE101">
        <f>[1]data!AB102*(_xlfn.XLOOKUP([1]data!$C102,[2]data!$B$2:$B$218,[2]data!AA$2:AA$218)/100)</f>
        <v>6.9039152325000002</v>
      </c>
      <c r="AF101">
        <f>[1]data!AC102*(_xlfn.XLOOKUP([1]data!$C102,[2]data!$B$2:$B$218,[2]data!AB$2:AB$218)/100)</f>
        <v>6.9966675521200008</v>
      </c>
      <c r="AG101">
        <f>[1]data!AD102*(_xlfn.XLOOKUP([1]data!$C102,[2]data!$B$2:$B$218,[2]data!AC$2:AC$218)/100)</f>
        <v>7.0707208346100003</v>
      </c>
      <c r="AH101">
        <f>[1]data!AE102*(_xlfn.XLOOKUP([1]data!$C102,[2]data!$B$2:$B$218,[2]data!AD$2:AD$218)/100)</f>
        <v>7.1178094651399997</v>
      </c>
      <c r="AI101">
        <f>[1]data!AF102*(_xlfn.XLOOKUP([1]data!$C102,[2]data!$B$2:$B$218,[2]data!AE$2:AE$218)/100)</f>
        <v>7.1369144880500093</v>
      </c>
      <c r="AJ101">
        <f>[1]data!AG102*(_xlfn.XLOOKUP([1]data!$C102,[2]data!$B$2:$B$218,[2]data!AF$2:AF$218)/100)</f>
        <v>7.1218012885500004</v>
      </c>
      <c r="AK101">
        <f>[1]data!AH102*(_xlfn.XLOOKUP([1]data!$C102,[2]data!$B$2:$B$218,[2]data!AG$2:AG$218)/100)</f>
        <v>7.0716608260000005</v>
      </c>
      <c r="AL101">
        <f>[1]data!AI102*(_xlfn.XLOOKUP([1]data!$C102,[2]data!$B$2:$B$218,[2]data!AH$2:AH$218)/100)</f>
        <v>6.9898383423399997</v>
      </c>
      <c r="AM101">
        <f>[1]data!AJ102*(_xlfn.XLOOKUP([1]data!$C102,[2]data!$B$2:$B$218,[2]data!AI$2:AI$218)/100)</f>
        <v>6.8810788566000012</v>
      </c>
    </row>
    <row r="102" spans="1:39" x14ac:dyDescent="0.25">
      <c r="A102" t="s">
        <v>30</v>
      </c>
      <c r="B102" t="s">
        <v>31</v>
      </c>
      <c r="C102" t="s">
        <v>133</v>
      </c>
      <c r="D102" t="s">
        <v>364</v>
      </c>
      <c r="E102" t="str">
        <f>_xlfn.XLOOKUP(D102,[6]Feuil1!$C$2:$C$248,[6]Feuil1!$B$2:$B$248)</f>
        <v>LR</v>
      </c>
      <c r="F102" t="s">
        <v>33</v>
      </c>
      <c r="G102" t="str">
        <f>_xlfn.XLOOKUP(C102,[3]Sheet1!$B$2:$B$172,[3]Sheet1!$D$2:$D$172)</f>
        <v>Western Africa</v>
      </c>
      <c r="H102" t="s">
        <v>34</v>
      </c>
      <c r="I102">
        <f>[1]data!F103*(_xlfn.XLOOKUP([1]data!$C103,[2]data!$B$2:$B$218,[2]data!E$2:E$218)/100)</f>
        <v>0.11796954</v>
      </c>
      <c r="J102">
        <f>[1]data!G103*(_xlfn.XLOOKUP([1]data!$C103,[2]data!$B$2:$B$218,[2]data!F$2:F$218)/100)</f>
        <v>0.15640622400000001</v>
      </c>
      <c r="K102">
        <f>[1]data!H103*(_xlfn.XLOOKUP([1]data!$C103,[2]data!$B$2:$B$218,[2]data!G$2:G$218)/100)</f>
        <v>0.20893770600000003</v>
      </c>
      <c r="L102">
        <f>[1]data!I103*(_xlfn.XLOOKUP([1]data!$C103,[2]data!$B$2:$B$218,[2]data!H$2:H$218)/100)</f>
        <v>0.28087950800000006</v>
      </c>
      <c r="M102">
        <f>[1]data!J103*(_xlfn.XLOOKUP([1]data!$C103,[2]data!$B$2:$B$218,[2]data!I$2:I$218)/100)</f>
        <v>0.37556506000000006</v>
      </c>
      <c r="N102">
        <f>[1]data!K103*(_xlfn.XLOOKUP([1]data!$C103,[2]data!$B$2:$B$218,[2]data!J$2:J$218)/100)</f>
        <v>0.50114156799999998</v>
      </c>
      <c r="O102">
        <f>[1]data!L103*(_xlfn.XLOOKUP([1]data!$C103,[2]data!$B$2:$B$218,[2]data!K$2:K$218)/100)</f>
        <v>0.6699982080000001</v>
      </c>
      <c r="P102">
        <f>[1]data!M103*(_xlfn.XLOOKUP([1]data!$C103,[2]data!$B$2:$B$218,[2]data!L$2:L$218)/100)</f>
        <v>0.935702704</v>
      </c>
      <c r="Q102">
        <f>[1]data!N103*(_xlfn.XLOOKUP([1]data!$C103,[2]data!$B$2:$B$218,[2]data!M$2:M$218)/100)</f>
        <v>1.4081023539999999</v>
      </c>
      <c r="R102">
        <f>[1]data!O103*(_xlfn.XLOOKUP([1]data!$C103,[2]data!$B$2:$B$218,[2]data!N$2:N$218)/100)</f>
        <v>0.96112123999999999</v>
      </c>
      <c r="S102">
        <f>[1]data!P103*(_xlfn.XLOOKUP([1]data!$C103,[2]data!$B$2:$B$218,[2]data!O$2:O$218)/100)</f>
        <v>1.264833222</v>
      </c>
      <c r="T102">
        <f>[1]data!Q103*(_xlfn.XLOOKUP([1]data!$C103,[2]data!$B$2:$B$218,[2]data!P$2:P$218)/100)</f>
        <v>1.4603299840000001</v>
      </c>
      <c r="U102">
        <f>[1]data!R103*(_xlfn.XLOOKUP([1]data!$C103,[2]data!$B$2:$B$218,[2]data!Q$2:Q$218)/100)</f>
        <v>1.8938049299999999</v>
      </c>
      <c r="V102">
        <f>[1]data!S103*(_xlfn.XLOOKUP([1]data!$C103,[2]data!$B$2:$B$218,[2]data!R$2:R$218)/100)</f>
        <v>2.2725383399999997</v>
      </c>
      <c r="W102">
        <f>[1]data!T103*(_xlfn.XLOOKUP([1]data!$C103,[2]data!$B$2:$B$218,[2]data!S$2:S$218)/100)</f>
        <v>2.6228109060000002</v>
      </c>
      <c r="X102">
        <f>[1]data!U103*(_xlfn.XLOOKUP([1]data!$C103,[2]data!$B$2:$B$218,[2]data!T$2:T$218)/100)</f>
        <v>3.0832007400000001</v>
      </c>
      <c r="Y102">
        <f>[1]data!V103*(_xlfn.XLOOKUP([1]data!$C103,[2]data!$B$2:$B$218,[2]data!U$2:U$218)/100)</f>
        <v>3.5857146857499993</v>
      </c>
      <c r="Z102">
        <f>[1]data!W103*(_xlfn.XLOOKUP([1]data!$C103,[2]data!$B$2:$B$218,[2]data!V$2:V$218)/100)</f>
        <v>4.1171917893499943</v>
      </c>
      <c r="AA102">
        <f>[1]data!X103*(_xlfn.XLOOKUP([1]data!$C103,[2]data!$B$2:$B$218,[2]data!W$2:W$218)/100)</f>
        <v>4.6643280741200011</v>
      </c>
      <c r="AB102">
        <f>[1]data!Y103*(_xlfn.XLOOKUP([1]data!$C103,[2]data!$B$2:$B$218,[2]data!X$2:X$218)/100)</f>
        <v>5.2133544244800065</v>
      </c>
      <c r="AC102">
        <f>[1]data!Z103*(_xlfn.XLOOKUP([1]data!$C103,[2]data!$B$2:$B$218,[2]data!Y$2:Y$218)/100)</f>
        <v>5.7496264007599995</v>
      </c>
      <c r="AD102">
        <f>[1]data!AA103*(_xlfn.XLOOKUP([1]data!$C103,[2]data!$B$2:$B$218,[2]data!Z$2:Z$218)/100)</f>
        <v>6.2694558320799993</v>
      </c>
      <c r="AE102">
        <f>[1]data!AB103*(_xlfn.XLOOKUP([1]data!$C103,[2]data!$B$2:$B$218,[2]data!AA$2:AA$218)/100)</f>
        <v>6.7583307900000076</v>
      </c>
      <c r="AF102">
        <f>[1]data!AC103*(_xlfn.XLOOKUP([1]data!$C103,[2]data!$B$2:$B$218,[2]data!AB$2:AB$218)/100)</f>
        <v>7.2172294170400004</v>
      </c>
      <c r="AG102">
        <f>[1]data!AD103*(_xlfn.XLOOKUP([1]data!$C103,[2]data!$B$2:$B$218,[2]data!AC$2:AC$218)/100)</f>
        <v>7.6243493557999997</v>
      </c>
      <c r="AH102">
        <f>[1]data!AE103*(_xlfn.XLOOKUP([1]data!$C103,[2]data!$B$2:$B$218,[2]data!AD$2:AD$218)/100)</f>
        <v>7.9781276877900016</v>
      </c>
      <c r="AI102">
        <f>[1]data!AF103*(_xlfn.XLOOKUP([1]data!$C103,[2]data!$B$2:$B$218,[2]data!AE$2:AE$218)/100)</f>
        <v>8.2741752753100002</v>
      </c>
      <c r="AJ102">
        <f>[1]data!AG103*(_xlfn.XLOOKUP([1]data!$C103,[2]data!$B$2:$B$218,[2]data!AF$2:AF$218)/100)</f>
        <v>8.5229508678299997</v>
      </c>
      <c r="AK102">
        <f>[1]data!AH103*(_xlfn.XLOOKUP([1]data!$C103,[2]data!$B$2:$B$218,[2]data!AG$2:AG$218)/100)</f>
        <v>8.7228429155999994</v>
      </c>
      <c r="AL102">
        <f>[1]data!AI103*(_xlfn.XLOOKUP([1]data!$C103,[2]data!$B$2:$B$218,[2]data!AH$2:AH$218)/100)</f>
        <v>8.8774601474499999</v>
      </c>
      <c r="AM102">
        <f>[1]data!AJ103*(_xlfn.XLOOKUP([1]data!$C103,[2]data!$B$2:$B$218,[2]data!AI$2:AI$218)/100)</f>
        <v>8.990333012799999</v>
      </c>
    </row>
    <row r="103" spans="1:39" x14ac:dyDescent="0.25">
      <c r="A103" t="s">
        <v>30</v>
      </c>
      <c r="B103" t="s">
        <v>31</v>
      </c>
      <c r="C103" t="s">
        <v>134</v>
      </c>
      <c r="D103" t="s">
        <v>365</v>
      </c>
      <c r="E103" t="str">
        <f>_xlfn.XLOOKUP(D103,[6]Feuil1!$C$2:$C$248,[6]Feuil1!$B$2:$B$248)</f>
        <v>LY</v>
      </c>
      <c r="F103" t="s">
        <v>33</v>
      </c>
      <c r="G103" t="str">
        <f>_xlfn.XLOOKUP(C103,[3]Sheet1!$B$2:$B$172,[3]Sheet1!$D$2:$D$172)</f>
        <v>Northern Africa</v>
      </c>
      <c r="H103" t="s">
        <v>34</v>
      </c>
      <c r="I103">
        <f>[1]data!F104*(_xlfn.XLOOKUP([1]data!$C104,[2]data!$B$2:$B$218,[2]data!E$2:E$218)/100)</f>
        <v>0.21942024000000002</v>
      </c>
      <c r="J103">
        <f>[1]data!G104*(_xlfn.XLOOKUP([1]data!$C104,[2]data!$B$2:$B$218,[2]data!F$2:F$218)/100)</f>
        <v>0.280671744</v>
      </c>
      <c r="K103">
        <f>[1]data!H104*(_xlfn.XLOOKUP([1]data!$C104,[2]data!$B$2:$B$218,[2]data!G$2:G$218)/100)</f>
        <v>0.38280442200000003</v>
      </c>
      <c r="L103">
        <f>[1]data!I104*(_xlfn.XLOOKUP([1]data!$C104,[2]data!$B$2:$B$218,[2]data!H$2:H$218)/100)</f>
        <v>0.56590388000000003</v>
      </c>
      <c r="M103">
        <f>[1]data!J104*(_xlfn.XLOOKUP([1]data!$C104,[2]data!$B$2:$B$218,[2]data!I$2:I$218)/100)</f>
        <v>0.93697173500000019</v>
      </c>
      <c r="N103">
        <f>[1]data!K104*(_xlfn.XLOOKUP([1]data!$C104,[2]data!$B$2:$B$218,[2]data!J$2:J$218)/100)</f>
        <v>1.401966668</v>
      </c>
      <c r="O103">
        <f>[1]data!L104*(_xlfn.XLOOKUP([1]data!$C104,[2]data!$B$2:$B$218,[2]data!K$2:K$218)/100)</f>
        <v>2.0251497439999997</v>
      </c>
      <c r="P103">
        <f>[1]data!M104*(_xlfn.XLOOKUP([1]data!$C104,[2]data!$B$2:$B$218,[2]data!L$2:L$218)/100)</f>
        <v>2.7370931950000004</v>
      </c>
      <c r="Q103">
        <f>[1]data!N104*(_xlfn.XLOOKUP([1]data!$C104,[2]data!$B$2:$B$218,[2]data!M$2:M$218)/100)</f>
        <v>3.1672509070000006</v>
      </c>
      <c r="R103">
        <f>[1]data!O104*(_xlfn.XLOOKUP([1]data!$C104,[2]data!$B$2:$B$218,[2]data!N$2:N$218)/100)</f>
        <v>3.5631589200000002</v>
      </c>
      <c r="S103">
        <f>[1]data!P104*(_xlfn.XLOOKUP([1]data!$C104,[2]data!$B$2:$B$218,[2]data!O$2:O$218)/100)</f>
        <v>3.8936419600000005</v>
      </c>
      <c r="T103">
        <f>[1]data!Q104*(_xlfn.XLOOKUP([1]data!$C104,[2]data!$B$2:$B$218,[2]data!P$2:P$218)/100)</f>
        <v>4.4423894339999999</v>
      </c>
      <c r="U103">
        <f>[1]data!R104*(_xlfn.XLOOKUP([1]data!$C104,[2]data!$B$2:$B$218,[2]data!Q$2:Q$218)/100)</f>
        <v>5.0182178749999995</v>
      </c>
      <c r="V103">
        <f>[1]data!S104*(_xlfn.XLOOKUP([1]data!$C104,[2]data!$B$2:$B$218,[2]data!R$2:R$218)/100)</f>
        <v>4.8747002589999999</v>
      </c>
      <c r="W103">
        <f>[1]data!T104*(_xlfn.XLOOKUP([1]data!$C104,[2]data!$B$2:$B$218,[2]data!S$2:S$218)/100)</f>
        <v>5.3359001400000006</v>
      </c>
      <c r="X103">
        <f>[1]data!U104*(_xlfn.XLOOKUP([1]data!$C104,[2]data!$B$2:$B$218,[2]data!T$2:T$218)/100)</f>
        <v>5.7730373386000009</v>
      </c>
      <c r="Y103">
        <f>[1]data!V104*(_xlfn.XLOOKUP([1]data!$C104,[2]data!$B$2:$B$218,[2]data!U$2:U$218)/100)</f>
        <v>6.2037861275699981</v>
      </c>
      <c r="Z103">
        <f>[1]data!W104*(_xlfn.XLOOKUP([1]data!$C104,[2]data!$B$2:$B$218,[2]data!V$2:V$218)/100)</f>
        <v>6.6233338409000089</v>
      </c>
      <c r="AA103">
        <f>[1]data!X104*(_xlfn.XLOOKUP([1]data!$C104,[2]data!$B$2:$B$218,[2]data!W$2:W$218)/100)</f>
        <v>7.034680764</v>
      </c>
      <c r="AB103">
        <f>[1]data!Y104*(_xlfn.XLOOKUP([1]data!$C104,[2]data!$B$2:$B$218,[2]data!X$2:X$218)/100)</f>
        <v>7.4127685007999995</v>
      </c>
      <c r="AC103">
        <f>[1]data!Z104*(_xlfn.XLOOKUP([1]data!$C104,[2]data!$B$2:$B$218,[2]data!Y$2:Y$218)/100)</f>
        <v>7.7304888188000005</v>
      </c>
      <c r="AD103">
        <f>[1]data!AA104*(_xlfn.XLOOKUP([1]data!$C104,[2]data!$B$2:$B$218,[2]data!Z$2:Z$218)/100)</f>
        <v>7.9821441862399993</v>
      </c>
      <c r="AE103">
        <f>[1]data!AB104*(_xlfn.XLOOKUP([1]data!$C104,[2]data!$B$2:$B$218,[2]data!AA$2:AA$218)/100)</f>
        <v>8.1843431200000012</v>
      </c>
      <c r="AF103">
        <f>[1]data!AC104*(_xlfn.XLOOKUP([1]data!$C104,[2]data!$B$2:$B$218,[2]data!AB$2:AB$218)/100)</f>
        <v>8.3544464687199991</v>
      </c>
      <c r="AG103">
        <f>[1]data!AD104*(_xlfn.XLOOKUP([1]data!$C104,[2]data!$B$2:$B$218,[2]data!AC$2:AC$218)/100)</f>
        <v>8.5002866272800013</v>
      </c>
      <c r="AH103">
        <f>[1]data!AE104*(_xlfn.XLOOKUP([1]data!$C104,[2]data!$B$2:$B$218,[2]data!AD$2:AD$218)/100)</f>
        <v>8.6295536651999996</v>
      </c>
      <c r="AI103">
        <f>[1]data!AF104*(_xlfn.XLOOKUP([1]data!$C104,[2]data!$B$2:$B$218,[2]data!AE$2:AE$218)/100)</f>
        <v>8.735757264810001</v>
      </c>
      <c r="AJ103">
        <f>[1]data!AG104*(_xlfn.XLOOKUP([1]data!$C104,[2]data!$B$2:$B$218,[2]data!AF$2:AF$218)/100)</f>
        <v>8.8154147136000081</v>
      </c>
      <c r="AK103">
        <f>[1]data!AH104*(_xlfn.XLOOKUP([1]data!$C104,[2]data!$B$2:$B$218,[2]data!AG$2:AG$218)/100)</f>
        <v>8.8676357542500082</v>
      </c>
      <c r="AL103">
        <f>[1]data!AI104*(_xlfn.XLOOKUP([1]data!$C104,[2]data!$B$2:$B$218,[2]data!AH$2:AH$218)/100)</f>
        <v>8.8932340765899998</v>
      </c>
      <c r="AM103">
        <f>[1]data!AJ104*(_xlfn.XLOOKUP([1]data!$C104,[2]data!$B$2:$B$218,[2]data!AI$2:AI$218)/100)</f>
        <v>8.8896534853700082</v>
      </c>
    </row>
    <row r="104" spans="1:39" x14ac:dyDescent="0.25">
      <c r="A104" t="s">
        <v>30</v>
      </c>
      <c r="B104" t="s">
        <v>31</v>
      </c>
      <c r="C104" t="s">
        <v>135</v>
      </c>
      <c r="D104" t="s">
        <v>265</v>
      </c>
      <c r="E104" t="str">
        <f>_xlfn.XLOOKUP(D104,[6]Feuil1!$C$2:$C$248,[6]Feuil1!$B$2:$B$248)</f>
        <v>LC</v>
      </c>
      <c r="F104" t="s">
        <v>33</v>
      </c>
      <c r="G104" t="e">
        <f>_xlfn.XLOOKUP(C104,[3]Sheet1!$B$2:$B$172,[3]Sheet1!$D$2:$D$172)</f>
        <v>#N/A</v>
      </c>
      <c r="H104" t="s">
        <v>34</v>
      </c>
      <c r="I104">
        <f>[1]data!F105*(_xlfn.XLOOKUP([1]data!$C105,[2]data!$B$2:$B$218,[2]data!E$2:E$218)/100)</f>
        <v>1.6548096000000002E-2</v>
      </c>
      <c r="J104">
        <f>[1]data!G105*(_xlfn.XLOOKUP([1]data!$C105,[2]data!$B$2:$B$218,[2]data!F$2:F$218)/100)</f>
        <v>1.7915359000000002E-2</v>
      </c>
      <c r="K104">
        <f>[1]data!H105*(_xlfn.XLOOKUP([1]data!$C105,[2]data!$B$2:$B$218,[2]data!G$2:G$218)/100)</f>
        <v>1.9563710000000002E-2</v>
      </c>
      <c r="L104">
        <f>[1]data!I105*(_xlfn.XLOOKUP([1]data!$C105,[2]data!$B$2:$B$218,[2]data!H$2:H$218)/100)</f>
        <v>2.1900960000000001E-2</v>
      </c>
      <c r="M104">
        <f>[1]data!J105*(_xlfn.XLOOKUP([1]data!$C105,[2]data!$B$2:$B$218,[2]data!I$2:I$218)/100)</f>
        <v>2.4434881999999998E-2</v>
      </c>
      <c r="N104">
        <f>[1]data!K105*(_xlfn.XLOOKUP([1]data!$C105,[2]data!$B$2:$B$218,[2]data!J$2:J$218)/100)</f>
        <v>2.7857844E-2</v>
      </c>
      <c r="O104">
        <f>[1]data!L105*(_xlfn.XLOOKUP([1]data!$C105,[2]data!$B$2:$B$218,[2]data!K$2:K$218)/100)</f>
        <v>3.1933824999999999E-2</v>
      </c>
      <c r="P104">
        <f>[1]data!M105*(_xlfn.XLOOKUP([1]data!$C105,[2]data!$B$2:$B$218,[2]data!L$2:L$218)/100)</f>
        <v>3.6744021000000002E-2</v>
      </c>
      <c r="Q104">
        <f>[1]data!N105*(_xlfn.XLOOKUP([1]data!$C105,[2]data!$B$2:$B$218,[2]data!M$2:M$218)/100)</f>
        <v>4.1412033999999993E-2</v>
      </c>
      <c r="R104">
        <f>[1]data!O105*(_xlfn.XLOOKUP([1]data!$C105,[2]data!$B$2:$B$218,[2]data!N$2:N$218)/100)</f>
        <v>4.3631712000000003E-2</v>
      </c>
      <c r="S104">
        <f>[1]data!P105*(_xlfn.XLOOKUP([1]data!$C105,[2]data!$B$2:$B$218,[2]data!O$2:O$218)/100)</f>
        <v>4.4193104000000004E-2</v>
      </c>
      <c r="T104">
        <f>[1]data!Q105*(_xlfn.XLOOKUP([1]data!$C105,[2]data!$B$2:$B$218,[2]data!P$2:P$218)/100)</f>
        <v>3.8075499000000006E-2</v>
      </c>
      <c r="U104">
        <f>[1]data!R105*(_xlfn.XLOOKUP([1]data!$C105,[2]data!$B$2:$B$218,[2]data!Q$2:Q$218)/100)</f>
        <v>3.1498470000000001E-2</v>
      </c>
      <c r="V104">
        <f>[1]data!S105*(_xlfn.XLOOKUP([1]data!$C105,[2]data!$B$2:$B$218,[2]data!R$2:R$218)/100)</f>
        <v>3.2414775E-2</v>
      </c>
      <c r="W104">
        <f>[1]data!T105*(_xlfn.XLOOKUP([1]data!$C105,[2]data!$B$2:$B$218,[2]data!S$2:S$218)/100)</f>
        <v>3.3636584000000004E-2</v>
      </c>
      <c r="X104">
        <f>[1]data!U105*(_xlfn.XLOOKUP([1]data!$C105,[2]data!$B$2:$B$218,[2]data!T$2:T$218)/100)</f>
        <v>3.7859157019999999E-2</v>
      </c>
      <c r="Y104">
        <f>[1]data!V105*(_xlfn.XLOOKUP([1]data!$C105,[2]data!$B$2:$B$218,[2]data!U$2:U$218)/100)</f>
        <v>4.2459130430000006E-2</v>
      </c>
      <c r="Z104">
        <f>[1]data!W105*(_xlfn.XLOOKUP([1]data!$C105,[2]data!$B$2:$B$218,[2]data!V$2:V$218)/100)</f>
        <v>4.711572747E-2</v>
      </c>
      <c r="AA104">
        <f>[1]data!X105*(_xlfn.XLOOKUP([1]data!$C105,[2]data!$B$2:$B$218,[2]data!W$2:W$218)/100)</f>
        <v>5.1697869719999998E-2</v>
      </c>
      <c r="AB104">
        <f>[1]data!Y105*(_xlfn.XLOOKUP([1]data!$C105,[2]data!$B$2:$B$218,[2]data!X$2:X$218)/100)</f>
        <v>5.6143757669999697E-2</v>
      </c>
      <c r="AC104">
        <f>[1]data!Z105*(_xlfn.XLOOKUP([1]data!$C105,[2]data!$B$2:$B$218,[2]data!Y$2:Y$218)/100)</f>
        <v>6.0410458800000011E-2</v>
      </c>
      <c r="AD104">
        <f>[1]data!AA105*(_xlfn.XLOOKUP([1]data!$C105,[2]data!$B$2:$B$218,[2]data!Z$2:Z$218)/100)</f>
        <v>6.4458771379999988E-2</v>
      </c>
      <c r="AE104">
        <f>[1]data!AB105*(_xlfn.XLOOKUP([1]data!$C105,[2]data!$B$2:$B$218,[2]data!AA$2:AA$218)/100)</f>
        <v>6.8257623280000013E-2</v>
      </c>
      <c r="AF104">
        <f>[1]data!AC105*(_xlfn.XLOOKUP([1]data!$C105,[2]data!$B$2:$B$218,[2]data!AB$2:AB$218)/100)</f>
        <v>7.1761477550000008E-2</v>
      </c>
      <c r="AG104">
        <f>[1]data!AD105*(_xlfn.XLOOKUP([1]data!$C105,[2]data!$B$2:$B$218,[2]data!AC$2:AC$218)/100)</f>
        <v>7.4873237249999988E-2</v>
      </c>
      <c r="AH104">
        <f>[1]data!AE105*(_xlfn.XLOOKUP([1]data!$C105,[2]data!$B$2:$B$218,[2]data!AD$2:AD$218)/100)</f>
        <v>7.7558919039999979E-2</v>
      </c>
      <c r="AI104">
        <f>[1]data!AF105*(_xlfn.XLOOKUP([1]data!$C105,[2]data!$B$2:$B$218,[2]data!AE$2:AE$218)/100)</f>
        <v>7.9780920480000003E-2</v>
      </c>
      <c r="AJ104">
        <f>[1]data!AG105*(_xlfn.XLOOKUP([1]data!$C105,[2]data!$B$2:$B$218,[2]data!AF$2:AF$218)/100)</f>
        <v>8.1567013679999995E-2</v>
      </c>
      <c r="AK104">
        <f>[1]data!AH105*(_xlfn.XLOOKUP([1]data!$C105,[2]data!$B$2:$B$218,[2]data!AG$2:AG$218)/100)</f>
        <v>8.3000855900000003E-2</v>
      </c>
      <c r="AL104">
        <f>[1]data!AI105*(_xlfn.XLOOKUP([1]data!$C105,[2]data!$B$2:$B$218,[2]data!AH$2:AH$218)/100)</f>
        <v>8.4191986559999987E-2</v>
      </c>
      <c r="AM104">
        <f>[1]data!AJ105*(_xlfn.XLOOKUP([1]data!$C105,[2]data!$B$2:$B$218,[2]data!AI$2:AI$218)/100)</f>
        <v>8.5206576899999997E-2</v>
      </c>
    </row>
    <row r="105" spans="1:39" x14ac:dyDescent="0.25">
      <c r="A105" t="s">
        <v>30</v>
      </c>
      <c r="B105" t="s">
        <v>31</v>
      </c>
      <c r="C105" t="s">
        <v>136</v>
      </c>
      <c r="D105" t="s">
        <v>366</v>
      </c>
      <c r="E105" t="str">
        <f>_xlfn.XLOOKUP(D105,[6]Feuil1!$C$2:$C$248,[6]Feuil1!$B$2:$B$248)</f>
        <v>LK</v>
      </c>
      <c r="F105" t="s">
        <v>33</v>
      </c>
      <c r="G105" t="str">
        <f>_xlfn.XLOOKUP(C105,[3]Sheet1!$B$2:$B$172,[3]Sheet1!$D$2:$D$172)</f>
        <v>Rest of South Asia</v>
      </c>
      <c r="H105" t="s">
        <v>34</v>
      </c>
      <c r="I105">
        <f>[1]data!F106*(_xlfn.XLOOKUP([1]data!$C106,[2]data!$B$2:$B$218,[2]data!E$2:E$218)/100)</f>
        <v>1.204956243</v>
      </c>
      <c r="J105">
        <f>[1]data!G106*(_xlfn.XLOOKUP([1]data!$C106,[2]data!$B$2:$B$218,[2]data!F$2:F$218)/100)</f>
        <v>1.3510816800000001</v>
      </c>
      <c r="K105">
        <f>[1]data!H106*(_xlfn.XLOOKUP([1]data!$C106,[2]data!$B$2:$B$218,[2]data!G$2:G$218)/100)</f>
        <v>1.5851410159999999</v>
      </c>
      <c r="L105">
        <f>[1]data!I106*(_xlfn.XLOOKUP([1]data!$C106,[2]data!$B$2:$B$218,[2]data!H$2:H$218)/100)</f>
        <v>1.8645362910000001</v>
      </c>
      <c r="M105">
        <f>[1]data!J106*(_xlfn.XLOOKUP([1]data!$C106,[2]data!$B$2:$B$218,[2]data!I$2:I$218)/100)</f>
        <v>2.1567187840000002</v>
      </c>
      <c r="N105">
        <f>[1]data!K106*(_xlfn.XLOOKUP([1]data!$C106,[2]data!$B$2:$B$218,[2]data!J$2:J$218)/100)</f>
        <v>2.4507658830000003</v>
      </c>
      <c r="O105">
        <f>[1]data!L106*(_xlfn.XLOOKUP([1]data!$C106,[2]data!$B$2:$B$218,[2]data!K$2:K$218)/100)</f>
        <v>2.7554992320000005</v>
      </c>
      <c r="P105">
        <f>[1]data!M106*(_xlfn.XLOOKUP([1]data!$C106,[2]data!$B$2:$B$218,[2]data!L$2:L$218)/100)</f>
        <v>2.9724133620000006</v>
      </c>
      <c r="Q105">
        <f>[1]data!N106*(_xlfn.XLOOKUP([1]data!$C106,[2]data!$B$2:$B$218,[2]data!M$2:M$218)/100)</f>
        <v>3.162746125</v>
      </c>
      <c r="R105">
        <f>[1]data!O106*(_xlfn.XLOOKUP([1]data!$C106,[2]data!$B$2:$B$218,[2]data!N$2:N$218)/100)</f>
        <v>3.3485460650000003</v>
      </c>
      <c r="S105">
        <f>[1]data!P106*(_xlfn.XLOOKUP([1]data!$C106,[2]data!$B$2:$B$218,[2]data!O$2:O$218)/100)</f>
        <v>3.445833688</v>
      </c>
      <c r="T105">
        <f>[1]data!Q106*(_xlfn.XLOOKUP([1]data!$C106,[2]data!$B$2:$B$218,[2]data!P$2:P$218)/100)</f>
        <v>3.5832772500000001</v>
      </c>
      <c r="U105">
        <f>[1]data!R106*(_xlfn.XLOOKUP([1]data!$C106,[2]data!$B$2:$B$218,[2]data!Q$2:Q$218)/100)</f>
        <v>3.7449315539999994</v>
      </c>
      <c r="V105">
        <f>[1]data!S106*(_xlfn.XLOOKUP([1]data!$C106,[2]data!$B$2:$B$218,[2]data!R$2:R$218)/100)</f>
        <v>3.8962123739999996</v>
      </c>
      <c r="W105">
        <f>[1]data!T106*(_xlfn.XLOOKUP([1]data!$C106,[2]data!$B$2:$B$218,[2]data!S$2:S$218)/100)</f>
        <v>4.0547505460000002</v>
      </c>
      <c r="X105">
        <f>[1]data!U106*(_xlfn.XLOOKUP([1]data!$C106,[2]data!$B$2:$B$218,[2]data!T$2:T$218)/100)</f>
        <v>4.6315201540000004</v>
      </c>
      <c r="Y105">
        <f>[1]data!V106*(_xlfn.XLOOKUP([1]data!$C106,[2]data!$B$2:$B$218,[2]data!U$2:U$218)/100)</f>
        <v>5.2310012655999998</v>
      </c>
      <c r="Z105">
        <f>[1]data!W106*(_xlfn.XLOOKUP([1]data!$C106,[2]data!$B$2:$B$218,[2]data!V$2:V$218)/100)</f>
        <v>5.852026434479999</v>
      </c>
      <c r="AA105">
        <f>[1]data!X106*(_xlfn.XLOOKUP([1]data!$C106,[2]data!$B$2:$B$218,[2]data!W$2:W$218)/100)</f>
        <v>6.4870379081000014</v>
      </c>
      <c r="AB105">
        <f>[1]data!Y106*(_xlfn.XLOOKUP([1]data!$C106,[2]data!$B$2:$B$218,[2]data!X$2:X$218)/100)</f>
        <v>7.1179526291999986</v>
      </c>
      <c r="AC105">
        <f>[1]data!Z106*(_xlfn.XLOOKUP([1]data!$C106,[2]data!$B$2:$B$218,[2]data!Y$2:Y$218)/100)</f>
        <v>7.731008533699999</v>
      </c>
      <c r="AD105">
        <f>[1]data!AA106*(_xlfn.XLOOKUP([1]data!$C106,[2]data!$B$2:$B$218,[2]data!Z$2:Z$218)/100)</f>
        <v>8.3216519548400001</v>
      </c>
      <c r="AE105">
        <f>[1]data!AB106*(_xlfn.XLOOKUP([1]data!$C106,[2]data!$B$2:$B$218,[2]data!AA$2:AA$218)/100)</f>
        <v>8.8888734042399999</v>
      </c>
      <c r="AF105">
        <f>[1]data!AC106*(_xlfn.XLOOKUP([1]data!$C106,[2]data!$B$2:$B$218,[2]data!AB$2:AB$218)/100)</f>
        <v>9.4330294450000007</v>
      </c>
      <c r="AG105">
        <f>[1]data!AD106*(_xlfn.XLOOKUP([1]data!$C106,[2]data!$B$2:$B$218,[2]data!AC$2:AC$218)/100)</f>
        <v>9.9511749069600004</v>
      </c>
      <c r="AH105">
        <f>[1]data!AE106*(_xlfn.XLOOKUP([1]data!$C106,[2]data!$B$2:$B$218,[2]data!AD$2:AD$218)/100)</f>
        <v>10.42950164835</v>
      </c>
      <c r="AI105">
        <f>[1]data!AF106*(_xlfn.XLOOKUP([1]data!$C106,[2]data!$B$2:$B$218,[2]data!AE$2:AE$218)/100)</f>
        <v>10.86262378534</v>
      </c>
      <c r="AJ105">
        <f>[1]data!AG106*(_xlfn.XLOOKUP([1]data!$C106,[2]data!$B$2:$B$218,[2]data!AF$2:AF$218)/100)</f>
        <v>11.251332403919999</v>
      </c>
      <c r="AK105">
        <f>[1]data!AH106*(_xlfn.XLOOKUP([1]data!$C106,[2]data!$B$2:$B$218,[2]data!AG$2:AG$218)/100)</f>
        <v>11.59109034578</v>
      </c>
      <c r="AL105">
        <f>[1]data!AI106*(_xlfn.XLOOKUP([1]data!$C106,[2]data!$B$2:$B$218,[2]data!AH$2:AH$218)/100)</f>
        <v>11.88022440388</v>
      </c>
      <c r="AM105">
        <f>[1]data!AJ106*(_xlfn.XLOOKUP([1]data!$C106,[2]data!$B$2:$B$218,[2]data!AI$2:AI$218)/100)</f>
        <v>12.117774599820002</v>
      </c>
    </row>
    <row r="106" spans="1:39" x14ac:dyDescent="0.25">
      <c r="A106" t="s">
        <v>30</v>
      </c>
      <c r="B106" t="s">
        <v>31</v>
      </c>
      <c r="C106" t="s">
        <v>137</v>
      </c>
      <c r="D106" t="s">
        <v>367</v>
      </c>
      <c r="E106" t="str">
        <f>_xlfn.XLOOKUP(D106,[6]Feuil1!$C$2:$C$248,[6]Feuil1!$B$2:$B$248)</f>
        <v>LS</v>
      </c>
      <c r="F106" t="s">
        <v>33</v>
      </c>
      <c r="G106" t="str">
        <f>_xlfn.XLOOKUP(C106,[3]Sheet1!$B$2:$B$172,[3]Sheet1!$D$2:$D$172)</f>
        <v>Rest of Southern Africa</v>
      </c>
      <c r="H106" t="s">
        <v>34</v>
      </c>
      <c r="I106">
        <f>[1]data!F107*(_xlfn.XLOOKUP([1]data!$C107,[2]data!$B$2:$B$218,[2]data!E$2:E$218)/100)</f>
        <v>1.0340190000000003E-2</v>
      </c>
      <c r="J106">
        <f>[1]data!G107*(_xlfn.XLOOKUP([1]data!$C107,[2]data!$B$2:$B$218,[2]data!F$2:F$218)/100)</f>
        <v>1.2680879999999999E-2</v>
      </c>
      <c r="K106">
        <f>[1]data!H107*(_xlfn.XLOOKUP([1]data!$C107,[2]data!$B$2:$B$218,[2]data!G$2:G$218)/100)</f>
        <v>2.5427465000000003E-2</v>
      </c>
      <c r="L106">
        <f>[1]data!I107*(_xlfn.XLOOKUP([1]data!$C107,[2]data!$B$2:$B$218,[2]data!H$2:H$218)/100)</f>
        <v>5.4201792000000006E-2</v>
      </c>
      <c r="M106">
        <f>[1]data!J107*(_xlfn.XLOOKUP([1]data!$C107,[2]data!$B$2:$B$218,[2]data!I$2:I$218)/100)</f>
        <v>8.6475837999999999E-2</v>
      </c>
      <c r="N106">
        <f>[1]data!K107*(_xlfn.XLOOKUP([1]data!$C107,[2]data!$B$2:$B$218,[2]data!J$2:J$218)/100)</f>
        <v>0.12912814800000003</v>
      </c>
      <c r="O106">
        <f>[1]data!L107*(_xlfn.XLOOKUP([1]data!$C107,[2]data!$B$2:$B$218,[2]data!K$2:K$218)/100)</f>
        <v>0.15962575000000001</v>
      </c>
      <c r="P106">
        <f>[1]data!M107*(_xlfn.XLOOKUP([1]data!$C107,[2]data!$B$2:$B$218,[2]data!L$2:L$218)/100)</f>
        <v>0.18820575200000003</v>
      </c>
      <c r="Q106">
        <f>[1]data!N107*(_xlfn.XLOOKUP([1]data!$C107,[2]data!$B$2:$B$218,[2]data!M$2:M$218)/100)</f>
        <v>0.24968146000000005</v>
      </c>
      <c r="R106">
        <f>[1]data!O107*(_xlfn.XLOOKUP([1]data!$C107,[2]data!$B$2:$B$218,[2]data!N$2:N$218)/100)</f>
        <v>0.32688926000000001</v>
      </c>
      <c r="S106">
        <f>[1]data!P107*(_xlfn.XLOOKUP([1]data!$C107,[2]data!$B$2:$B$218,[2]data!O$2:O$218)/100)</f>
        <v>0.38950255500000003</v>
      </c>
      <c r="T106">
        <f>[1]data!Q107*(_xlfn.XLOOKUP([1]data!$C107,[2]data!$B$2:$B$218,[2]data!P$2:P$218)/100)</f>
        <v>0.43970208000000005</v>
      </c>
      <c r="U106">
        <f>[1]data!R107*(_xlfn.XLOOKUP([1]data!$C107,[2]data!$B$2:$B$218,[2]data!Q$2:Q$218)/100)</f>
        <v>0.49994047200000002</v>
      </c>
      <c r="V106">
        <f>[1]data!S107*(_xlfn.XLOOKUP([1]data!$C107,[2]data!$B$2:$B$218,[2]data!R$2:R$218)/100)</f>
        <v>0.56659362399999991</v>
      </c>
      <c r="W106">
        <f>[1]data!T107*(_xlfn.XLOOKUP([1]data!$C107,[2]data!$B$2:$B$218,[2]data!S$2:S$218)/100)</f>
        <v>0.64948515999999989</v>
      </c>
      <c r="X106">
        <f>[1]data!U107*(_xlfn.XLOOKUP([1]data!$C107,[2]data!$B$2:$B$218,[2]data!T$2:T$218)/100)</f>
        <v>0.75254622840000007</v>
      </c>
      <c r="Y106">
        <f>[1]data!V107*(_xlfn.XLOOKUP([1]data!$C107,[2]data!$B$2:$B$218,[2]data!U$2:U$218)/100)</f>
        <v>0.85844748954999983</v>
      </c>
      <c r="Z106">
        <f>[1]data!W107*(_xlfn.XLOOKUP([1]data!$C107,[2]data!$B$2:$B$218,[2]data!V$2:V$218)/100)</f>
        <v>0.96510826983999998</v>
      </c>
      <c r="AA106">
        <f>[1]data!X107*(_xlfn.XLOOKUP([1]data!$C107,[2]data!$B$2:$B$218,[2]data!W$2:W$218)/100)</f>
        <v>1.0693209759000002</v>
      </c>
      <c r="AB106">
        <f>[1]data!Y107*(_xlfn.XLOOKUP([1]data!$C107,[2]data!$B$2:$B$218,[2]data!X$2:X$218)/100)</f>
        <v>1.1680580301000001</v>
      </c>
      <c r="AC106">
        <f>[1]data!Z107*(_xlfn.XLOOKUP([1]data!$C107,[2]data!$B$2:$B$218,[2]data!Y$2:Y$218)/100)</f>
        <v>1.2596861397499997</v>
      </c>
      <c r="AD106">
        <f>[1]data!AA107*(_xlfn.XLOOKUP([1]data!$C107,[2]data!$B$2:$B$218,[2]data!Z$2:Z$218)/100)</f>
        <v>1.3404573130799999</v>
      </c>
      <c r="AE106">
        <f>[1]data!AB107*(_xlfn.XLOOKUP([1]data!$C107,[2]data!$B$2:$B$218,[2]data!AA$2:AA$218)/100)</f>
        <v>1.4080055792399999</v>
      </c>
      <c r="AF106">
        <f>[1]data!AC107*(_xlfn.XLOOKUP([1]data!$C107,[2]data!$B$2:$B$218,[2]data!AB$2:AB$218)/100)</f>
        <v>1.46236896219</v>
      </c>
      <c r="AG106">
        <f>[1]data!AD107*(_xlfn.XLOOKUP([1]data!$C107,[2]data!$B$2:$B$218,[2]data!AC$2:AC$218)/100)</f>
        <v>1.5062559371699999</v>
      </c>
      <c r="AH106">
        <f>[1]data!AE107*(_xlfn.XLOOKUP([1]data!$C107,[2]data!$B$2:$B$218,[2]data!AD$2:AD$218)/100)</f>
        <v>1.5413389149600001</v>
      </c>
      <c r="AI106">
        <f>[1]data!AF107*(_xlfn.XLOOKUP([1]data!$C107,[2]data!$B$2:$B$218,[2]data!AE$2:AE$218)/100)</f>
        <v>1.5686904575999998</v>
      </c>
      <c r="AJ106">
        <f>[1]data!AG107*(_xlfn.XLOOKUP([1]data!$C107,[2]data!$B$2:$B$218,[2]data!AF$2:AF$218)/100)</f>
        <v>1.5884176194899999</v>
      </c>
      <c r="AK106">
        <f>[1]data!AH107*(_xlfn.XLOOKUP([1]data!$C107,[2]data!$B$2:$B$218,[2]data!AG$2:AG$218)/100)</f>
        <v>1.6010266298000002</v>
      </c>
      <c r="AL106">
        <f>[1]data!AI107*(_xlfn.XLOOKUP([1]data!$C107,[2]data!$B$2:$B$218,[2]data!AH$2:AH$218)/100)</f>
        <v>1.6075712210999999</v>
      </c>
      <c r="AM106">
        <f>[1]data!AJ107*(_xlfn.XLOOKUP([1]data!$C107,[2]data!$B$2:$B$218,[2]data!AI$2:AI$218)/100)</f>
        <v>1.6092054095999999</v>
      </c>
    </row>
    <row r="107" spans="1:39" x14ac:dyDescent="0.25">
      <c r="A107" t="s">
        <v>30</v>
      </c>
      <c r="B107" t="s">
        <v>31</v>
      </c>
      <c r="C107" t="s">
        <v>138</v>
      </c>
      <c r="D107" t="s">
        <v>368</v>
      </c>
      <c r="E107" t="str">
        <f>_xlfn.XLOOKUP(D107,[6]Feuil1!$C$2:$C$248,[6]Feuil1!$B$2:$B$248)</f>
        <v>LT</v>
      </c>
      <c r="F107" t="s">
        <v>33</v>
      </c>
      <c r="G107" t="str">
        <f>_xlfn.XLOOKUP(C107,[3]Sheet1!$B$2:$B$172,[3]Sheet1!$D$2:$D$172)</f>
        <v>Central Europe</v>
      </c>
      <c r="H107" t="s">
        <v>34</v>
      </c>
      <c r="I107">
        <f>[1]data!F108*(_xlfn.XLOOKUP([1]data!$C108,[2]data!$B$2:$B$218,[2]data!E$2:E$218)/100)</f>
        <v>0.73527580800000014</v>
      </c>
      <c r="J107">
        <f>[1]data!G108*(_xlfn.XLOOKUP([1]data!$C108,[2]data!$B$2:$B$218,[2]data!F$2:F$218)/100)</f>
        <v>0.91528423800000003</v>
      </c>
      <c r="K107">
        <f>[1]data!H108*(_xlfn.XLOOKUP([1]data!$C108,[2]data!$B$2:$B$218,[2]data!G$2:G$218)/100)</f>
        <v>1.12791065</v>
      </c>
      <c r="L107">
        <f>[1]data!I108*(_xlfn.XLOOKUP([1]data!$C108,[2]data!$B$2:$B$218,[2]data!H$2:H$218)/100)</f>
        <v>1.3516532350000001</v>
      </c>
      <c r="M107">
        <f>[1]data!J108*(_xlfn.XLOOKUP([1]data!$C108,[2]data!$B$2:$B$218,[2]data!I$2:I$218)/100)</f>
        <v>1.58403056</v>
      </c>
      <c r="N107">
        <f>[1]data!K108*(_xlfn.XLOOKUP([1]data!$C108,[2]data!$B$2:$B$218,[2]data!J$2:J$218)/100)</f>
        <v>1.8677134620000004</v>
      </c>
      <c r="O107">
        <f>[1]data!L108*(_xlfn.XLOOKUP([1]data!$C108,[2]data!$B$2:$B$218,[2]data!K$2:K$218)/100)</f>
        <v>2.1461365080000001</v>
      </c>
      <c r="P107">
        <f>[1]data!M108*(_xlfn.XLOOKUP([1]data!$C108,[2]data!$B$2:$B$218,[2]data!L$2:L$218)/100)</f>
        <v>2.3781010500000002</v>
      </c>
      <c r="Q107">
        <f>[1]data!N108*(_xlfn.XLOOKUP([1]data!$C108,[2]data!$B$2:$B$218,[2]data!M$2:M$218)/100)</f>
        <v>2.5557667199999998</v>
      </c>
      <c r="R107">
        <f>[1]data!O108*(_xlfn.XLOOKUP([1]data!$C108,[2]data!$B$2:$B$218,[2]data!N$2:N$218)/100)</f>
        <v>2.5301192719999999</v>
      </c>
      <c r="S107">
        <f>[1]data!P108*(_xlfn.XLOOKUP([1]data!$C108,[2]data!$B$2:$B$218,[2]data!O$2:O$218)/100)</f>
        <v>2.42384895</v>
      </c>
      <c r="T107">
        <f>[1]data!Q108*(_xlfn.XLOOKUP([1]data!$C108,[2]data!$B$2:$B$218,[2]data!P$2:P$218)/100)</f>
        <v>2.263556844</v>
      </c>
      <c r="U107">
        <f>[1]data!R108*(_xlfn.XLOOKUP([1]data!$C108,[2]data!$B$2:$B$218,[2]data!Q$2:Q$218)/100)</f>
        <v>2.1105506759999999</v>
      </c>
      <c r="V107">
        <f>[1]data!S108*(_xlfn.XLOOKUP([1]data!$C108,[2]data!$B$2:$B$218,[2]data!R$2:R$218)/100)</f>
        <v>2.0019504960000001</v>
      </c>
      <c r="W107">
        <f>[1]data!T108*(_xlfn.XLOOKUP([1]data!$C108,[2]data!$B$2:$B$218,[2]data!S$2:S$218)/100)</f>
        <v>1.9284133600000002</v>
      </c>
      <c r="X107">
        <f>[1]data!U108*(_xlfn.XLOOKUP([1]data!$C108,[2]data!$B$2:$B$218,[2]data!T$2:T$218)/100)</f>
        <v>1.899512630819999</v>
      </c>
      <c r="Y107">
        <f>[1]data!V108*(_xlfn.XLOOKUP([1]data!$C108,[2]data!$B$2:$B$218,[2]data!U$2:U$218)/100)</f>
        <v>1.84373427132</v>
      </c>
      <c r="Z107">
        <f>[1]data!W108*(_xlfn.XLOOKUP([1]data!$C108,[2]data!$B$2:$B$218,[2]data!V$2:V$218)/100)</f>
        <v>1.7893342943999999</v>
      </c>
      <c r="AA107">
        <f>[1]data!X108*(_xlfn.XLOOKUP([1]data!$C108,[2]data!$B$2:$B$218,[2]data!W$2:W$218)/100)</f>
        <v>1.73732007794</v>
      </c>
      <c r="AB107">
        <f>[1]data!Y108*(_xlfn.XLOOKUP([1]data!$C108,[2]data!$B$2:$B$218,[2]data!X$2:X$218)/100)</f>
        <v>1.69034011363</v>
      </c>
      <c r="AC107">
        <f>[1]data!Z108*(_xlfn.XLOOKUP([1]data!$C108,[2]data!$B$2:$B$218,[2]data!Y$2:Y$218)/100)</f>
        <v>1.6466510694700003</v>
      </c>
      <c r="AD107">
        <f>[1]data!AA108*(_xlfn.XLOOKUP([1]data!$C108,[2]data!$B$2:$B$218,[2]data!Z$2:Z$218)/100)</f>
        <v>1.6020932531999998</v>
      </c>
      <c r="AE107">
        <f>[1]data!AB108*(_xlfn.XLOOKUP([1]data!$C108,[2]data!$B$2:$B$218,[2]data!AA$2:AA$218)/100)</f>
        <v>1.55736040383</v>
      </c>
      <c r="AF107">
        <f>[1]data!AC108*(_xlfn.XLOOKUP([1]data!$C108,[2]data!$B$2:$B$218,[2]data!AB$2:AB$218)/100)</f>
        <v>1.5175525606099993</v>
      </c>
      <c r="AG107">
        <f>[1]data!AD108*(_xlfn.XLOOKUP([1]data!$C108,[2]data!$B$2:$B$218,[2]data!AC$2:AC$218)/100)</f>
        <v>1.4838616289000002</v>
      </c>
      <c r="AH107">
        <f>[1]data!AE108*(_xlfn.XLOOKUP([1]data!$C108,[2]data!$B$2:$B$218,[2]data!AD$2:AD$218)/100)</f>
        <v>1.4558443913499999</v>
      </c>
      <c r="AI107">
        <f>[1]data!AF108*(_xlfn.XLOOKUP([1]data!$C108,[2]data!$B$2:$B$218,[2]data!AE$2:AE$218)/100)</f>
        <v>1.43284978325</v>
      </c>
      <c r="AJ107">
        <f>[1]data!AG108*(_xlfn.XLOOKUP([1]data!$C108,[2]data!$B$2:$B$218,[2]data!AF$2:AF$218)/100)</f>
        <v>1.41322685256</v>
      </c>
      <c r="AK107">
        <f>[1]data!AH108*(_xlfn.XLOOKUP([1]data!$C108,[2]data!$B$2:$B$218,[2]data!AG$2:AG$218)/100)</f>
        <v>1.3962699058799999</v>
      </c>
      <c r="AL107">
        <f>[1]data!AI108*(_xlfn.XLOOKUP([1]data!$C108,[2]data!$B$2:$B$218,[2]data!AH$2:AH$218)/100)</f>
        <v>1.3823196777599993</v>
      </c>
      <c r="AM107">
        <f>[1]data!AJ108*(_xlfn.XLOOKUP([1]data!$C108,[2]data!$B$2:$B$218,[2]data!AI$2:AI$218)/100)</f>
        <v>1.3713082236</v>
      </c>
    </row>
    <row r="108" spans="1:39" x14ac:dyDescent="0.25">
      <c r="A108" t="s">
        <v>30</v>
      </c>
      <c r="B108" t="s">
        <v>31</v>
      </c>
      <c r="C108" t="s">
        <v>139</v>
      </c>
      <c r="D108" t="s">
        <v>369</v>
      </c>
      <c r="E108" t="str">
        <f>_xlfn.XLOOKUP(D108,[6]Feuil1!$C$2:$C$248,[6]Feuil1!$B$2:$B$248)</f>
        <v>LU</v>
      </c>
      <c r="F108" t="s">
        <v>33</v>
      </c>
      <c r="G108" t="str">
        <f>_xlfn.XLOOKUP(C108,[3]Sheet1!$B$2:$B$172,[3]Sheet1!$D$2:$D$172)</f>
        <v>Western Europe</v>
      </c>
      <c r="H108" t="s">
        <v>34</v>
      </c>
      <c r="I108">
        <f>[1]data!F109*(_xlfn.XLOOKUP([1]data!$C109,[2]data!$B$2:$B$218,[2]data!E$2:E$218)/100)</f>
        <v>0.19877289600000003</v>
      </c>
      <c r="J108">
        <f>[1]data!G109*(_xlfn.XLOOKUP([1]data!$C109,[2]data!$B$2:$B$218,[2]data!F$2:F$218)/100)</f>
        <v>0.20831562000000003</v>
      </c>
      <c r="K108">
        <f>[1]data!H109*(_xlfn.XLOOKUP([1]data!$C109,[2]data!$B$2:$B$218,[2]data!G$2:G$218)/100)</f>
        <v>0.21818277599999999</v>
      </c>
      <c r="L108">
        <f>[1]data!I109*(_xlfn.XLOOKUP([1]data!$C109,[2]data!$B$2:$B$218,[2]data!H$2:H$218)/100)</f>
        <v>0.236232</v>
      </c>
      <c r="M108">
        <f>[1]data!J109*(_xlfn.XLOOKUP([1]data!$C109,[2]data!$B$2:$B$218,[2]data!I$2:I$218)/100)</f>
        <v>0.25207538400000001</v>
      </c>
      <c r="N108">
        <f>[1]data!K109*(_xlfn.XLOOKUP([1]data!$C109,[2]data!$B$2:$B$218,[2]data!J$2:J$218)/100)</f>
        <v>0.27247708900000001</v>
      </c>
      <c r="O108">
        <f>[1]data!L109*(_xlfn.XLOOKUP([1]data!$C109,[2]data!$B$2:$B$218,[2]data!K$2:K$218)/100)</f>
        <v>0.29065680000000005</v>
      </c>
      <c r="P108">
        <f>[1]data!M109*(_xlfn.XLOOKUP([1]data!$C109,[2]data!$B$2:$B$218,[2]data!L$2:L$218)/100)</f>
        <v>0.29530793100000002</v>
      </c>
      <c r="Q108">
        <f>[1]data!N109*(_xlfn.XLOOKUP([1]data!$C109,[2]data!$B$2:$B$218,[2]data!M$2:M$218)/100)</f>
        <v>0.30640551399999999</v>
      </c>
      <c r="R108">
        <f>[1]data!O109*(_xlfn.XLOOKUP([1]data!$C109,[2]data!$B$2:$B$218,[2]data!N$2:N$218)/100)</f>
        <v>0.33550790600000002</v>
      </c>
      <c r="S108">
        <f>[1]data!P109*(_xlfn.XLOOKUP([1]data!$C109,[2]data!$B$2:$B$218,[2]data!O$2:O$218)/100)</f>
        <v>0.36418773400000004</v>
      </c>
      <c r="T108">
        <f>[1]data!Q109*(_xlfn.XLOOKUP([1]data!$C109,[2]data!$B$2:$B$218,[2]data!P$2:P$218)/100)</f>
        <v>0.39916451399999997</v>
      </c>
      <c r="U108">
        <f>[1]data!R109*(_xlfn.XLOOKUP([1]data!$C109,[2]data!$B$2:$B$218,[2]data!Q$2:Q$218)/100)</f>
        <v>0.444433725</v>
      </c>
      <c r="V108">
        <f>[1]data!S109*(_xlfn.XLOOKUP([1]data!$C109,[2]data!$B$2:$B$218,[2]data!R$2:R$218)/100)</f>
        <v>0.50757253800000013</v>
      </c>
      <c r="W108">
        <f>[1]data!T109*(_xlfn.XLOOKUP([1]data!$C109,[2]data!$B$2:$B$218,[2]data!S$2:S$218)/100)</f>
        <v>0.57285587999999998</v>
      </c>
      <c r="X108">
        <f>[1]data!U109*(_xlfn.XLOOKUP([1]data!$C109,[2]data!$B$2:$B$218,[2]data!T$2:T$218)/100)</f>
        <v>0.60639433610999904</v>
      </c>
      <c r="Y108">
        <f>[1]data!V109*(_xlfn.XLOOKUP([1]data!$C109,[2]data!$B$2:$B$218,[2]data!U$2:U$218)/100)</f>
        <v>0.63113855625000004</v>
      </c>
      <c r="Z108">
        <f>[1]data!W109*(_xlfn.XLOOKUP([1]data!$C109,[2]data!$B$2:$B$218,[2]data!V$2:V$218)/100)</f>
        <v>0.65354233004999907</v>
      </c>
      <c r="AA108">
        <f>[1]data!X109*(_xlfn.XLOOKUP([1]data!$C109,[2]data!$B$2:$B$218,[2]data!W$2:W$218)/100)</f>
        <v>0.6746203031300001</v>
      </c>
      <c r="AB108">
        <f>[1]data!Y109*(_xlfn.XLOOKUP([1]data!$C109,[2]data!$B$2:$B$218,[2]data!X$2:X$218)/100)</f>
        <v>0.69542667872999997</v>
      </c>
      <c r="AC108">
        <f>[1]data!Z109*(_xlfn.XLOOKUP([1]data!$C109,[2]data!$B$2:$B$218,[2]data!Y$2:Y$218)/100)</f>
        <v>0.71690359615999988</v>
      </c>
      <c r="AD108">
        <f>[1]data!AA109*(_xlfn.XLOOKUP([1]data!$C109,[2]data!$B$2:$B$218,[2]data!Z$2:Z$218)/100)</f>
        <v>0.73589448000000002</v>
      </c>
      <c r="AE108">
        <f>[1]data!AB109*(_xlfn.XLOOKUP([1]data!$C109,[2]data!$B$2:$B$218,[2]data!AA$2:AA$218)/100)</f>
        <v>0.75216028289000003</v>
      </c>
      <c r="AF108">
        <f>[1]data!AC109*(_xlfn.XLOOKUP([1]data!$C109,[2]data!$B$2:$B$218,[2]data!AB$2:AB$218)/100)</f>
        <v>0.76410091908</v>
      </c>
      <c r="AG108">
        <f>[1]data!AD109*(_xlfn.XLOOKUP([1]data!$C109,[2]data!$B$2:$B$218,[2]data!AC$2:AC$218)/100)</f>
        <v>0.77235975559000003</v>
      </c>
      <c r="AH108">
        <f>[1]data!AE109*(_xlfn.XLOOKUP([1]data!$C109,[2]data!$B$2:$B$218,[2]data!AD$2:AD$218)/100)</f>
        <v>0.77743976447999907</v>
      </c>
      <c r="AI108">
        <f>[1]data!AF109*(_xlfn.XLOOKUP([1]data!$C109,[2]data!$B$2:$B$218,[2]data!AE$2:AE$218)/100)</f>
        <v>0.77973530151999992</v>
      </c>
      <c r="AJ108">
        <f>[1]data!AG109*(_xlfn.XLOOKUP([1]data!$C109,[2]data!$B$2:$B$218,[2]data!AF$2:AF$218)/100)</f>
        <v>0.77916123983999908</v>
      </c>
      <c r="AK108">
        <f>[1]data!AH109*(_xlfn.XLOOKUP([1]data!$C109,[2]data!$B$2:$B$218,[2]data!AG$2:AG$218)/100)</f>
        <v>0.77555902855999992</v>
      </c>
      <c r="AL108">
        <f>[1]data!AI109*(_xlfn.XLOOKUP([1]data!$C109,[2]data!$B$2:$B$218,[2]data!AH$2:AH$218)/100)</f>
        <v>0.76915117223999996</v>
      </c>
      <c r="AM108">
        <f>[1]data!AJ109*(_xlfn.XLOOKUP([1]data!$C109,[2]data!$B$2:$B$218,[2]data!AI$2:AI$218)/100)</f>
        <v>0.76037048801999996</v>
      </c>
    </row>
    <row r="109" spans="1:39" x14ac:dyDescent="0.25">
      <c r="A109" t="s">
        <v>30</v>
      </c>
      <c r="B109" t="s">
        <v>31</v>
      </c>
      <c r="C109" t="s">
        <v>140</v>
      </c>
      <c r="D109" t="s">
        <v>370</v>
      </c>
      <c r="E109" t="str">
        <f>_xlfn.XLOOKUP(D109,[6]Feuil1!$C$2:$C$248,[6]Feuil1!$B$2:$B$248)</f>
        <v>LV</v>
      </c>
      <c r="F109" t="s">
        <v>33</v>
      </c>
      <c r="G109" t="str">
        <f>_xlfn.XLOOKUP(C109,[3]Sheet1!$B$2:$B$172,[3]Sheet1!$D$2:$D$172)</f>
        <v>Central Europe</v>
      </c>
      <c r="H109" t="s">
        <v>34</v>
      </c>
      <c r="I109">
        <f>[1]data!F110*(_xlfn.XLOOKUP([1]data!$C110,[2]data!$B$2:$B$218,[2]data!E$2:E$218)/100)</f>
        <v>0.88682649599999985</v>
      </c>
      <c r="J109">
        <f>[1]data!G110*(_xlfn.XLOOKUP([1]data!$C110,[2]data!$B$2:$B$218,[2]data!F$2:F$218)/100)</f>
        <v>1.00056726</v>
      </c>
      <c r="K109">
        <f>[1]data!H110*(_xlfn.XLOOKUP([1]data!$C110,[2]data!$B$2:$B$218,[2]data!G$2:G$218)/100)</f>
        <v>1.1321123710000001</v>
      </c>
      <c r="L109">
        <f>[1]data!I110*(_xlfn.XLOOKUP([1]data!$C110,[2]data!$B$2:$B$218,[2]data!H$2:H$218)/100)</f>
        <v>1.29285604</v>
      </c>
      <c r="M109">
        <f>[1]data!J110*(_xlfn.XLOOKUP([1]data!$C110,[2]data!$B$2:$B$218,[2]data!I$2:I$218)/100)</f>
        <v>1.44890293</v>
      </c>
      <c r="N109">
        <f>[1]data!K110*(_xlfn.XLOOKUP([1]data!$C110,[2]data!$B$2:$B$218,[2]data!J$2:J$218)/100)</f>
        <v>1.5949225260000002</v>
      </c>
      <c r="O109">
        <f>[1]data!L110*(_xlfn.XLOOKUP([1]data!$C110,[2]data!$B$2:$B$218,[2]data!K$2:K$218)/100)</f>
        <v>1.720437961</v>
      </c>
      <c r="P109">
        <f>[1]data!M110*(_xlfn.XLOOKUP([1]data!$C110,[2]data!$B$2:$B$218,[2]data!L$2:L$218)/100)</f>
        <v>1.8170665099999996</v>
      </c>
      <c r="Q109">
        <f>[1]data!N110*(_xlfn.XLOOKUP([1]data!$C110,[2]data!$B$2:$B$218,[2]data!M$2:M$218)/100)</f>
        <v>1.8663848279999997</v>
      </c>
      <c r="R109">
        <f>[1]data!O110*(_xlfn.XLOOKUP([1]data!$C110,[2]data!$B$2:$B$218,[2]data!N$2:N$218)/100)</f>
        <v>1.7809272159999998</v>
      </c>
      <c r="S109">
        <f>[1]data!P110*(_xlfn.XLOOKUP([1]data!$C110,[2]data!$B$2:$B$218,[2]data!O$2:O$218)/100)</f>
        <v>1.6404976739999999</v>
      </c>
      <c r="T109">
        <f>[1]data!Q110*(_xlfn.XLOOKUP([1]data!$C110,[2]data!$B$2:$B$218,[2]data!P$2:P$218)/100)</f>
        <v>1.5287052800000001</v>
      </c>
      <c r="U109">
        <f>[1]data!R110*(_xlfn.XLOOKUP([1]data!$C110,[2]data!$B$2:$B$218,[2]data!Q$2:Q$218)/100)</f>
        <v>1.433428956</v>
      </c>
      <c r="V109">
        <f>[1]data!S110*(_xlfn.XLOOKUP([1]data!$C110,[2]data!$B$2:$B$218,[2]data!R$2:R$218)/100)</f>
        <v>1.3608758400000003</v>
      </c>
      <c r="W109">
        <f>[1]data!T110*(_xlfn.XLOOKUP([1]data!$C110,[2]data!$B$2:$B$218,[2]data!S$2:S$218)/100)</f>
        <v>1.3026456029999998</v>
      </c>
      <c r="X109">
        <f>[1]data!U110*(_xlfn.XLOOKUP([1]data!$C110,[2]data!$B$2:$B$218,[2]data!T$2:T$218)/100)</f>
        <v>1.2854404258200001</v>
      </c>
      <c r="Y109">
        <f>[1]data!V110*(_xlfn.XLOOKUP([1]data!$C110,[2]data!$B$2:$B$218,[2]data!U$2:U$218)/100)</f>
        <v>1.2433344944999998</v>
      </c>
      <c r="Z109">
        <f>[1]data!W110*(_xlfn.XLOOKUP([1]data!$C110,[2]data!$B$2:$B$218,[2]data!V$2:V$218)/100)</f>
        <v>1.2045855615300001</v>
      </c>
      <c r="AA109">
        <f>[1]data!X110*(_xlfn.XLOOKUP([1]data!$C110,[2]data!$B$2:$B$218,[2]data!W$2:W$218)/100)</f>
        <v>1.1724933553199999</v>
      </c>
      <c r="AB109">
        <f>[1]data!Y110*(_xlfn.XLOOKUP([1]data!$C110,[2]data!$B$2:$B$218,[2]data!X$2:X$218)/100)</f>
        <v>1.1467088114999999</v>
      </c>
      <c r="AC109">
        <f>[1]data!Z110*(_xlfn.XLOOKUP([1]data!$C110,[2]data!$B$2:$B$218,[2]data!Y$2:Y$218)/100)</f>
        <v>1.1250837033800001</v>
      </c>
      <c r="AD109">
        <f>[1]data!AA110*(_xlfn.XLOOKUP([1]data!$C110,[2]data!$B$2:$B$218,[2]data!Z$2:Z$218)/100)</f>
        <v>1.1045765536000001</v>
      </c>
      <c r="AE109">
        <f>[1]data!AB110*(_xlfn.XLOOKUP([1]data!$C110,[2]data!$B$2:$B$218,[2]data!AA$2:AA$218)/100)</f>
        <v>1.0846629893699999</v>
      </c>
      <c r="AF109">
        <f>[1]data!AC110*(_xlfn.XLOOKUP([1]data!$C110,[2]data!$B$2:$B$218,[2]data!AB$2:AB$218)/100)</f>
        <v>1.0662019464000001</v>
      </c>
      <c r="AG109">
        <f>[1]data!AD110*(_xlfn.XLOOKUP([1]data!$C110,[2]data!$B$2:$B$218,[2]data!AC$2:AC$218)/100)</f>
        <v>1.0495204589099998</v>
      </c>
      <c r="AH109">
        <f>[1]data!AE110*(_xlfn.XLOOKUP([1]data!$C110,[2]data!$B$2:$B$218,[2]data!AD$2:AD$218)/100)</f>
        <v>1.0348221930000001</v>
      </c>
      <c r="AI109">
        <f>[1]data!AF110*(_xlfn.XLOOKUP([1]data!$C110,[2]data!$B$2:$B$218,[2]data!AE$2:AE$218)/100)</f>
        <v>1.0216505196799999</v>
      </c>
      <c r="AJ109">
        <f>[1]data!AG110*(_xlfn.XLOOKUP([1]data!$C110,[2]data!$B$2:$B$218,[2]data!AF$2:AF$218)/100)</f>
        <v>1.0094813330400001</v>
      </c>
      <c r="AK109">
        <f>[1]data!AH110*(_xlfn.XLOOKUP([1]data!$C110,[2]data!$B$2:$B$218,[2]data!AG$2:AG$218)/100)</f>
        <v>0.99807612398000001</v>
      </c>
      <c r="AL109">
        <f>[1]data!AI110*(_xlfn.XLOOKUP([1]data!$C110,[2]data!$B$2:$B$218,[2]data!AH$2:AH$218)/100)</f>
        <v>0.9868813074399998</v>
      </c>
      <c r="AM109">
        <f>[1]data!AJ110*(_xlfn.XLOOKUP([1]data!$C110,[2]data!$B$2:$B$218,[2]data!AI$2:AI$218)/100)</f>
        <v>0.97432825158000014</v>
      </c>
    </row>
    <row r="110" spans="1:39" x14ac:dyDescent="0.25">
      <c r="A110" t="s">
        <v>30</v>
      </c>
      <c r="B110" t="s">
        <v>31</v>
      </c>
      <c r="C110" t="s">
        <v>141</v>
      </c>
      <c r="D110" t="e">
        <v>#N/A</v>
      </c>
      <c r="E110" t="e">
        <f>_xlfn.XLOOKUP(D110,[6]Feuil1!$C$2:$C$248,[6]Feuil1!$B$2:$B$248)</f>
        <v>#N/A</v>
      </c>
      <c r="F110" t="s">
        <v>33</v>
      </c>
      <c r="G110" t="e">
        <f>_xlfn.XLOOKUP(C110,[3]Sheet1!$B$2:$B$172,[3]Sheet1!$D$2:$D$172)</f>
        <v>#N/A</v>
      </c>
      <c r="H110" t="s">
        <v>34</v>
      </c>
      <c r="I110" t="e">
        <f>[1]data!F111*(_xlfn.XLOOKUP([1]data!$C111,[2]data!$B$2:$B$218,[2]data!E$2:E$218)/100)</f>
        <v>#N/A</v>
      </c>
      <c r="J110" t="e">
        <f>[1]data!G111*(_xlfn.XLOOKUP([1]data!$C111,[2]data!$B$2:$B$218,[2]data!F$2:F$218)/100)</f>
        <v>#N/A</v>
      </c>
      <c r="K110" t="e">
        <f>[1]data!H111*(_xlfn.XLOOKUP([1]data!$C111,[2]data!$B$2:$B$218,[2]data!G$2:G$218)/100)</f>
        <v>#N/A</v>
      </c>
      <c r="L110" t="e">
        <f>[1]data!I111*(_xlfn.XLOOKUP([1]data!$C111,[2]data!$B$2:$B$218,[2]data!H$2:H$218)/100)</f>
        <v>#N/A</v>
      </c>
      <c r="M110" t="e">
        <f>[1]data!J111*(_xlfn.XLOOKUP([1]data!$C111,[2]data!$B$2:$B$218,[2]data!I$2:I$218)/100)</f>
        <v>#N/A</v>
      </c>
      <c r="N110" t="e">
        <f>[1]data!K111*(_xlfn.XLOOKUP([1]data!$C111,[2]data!$B$2:$B$218,[2]data!J$2:J$218)/100)</f>
        <v>#N/A</v>
      </c>
      <c r="O110" t="e">
        <f>[1]data!L111*(_xlfn.XLOOKUP([1]data!$C111,[2]data!$B$2:$B$218,[2]data!K$2:K$218)/100)</f>
        <v>#N/A</v>
      </c>
      <c r="P110" t="e">
        <f>[1]data!M111*(_xlfn.XLOOKUP([1]data!$C111,[2]data!$B$2:$B$218,[2]data!L$2:L$218)/100)</f>
        <v>#N/A</v>
      </c>
      <c r="Q110" t="e">
        <f>[1]data!N111*(_xlfn.XLOOKUP([1]data!$C111,[2]data!$B$2:$B$218,[2]data!M$2:M$218)/100)</f>
        <v>#N/A</v>
      </c>
      <c r="R110" t="e">
        <f>[1]data!O111*(_xlfn.XLOOKUP([1]data!$C111,[2]data!$B$2:$B$218,[2]data!N$2:N$218)/100)</f>
        <v>#N/A</v>
      </c>
      <c r="S110" t="e">
        <f>[1]data!P111*(_xlfn.XLOOKUP([1]data!$C111,[2]data!$B$2:$B$218,[2]data!O$2:O$218)/100)</f>
        <v>#N/A</v>
      </c>
      <c r="T110" t="e">
        <f>[1]data!Q111*(_xlfn.XLOOKUP([1]data!$C111,[2]data!$B$2:$B$218,[2]data!P$2:P$218)/100)</f>
        <v>#N/A</v>
      </c>
      <c r="U110" t="e">
        <f>[1]data!R111*(_xlfn.XLOOKUP([1]data!$C111,[2]data!$B$2:$B$218,[2]data!Q$2:Q$218)/100)</f>
        <v>#N/A</v>
      </c>
      <c r="V110" t="e">
        <f>[1]data!S111*(_xlfn.XLOOKUP([1]data!$C111,[2]data!$B$2:$B$218,[2]data!R$2:R$218)/100)</f>
        <v>#N/A</v>
      </c>
      <c r="W110" t="e">
        <f>[1]data!T111*(_xlfn.XLOOKUP([1]data!$C111,[2]data!$B$2:$B$218,[2]data!S$2:S$218)/100)</f>
        <v>#N/A</v>
      </c>
      <c r="X110" t="e">
        <f>[1]data!U111*(_xlfn.XLOOKUP([1]data!$C111,[2]data!$B$2:$B$218,[2]data!T$2:T$218)/100)</f>
        <v>#N/A</v>
      </c>
      <c r="Y110" t="e">
        <f>[1]data!V111*(_xlfn.XLOOKUP([1]data!$C111,[2]data!$B$2:$B$218,[2]data!U$2:U$218)/100)</f>
        <v>#N/A</v>
      </c>
      <c r="Z110" t="e">
        <f>[1]data!W111*(_xlfn.XLOOKUP([1]data!$C111,[2]data!$B$2:$B$218,[2]data!V$2:V$218)/100)</f>
        <v>#N/A</v>
      </c>
      <c r="AA110" t="e">
        <f>[1]data!X111*(_xlfn.XLOOKUP([1]data!$C111,[2]data!$B$2:$B$218,[2]data!W$2:W$218)/100)</f>
        <v>#N/A</v>
      </c>
      <c r="AB110" t="e">
        <f>[1]data!Y111*(_xlfn.XLOOKUP([1]data!$C111,[2]data!$B$2:$B$218,[2]data!X$2:X$218)/100)</f>
        <v>#N/A</v>
      </c>
      <c r="AC110" t="e">
        <f>[1]data!Z111*(_xlfn.XLOOKUP([1]data!$C111,[2]data!$B$2:$B$218,[2]data!Y$2:Y$218)/100)</f>
        <v>#N/A</v>
      </c>
      <c r="AD110" t="e">
        <f>[1]data!AA111*(_xlfn.XLOOKUP([1]data!$C111,[2]data!$B$2:$B$218,[2]data!Z$2:Z$218)/100)</f>
        <v>#N/A</v>
      </c>
      <c r="AE110" t="e">
        <f>[1]data!AB111*(_xlfn.XLOOKUP([1]data!$C111,[2]data!$B$2:$B$218,[2]data!AA$2:AA$218)/100)</f>
        <v>#N/A</v>
      </c>
      <c r="AF110" t="e">
        <f>[1]data!AC111*(_xlfn.XLOOKUP([1]data!$C111,[2]data!$B$2:$B$218,[2]data!AB$2:AB$218)/100)</f>
        <v>#N/A</v>
      </c>
      <c r="AG110" t="e">
        <f>[1]data!AD111*(_xlfn.XLOOKUP([1]data!$C111,[2]data!$B$2:$B$218,[2]data!AC$2:AC$218)/100)</f>
        <v>#N/A</v>
      </c>
      <c r="AH110" t="e">
        <f>[1]data!AE111*(_xlfn.XLOOKUP([1]data!$C111,[2]data!$B$2:$B$218,[2]data!AD$2:AD$218)/100)</f>
        <v>#N/A</v>
      </c>
      <c r="AI110" t="e">
        <f>[1]data!AF111*(_xlfn.XLOOKUP([1]data!$C111,[2]data!$B$2:$B$218,[2]data!AE$2:AE$218)/100)</f>
        <v>#N/A</v>
      </c>
      <c r="AJ110" t="e">
        <f>[1]data!AG111*(_xlfn.XLOOKUP([1]data!$C111,[2]data!$B$2:$B$218,[2]data!AF$2:AF$218)/100)</f>
        <v>#N/A</v>
      </c>
      <c r="AK110" t="e">
        <f>[1]data!AH111*(_xlfn.XLOOKUP([1]data!$C111,[2]data!$B$2:$B$218,[2]data!AG$2:AG$218)/100)</f>
        <v>#N/A</v>
      </c>
      <c r="AL110" t="e">
        <f>[1]data!AI111*(_xlfn.XLOOKUP([1]data!$C111,[2]data!$B$2:$B$218,[2]data!AH$2:AH$218)/100)</f>
        <v>#N/A</v>
      </c>
      <c r="AM110" t="e">
        <f>[1]data!AJ111*(_xlfn.XLOOKUP([1]data!$C111,[2]data!$B$2:$B$218,[2]data!AI$2:AI$218)/100)</f>
        <v>#N/A</v>
      </c>
    </row>
    <row r="111" spans="1:39" x14ac:dyDescent="0.25">
      <c r="A111" t="s">
        <v>30</v>
      </c>
      <c r="B111" t="s">
        <v>31</v>
      </c>
      <c r="C111" t="s">
        <v>142</v>
      </c>
      <c r="D111" t="s">
        <v>371</v>
      </c>
      <c r="E111" t="str">
        <f>_xlfn.XLOOKUP(D111,[6]Feuil1!$C$2:$C$248,[6]Feuil1!$B$2:$B$248)</f>
        <v>MA</v>
      </c>
      <c r="F111" t="s">
        <v>33</v>
      </c>
      <c r="G111" t="str">
        <f>_xlfn.XLOOKUP(C111,[3]Sheet1!$B$2:$B$172,[3]Sheet1!$D$2:$D$172)</f>
        <v>Northern Africa</v>
      </c>
      <c r="H111" t="s">
        <v>34</v>
      </c>
      <c r="I111">
        <f>[1]data!F112*(_xlfn.XLOOKUP([1]data!$C112,[2]data!$B$2:$B$218,[2]data!E$2:E$218)/100)</f>
        <v>2.3125794180000003</v>
      </c>
      <c r="J111">
        <f>[1]data!G112*(_xlfn.XLOOKUP([1]data!$C112,[2]data!$B$2:$B$218,[2]data!F$2:F$218)/100)</f>
        <v>2.7977360099999995</v>
      </c>
      <c r="K111">
        <f>[1]data!H112*(_xlfn.XLOOKUP([1]data!$C112,[2]data!$B$2:$B$218,[2]data!G$2:G$218)/100)</f>
        <v>3.4142796239999997</v>
      </c>
      <c r="L111">
        <f>[1]data!I112*(_xlfn.XLOOKUP([1]data!$C112,[2]data!$B$2:$B$218,[2]data!H$2:H$218)/100)</f>
        <v>4.2132173819999998</v>
      </c>
      <c r="M111">
        <f>[1]data!J112*(_xlfn.XLOOKUP([1]data!$C112,[2]data!$B$2:$B$218,[2]data!I$2:I$218)/100)</f>
        <v>5.2000121549999996</v>
      </c>
      <c r="N111">
        <f>[1]data!K112*(_xlfn.XLOOKUP([1]data!$C112,[2]data!$B$2:$B$218,[2]data!J$2:J$218)/100)</f>
        <v>6.450597803</v>
      </c>
      <c r="O111">
        <f>[1]data!L112*(_xlfn.XLOOKUP([1]data!$C112,[2]data!$B$2:$B$218,[2]data!K$2:K$218)/100)</f>
        <v>7.9993211360000007</v>
      </c>
      <c r="P111">
        <f>[1]data!M112*(_xlfn.XLOOKUP([1]data!$C112,[2]data!$B$2:$B$218,[2]data!L$2:L$218)/100)</f>
        <v>9.8908772479999989</v>
      </c>
      <c r="Q111">
        <f>[1]data!N112*(_xlfn.XLOOKUP([1]data!$C112,[2]data!$B$2:$B$218,[2]data!M$2:M$218)/100)</f>
        <v>11.789422040000002</v>
      </c>
      <c r="R111">
        <f>[1]data!O112*(_xlfn.XLOOKUP([1]data!$C112,[2]data!$B$2:$B$218,[2]data!N$2:N$218)/100)</f>
        <v>13.647792366999999</v>
      </c>
      <c r="S111">
        <f>[1]data!P112*(_xlfn.XLOOKUP([1]data!$C112,[2]data!$B$2:$B$218,[2]data!O$2:O$218)/100)</f>
        <v>15.119310920999999</v>
      </c>
      <c r="T111">
        <f>[1]data!Q112*(_xlfn.XLOOKUP([1]data!$C112,[2]data!$B$2:$B$218,[2]data!P$2:P$218)/100)</f>
        <v>16.686707184000003</v>
      </c>
      <c r="U111">
        <f>[1]data!R112*(_xlfn.XLOOKUP([1]data!$C112,[2]data!$B$2:$B$218,[2]data!Q$2:Q$218)/100)</f>
        <v>18.704567319999999</v>
      </c>
      <c r="V111">
        <f>[1]data!S112*(_xlfn.XLOOKUP([1]data!$C112,[2]data!$B$2:$B$218,[2]data!R$2:R$218)/100)</f>
        <v>20.956281344000001</v>
      </c>
      <c r="W111">
        <f>[1]data!T112*(_xlfn.XLOOKUP([1]data!$C112,[2]data!$B$2:$B$218,[2]data!S$2:S$218)/100)</f>
        <v>23.170414035</v>
      </c>
      <c r="X111">
        <f>[1]data!U112*(_xlfn.XLOOKUP([1]data!$C112,[2]data!$B$2:$B$218,[2]data!T$2:T$218)/100)</f>
        <v>24.834535850249939</v>
      </c>
      <c r="Y111">
        <f>[1]data!V112*(_xlfn.XLOOKUP([1]data!$C112,[2]data!$B$2:$B$218,[2]data!U$2:U$218)/100)</f>
        <v>26.361601029440003</v>
      </c>
      <c r="Z111">
        <f>[1]data!W112*(_xlfn.XLOOKUP([1]data!$C112,[2]data!$B$2:$B$218,[2]data!V$2:V$218)/100)</f>
        <v>27.751070556730003</v>
      </c>
      <c r="AA111">
        <f>[1]data!X112*(_xlfn.XLOOKUP([1]data!$C112,[2]data!$B$2:$B$218,[2]data!W$2:W$218)/100)</f>
        <v>28.976659984799998</v>
      </c>
      <c r="AB111">
        <f>[1]data!Y112*(_xlfn.XLOOKUP([1]data!$C112,[2]data!$B$2:$B$218,[2]data!X$2:X$218)/100)</f>
        <v>30.026780395520003</v>
      </c>
      <c r="AC111">
        <f>[1]data!Z112*(_xlfn.XLOOKUP([1]data!$C112,[2]data!$B$2:$B$218,[2]data!Y$2:Y$218)/100)</f>
        <v>30.910015927559996</v>
      </c>
      <c r="AD111">
        <f>[1]data!AA112*(_xlfn.XLOOKUP([1]data!$C112,[2]data!$B$2:$B$218,[2]data!Z$2:Z$218)/100)</f>
        <v>31.653639649279999</v>
      </c>
      <c r="AE111">
        <f>[1]data!AB112*(_xlfn.XLOOKUP([1]data!$C112,[2]data!$B$2:$B$218,[2]data!AA$2:AA$218)/100)</f>
        <v>32.251121330879997</v>
      </c>
      <c r="AF111">
        <f>[1]data!AC112*(_xlfn.XLOOKUP([1]data!$C112,[2]data!$B$2:$B$218,[2]data!AB$2:AB$218)/100)</f>
        <v>32.72683219384993</v>
      </c>
      <c r="AG111">
        <f>[1]data!AD112*(_xlfn.XLOOKUP([1]data!$C112,[2]data!$B$2:$B$218,[2]data!AC$2:AC$218)/100)</f>
        <v>33.071195879300006</v>
      </c>
      <c r="AH111">
        <f>[1]data!AE112*(_xlfn.XLOOKUP([1]data!$C112,[2]data!$B$2:$B$218,[2]data!AD$2:AD$218)/100)</f>
        <v>33.306011753299998</v>
      </c>
      <c r="AI111">
        <f>[1]data!AF112*(_xlfn.XLOOKUP([1]data!$C112,[2]data!$B$2:$B$218,[2]data!AE$2:AE$218)/100)</f>
        <v>33.435231611100008</v>
      </c>
      <c r="AJ111">
        <f>[1]data!AG112*(_xlfn.XLOOKUP([1]data!$C112,[2]data!$B$2:$B$218,[2]data!AF$2:AF$218)/100)</f>
        <v>33.492185585689995</v>
      </c>
      <c r="AK111">
        <f>[1]data!AH112*(_xlfn.XLOOKUP([1]data!$C112,[2]data!$B$2:$B$218,[2]data!AG$2:AG$218)/100)</f>
        <v>33.47088028428</v>
      </c>
      <c r="AL111">
        <f>[1]data!AI112*(_xlfn.XLOOKUP([1]data!$C112,[2]data!$B$2:$B$218,[2]data!AH$2:AH$218)/100)</f>
        <v>33.378514955099995</v>
      </c>
      <c r="AM111">
        <f>[1]data!AJ112*(_xlfn.XLOOKUP([1]data!$C112,[2]data!$B$2:$B$218,[2]data!AI$2:AI$218)/100)</f>
        <v>33.201480858480004</v>
      </c>
    </row>
    <row r="112" spans="1:39" x14ac:dyDescent="0.25">
      <c r="A112" t="s">
        <v>30</v>
      </c>
      <c r="B112" t="s">
        <v>31</v>
      </c>
      <c r="C112" t="s">
        <v>143</v>
      </c>
      <c r="D112" t="s">
        <v>372</v>
      </c>
      <c r="E112" t="str">
        <f>_xlfn.XLOOKUP(D112,[6]Feuil1!$C$2:$C$248,[6]Feuil1!$B$2:$B$248)</f>
        <v>MD</v>
      </c>
      <c r="F112" t="s">
        <v>33</v>
      </c>
      <c r="G112" t="str">
        <f>_xlfn.XLOOKUP(C112,[3]Sheet1!$B$2:$B$172,[3]Sheet1!$D$2:$D$172)</f>
        <v>Ukraine region</v>
      </c>
      <c r="H112" t="s">
        <v>34</v>
      </c>
      <c r="I112">
        <f>[1]data!F113*(_xlfn.XLOOKUP([1]data!$C113,[2]data!$B$2:$B$218,[2]data!E$2:E$218)/100)</f>
        <v>0.43308648</v>
      </c>
      <c r="J112">
        <f>[1]data!G113*(_xlfn.XLOOKUP([1]data!$C113,[2]data!$B$2:$B$218,[2]data!F$2:F$218)/100)</f>
        <v>0.55370885400000003</v>
      </c>
      <c r="K112">
        <f>[1]data!H113*(_xlfn.XLOOKUP([1]data!$C113,[2]data!$B$2:$B$218,[2]data!G$2:G$218)/100)</f>
        <v>0.72350647199999996</v>
      </c>
      <c r="L112">
        <f>[1]data!I113*(_xlfn.XLOOKUP([1]data!$C113,[2]data!$B$2:$B$218,[2]data!H$2:H$218)/100)</f>
        <v>0.95203081200000017</v>
      </c>
      <c r="M112">
        <f>[1]data!J113*(_xlfn.XLOOKUP([1]data!$C113,[2]data!$B$2:$B$218,[2]data!I$2:I$218)/100)</f>
        <v>1.1847349229999999</v>
      </c>
      <c r="N112">
        <f>[1]data!K113*(_xlfn.XLOOKUP([1]data!$C113,[2]data!$B$2:$B$218,[2]data!J$2:J$218)/100)</f>
        <v>1.4092106140000003</v>
      </c>
      <c r="O112">
        <f>[1]data!L113*(_xlfn.XLOOKUP([1]data!$C113,[2]data!$B$2:$B$218,[2]data!K$2:K$218)/100)</f>
        <v>1.650464836</v>
      </c>
      <c r="P112">
        <f>[1]data!M113*(_xlfn.XLOOKUP([1]data!$C113,[2]data!$B$2:$B$218,[2]data!L$2:L$218)/100)</f>
        <v>1.8921874139999999</v>
      </c>
      <c r="Q112">
        <f>[1]data!N113*(_xlfn.XLOOKUP([1]data!$C113,[2]data!$B$2:$B$218,[2]data!M$2:M$218)/100)</f>
        <v>2.0929755600000002</v>
      </c>
      <c r="R112">
        <f>[1]data!O113*(_xlfn.XLOOKUP([1]data!$C113,[2]data!$B$2:$B$218,[2]data!N$2:N$218)/100)</f>
        <v>2.0713754189999998</v>
      </c>
      <c r="S112">
        <f>[1]data!P113*(_xlfn.XLOOKUP([1]data!$C113,[2]data!$B$2:$B$218,[2]data!O$2:O$218)/100)</f>
        <v>1.9073841159999998</v>
      </c>
      <c r="T112">
        <f>[1]data!Q113*(_xlfn.XLOOKUP([1]data!$C113,[2]data!$B$2:$B$218,[2]data!P$2:P$218)/100)</f>
        <v>1.7234742519999999</v>
      </c>
      <c r="U112">
        <f>[1]data!R113*(_xlfn.XLOOKUP([1]data!$C113,[2]data!$B$2:$B$218,[2]data!Q$2:Q$218)/100)</f>
        <v>1.583989836</v>
      </c>
      <c r="V112">
        <f>[1]data!S113*(_xlfn.XLOOKUP([1]data!$C113,[2]data!$B$2:$B$218,[2]data!R$2:R$218)/100)</f>
        <v>1.4049760499999999</v>
      </c>
      <c r="W112">
        <f>[1]data!T113*(_xlfn.XLOOKUP([1]data!$C113,[2]data!$B$2:$B$218,[2]data!S$2:S$218)/100)</f>
        <v>1.3246694160000001</v>
      </c>
      <c r="X112">
        <f>[1]data!U113*(_xlfn.XLOOKUP([1]data!$C113,[2]data!$B$2:$B$218,[2]data!T$2:T$218)/100)</f>
        <v>1.3947488348999999</v>
      </c>
      <c r="Y112">
        <f>[1]data!V113*(_xlfn.XLOOKUP([1]data!$C113,[2]data!$B$2:$B$218,[2]data!U$2:U$218)/100)</f>
        <v>1.4185102624200001</v>
      </c>
      <c r="Z112">
        <f>[1]data!W113*(_xlfn.XLOOKUP([1]data!$C113,[2]data!$B$2:$B$218,[2]data!V$2:V$218)/100)</f>
        <v>1.4319988568999997</v>
      </c>
      <c r="AA112">
        <f>[1]data!X113*(_xlfn.XLOOKUP([1]data!$C113,[2]data!$B$2:$B$218,[2]data!W$2:W$218)/100)</f>
        <v>1.4433287528000001</v>
      </c>
      <c r="AB112">
        <f>[1]data!Y113*(_xlfn.XLOOKUP([1]data!$C113,[2]data!$B$2:$B$218,[2]data!X$2:X$218)/100)</f>
        <v>1.45451273448</v>
      </c>
      <c r="AC112">
        <f>[1]data!Z113*(_xlfn.XLOOKUP([1]data!$C113,[2]data!$B$2:$B$218,[2]data!Y$2:Y$218)/100)</f>
        <v>1.4635199244900001</v>
      </c>
      <c r="AD112">
        <f>[1]data!AA113*(_xlfn.XLOOKUP([1]data!$C113,[2]data!$B$2:$B$218,[2]data!Z$2:Z$218)/100)</f>
        <v>1.46582132139</v>
      </c>
      <c r="AE112">
        <f>[1]data!AB113*(_xlfn.XLOOKUP([1]data!$C113,[2]data!$B$2:$B$218,[2]data!AA$2:AA$218)/100)</f>
        <v>1.4606224628100002</v>
      </c>
      <c r="AF112">
        <f>[1]data!AC113*(_xlfn.XLOOKUP([1]data!$C113,[2]data!$B$2:$B$218,[2]data!AB$2:AB$218)/100)</f>
        <v>1.4510139143499998</v>
      </c>
      <c r="AG112">
        <f>[1]data!AD113*(_xlfn.XLOOKUP([1]data!$C113,[2]data!$B$2:$B$218,[2]data!AC$2:AC$218)/100)</f>
        <v>1.4385739635600001</v>
      </c>
      <c r="AH112">
        <f>[1]data!AE113*(_xlfn.XLOOKUP([1]data!$C113,[2]data!$B$2:$B$218,[2]data!AD$2:AD$218)/100)</f>
        <v>1.4249100042799998</v>
      </c>
      <c r="AI112">
        <f>[1]data!AF113*(_xlfn.XLOOKUP([1]data!$C113,[2]data!$B$2:$B$218,[2]data!AE$2:AE$218)/100)</f>
        <v>1.4111766106400001</v>
      </c>
      <c r="AJ112">
        <f>[1]data!AG113*(_xlfn.XLOOKUP([1]data!$C113,[2]data!$B$2:$B$218,[2]data!AF$2:AF$218)/100)</f>
        <v>1.39841158452</v>
      </c>
      <c r="AK112">
        <f>[1]data!AH113*(_xlfn.XLOOKUP([1]data!$C113,[2]data!$B$2:$B$218,[2]data!AG$2:AG$218)/100)</f>
        <v>1.3871297076</v>
      </c>
      <c r="AL112">
        <f>[1]data!AI113*(_xlfn.XLOOKUP([1]data!$C113,[2]data!$B$2:$B$218,[2]data!AH$2:AH$218)/100)</f>
        <v>1.3764390100199999</v>
      </c>
      <c r="AM112">
        <f>[1]data!AJ113*(_xlfn.XLOOKUP([1]data!$C113,[2]data!$B$2:$B$218,[2]data!AI$2:AI$218)/100)</f>
        <v>1.3644416350500002</v>
      </c>
    </row>
    <row r="113" spans="1:39" x14ac:dyDescent="0.25">
      <c r="A113" t="s">
        <v>30</v>
      </c>
      <c r="B113" t="s">
        <v>31</v>
      </c>
      <c r="C113" t="s">
        <v>144</v>
      </c>
      <c r="D113" t="s">
        <v>373</v>
      </c>
      <c r="E113" t="str">
        <f>_xlfn.XLOOKUP(D113,[6]Feuil1!$C$2:$C$248,[6]Feuil1!$B$2:$B$248)</f>
        <v>MG</v>
      </c>
      <c r="F113" t="s">
        <v>33</v>
      </c>
      <c r="G113" t="str">
        <f>_xlfn.XLOOKUP(C113,[3]Sheet1!$B$2:$B$172,[3]Sheet1!$D$2:$D$172)</f>
        <v>Eastern Africa</v>
      </c>
      <c r="H113" t="s">
        <v>34</v>
      </c>
      <c r="I113">
        <f>[1]data!F114*(_xlfn.XLOOKUP([1]data!$C114,[2]data!$B$2:$B$218,[2]data!E$2:E$218)/100)</f>
        <v>0.30466995000000002</v>
      </c>
      <c r="J113">
        <f>[1]data!G114*(_xlfn.XLOOKUP([1]data!$C114,[2]data!$B$2:$B$218,[2]data!F$2:F$218)/100)</f>
        <v>0.40147998800000001</v>
      </c>
      <c r="K113">
        <f>[1]data!H114*(_xlfn.XLOOKUP([1]data!$C114,[2]data!$B$2:$B$218,[2]data!G$2:G$218)/100)</f>
        <v>0.53083029799999992</v>
      </c>
      <c r="L113">
        <f>[1]data!I114*(_xlfn.XLOOKUP([1]data!$C114,[2]data!$B$2:$B$218,[2]data!H$2:H$218)/100)</f>
        <v>0.70731422799999999</v>
      </c>
      <c r="M113">
        <f>[1]data!J114*(_xlfn.XLOOKUP([1]data!$C114,[2]data!$B$2:$B$218,[2]data!I$2:I$218)/100)</f>
        <v>0.92249123099999997</v>
      </c>
      <c r="N113">
        <f>[1]data!K114*(_xlfn.XLOOKUP([1]data!$C114,[2]data!$B$2:$B$218,[2]data!J$2:J$218)/100)</f>
        <v>1.239619238</v>
      </c>
      <c r="O113">
        <f>[1]data!L114*(_xlfn.XLOOKUP([1]data!$C114,[2]data!$B$2:$B$218,[2]data!K$2:K$218)/100)</f>
        <v>1.6315742</v>
      </c>
      <c r="P113">
        <f>[1]data!M114*(_xlfn.XLOOKUP([1]data!$C114,[2]data!$B$2:$B$218,[2]data!L$2:L$218)/100)</f>
        <v>2.122232398</v>
      </c>
      <c r="Q113">
        <f>[1]data!N114*(_xlfn.XLOOKUP([1]data!$C114,[2]data!$B$2:$B$218,[2]data!M$2:M$218)/100)</f>
        <v>2.7624585880000003</v>
      </c>
      <c r="R113">
        <f>[1]data!O114*(_xlfn.XLOOKUP([1]data!$C114,[2]data!$B$2:$B$218,[2]data!N$2:N$218)/100)</f>
        <v>3.5212866840000001</v>
      </c>
      <c r="S113">
        <f>[1]data!P114*(_xlfn.XLOOKUP([1]data!$C114,[2]data!$B$2:$B$218,[2]data!O$2:O$218)/100)</f>
        <v>4.3285946540000007</v>
      </c>
      <c r="T113">
        <f>[1]data!Q114*(_xlfn.XLOOKUP([1]data!$C114,[2]data!$B$2:$B$218,[2]data!P$2:P$218)/100)</f>
        <v>5.33308464</v>
      </c>
      <c r="U113">
        <f>[1]data!R114*(_xlfn.XLOOKUP([1]data!$C114,[2]data!$B$2:$B$218,[2]data!Q$2:Q$218)/100)</f>
        <v>6.8339341290000011</v>
      </c>
      <c r="V113">
        <f>[1]data!S114*(_xlfn.XLOOKUP([1]data!$C114,[2]data!$B$2:$B$218,[2]data!R$2:R$218)/100)</f>
        <v>8.6349412159999996</v>
      </c>
      <c r="W113">
        <f>[1]data!T114*(_xlfn.XLOOKUP([1]data!$C114,[2]data!$B$2:$B$218,[2]data!S$2:S$218)/100)</f>
        <v>10.733464665000001</v>
      </c>
      <c r="X113">
        <f>[1]data!U114*(_xlfn.XLOOKUP([1]data!$C114,[2]data!$B$2:$B$218,[2]data!T$2:T$218)/100)</f>
        <v>13.001214048180001</v>
      </c>
      <c r="Y113">
        <f>[1]data!V114*(_xlfn.XLOOKUP([1]data!$C114,[2]data!$B$2:$B$218,[2]data!U$2:U$218)/100)</f>
        <v>15.50595664808</v>
      </c>
      <c r="Z113">
        <f>[1]data!W114*(_xlfn.XLOOKUP([1]data!$C114,[2]data!$B$2:$B$218,[2]data!V$2:V$218)/100)</f>
        <v>18.168739708699952</v>
      </c>
      <c r="AA113">
        <f>[1]data!X114*(_xlfn.XLOOKUP([1]data!$C114,[2]data!$B$2:$B$218,[2]data!W$2:W$218)/100)</f>
        <v>20.939246801039999</v>
      </c>
      <c r="AB113">
        <f>[1]data!Y114*(_xlfn.XLOOKUP([1]data!$C114,[2]data!$B$2:$B$218,[2]data!X$2:X$218)/100)</f>
        <v>23.796782847500001</v>
      </c>
      <c r="AC113">
        <f>[1]data!Z114*(_xlfn.XLOOKUP([1]data!$C114,[2]data!$B$2:$B$218,[2]data!Y$2:Y$218)/100)</f>
        <v>26.6856091744</v>
      </c>
      <c r="AD113">
        <f>[1]data!AA114*(_xlfn.XLOOKUP([1]data!$C114,[2]data!$B$2:$B$218,[2]data!Z$2:Z$218)/100)</f>
        <v>29.53356732736</v>
      </c>
      <c r="AE113">
        <f>[1]data!AB114*(_xlfn.XLOOKUP([1]data!$C114,[2]data!$B$2:$B$218,[2]data!AA$2:AA$218)/100)</f>
        <v>32.310758428919996</v>
      </c>
      <c r="AF113">
        <f>[1]data!AC114*(_xlfn.XLOOKUP([1]data!$C114,[2]data!$B$2:$B$218,[2]data!AB$2:AB$218)/100)</f>
        <v>34.944475714339994</v>
      </c>
      <c r="AG113">
        <f>[1]data!AD114*(_xlfn.XLOOKUP([1]data!$C114,[2]data!$B$2:$B$218,[2]data!AC$2:AC$218)/100)</f>
        <v>37.390324039799992</v>
      </c>
      <c r="AH113">
        <f>[1]data!AE114*(_xlfn.XLOOKUP([1]data!$C114,[2]data!$B$2:$B$218,[2]data!AD$2:AD$218)/100)</f>
        <v>39.602450045440001</v>
      </c>
      <c r="AI113">
        <f>[1]data!AF114*(_xlfn.XLOOKUP([1]data!$C114,[2]data!$B$2:$B$218,[2]data!AE$2:AE$218)/100)</f>
        <v>41.578132442879998</v>
      </c>
      <c r="AJ113">
        <f>[1]data!AG114*(_xlfn.XLOOKUP([1]data!$C114,[2]data!$B$2:$B$218,[2]data!AF$2:AF$218)/100)</f>
        <v>43.328662220550001</v>
      </c>
      <c r="AK113">
        <f>[1]data!AH114*(_xlfn.XLOOKUP([1]data!$C114,[2]data!$B$2:$B$218,[2]data!AG$2:AG$218)/100)</f>
        <v>44.846788544959999</v>
      </c>
      <c r="AL113">
        <f>[1]data!AI114*(_xlfn.XLOOKUP([1]data!$C114,[2]data!$B$2:$B$218,[2]data!AH$2:AH$218)/100)</f>
        <v>46.135560966450008</v>
      </c>
      <c r="AM113">
        <f>[1]data!AJ114*(_xlfn.XLOOKUP([1]data!$C114,[2]data!$B$2:$B$218,[2]data!AI$2:AI$218)/100)</f>
        <v>47.18463813799999</v>
      </c>
    </row>
    <row r="114" spans="1:39" x14ac:dyDescent="0.25">
      <c r="A114" t="s">
        <v>30</v>
      </c>
      <c r="B114" t="s">
        <v>31</v>
      </c>
      <c r="C114" t="s">
        <v>145</v>
      </c>
      <c r="D114" t="s">
        <v>374</v>
      </c>
      <c r="E114" t="str">
        <f>_xlfn.XLOOKUP(D114,[6]Feuil1!$C$2:$C$248,[6]Feuil1!$B$2:$B$248)</f>
        <v>MV</v>
      </c>
      <c r="F114" t="s">
        <v>33</v>
      </c>
      <c r="G114" t="s">
        <v>243</v>
      </c>
      <c r="H114" t="s">
        <v>34</v>
      </c>
      <c r="I114">
        <f>[1]data!F115*(_xlfn.XLOOKUP([1]data!$C115,[2]data!$B$2:$B$218,[2]data!E$2:E$218)/100)</f>
        <v>7.8269340000000007E-3</v>
      </c>
      <c r="J114">
        <f>[1]data!G115*(_xlfn.XLOOKUP([1]data!$C115,[2]data!$B$2:$B$218,[2]data!F$2:F$218)/100)</f>
        <v>8.8275829999999982E-3</v>
      </c>
      <c r="K114">
        <f>[1]data!H115*(_xlfn.XLOOKUP([1]data!$C115,[2]data!$B$2:$B$218,[2]data!G$2:G$218)/100)</f>
        <v>1.0137904E-2</v>
      </c>
      <c r="L114">
        <f>[1]data!I115*(_xlfn.XLOOKUP([1]data!$C115,[2]data!$B$2:$B$218,[2]data!H$2:H$218)/100)</f>
        <v>1.1784510000000002E-2</v>
      </c>
      <c r="M114">
        <f>[1]data!J115*(_xlfn.XLOOKUP([1]data!$C115,[2]data!$B$2:$B$218,[2]data!I$2:I$218)/100)</f>
        <v>1.4442673000000001E-2</v>
      </c>
      <c r="N114">
        <f>[1]data!K115*(_xlfn.XLOOKUP([1]data!$C115,[2]data!$B$2:$B$218,[2]data!J$2:J$218)/100)</f>
        <v>2.4388501999999999E-2</v>
      </c>
      <c r="O114">
        <f>[1]data!L115*(_xlfn.XLOOKUP([1]data!$C115,[2]data!$B$2:$B$218,[2]data!K$2:K$218)/100)</f>
        <v>3.6243744000000001E-2</v>
      </c>
      <c r="P114">
        <f>[1]data!M115*(_xlfn.XLOOKUP([1]data!$C115,[2]data!$B$2:$B$218,[2]data!L$2:L$218)/100)</f>
        <v>4.7700554999999999E-2</v>
      </c>
      <c r="Q114">
        <f>[1]data!N115*(_xlfn.XLOOKUP([1]data!$C115,[2]data!$B$2:$B$218,[2]data!M$2:M$218)/100)</f>
        <v>5.7101334000000004E-2</v>
      </c>
      <c r="R114">
        <f>[1]data!O115*(_xlfn.XLOOKUP([1]data!$C115,[2]data!$B$2:$B$218,[2]data!N$2:N$218)/100)</f>
        <v>6.5349888000000009E-2</v>
      </c>
      <c r="S114">
        <f>[1]data!P115*(_xlfn.XLOOKUP([1]data!$C115,[2]data!$B$2:$B$218,[2]data!O$2:O$218)/100)</f>
        <v>7.7607090000000004E-2</v>
      </c>
      <c r="T114">
        <f>[1]data!Q115*(_xlfn.XLOOKUP([1]data!$C115,[2]data!$B$2:$B$218,[2]data!P$2:P$218)/100)</f>
        <v>0.10294837800000001</v>
      </c>
      <c r="U114">
        <f>[1]data!R115*(_xlfn.XLOOKUP([1]data!$C115,[2]data!$B$2:$B$218,[2]data!Q$2:Q$218)/100)</f>
        <v>0.129297896</v>
      </c>
      <c r="V114">
        <f>[1]data!S115*(_xlfn.XLOOKUP([1]data!$C115,[2]data!$B$2:$B$218,[2]data!R$2:R$218)/100)</f>
        <v>0.16406890500000001</v>
      </c>
      <c r="W114">
        <f>[1]data!T115*(_xlfn.XLOOKUP([1]data!$C115,[2]data!$B$2:$B$218,[2]data!S$2:S$218)/100)</f>
        <v>0.20792856700000004</v>
      </c>
      <c r="X114">
        <f>[1]data!U115*(_xlfn.XLOOKUP([1]data!$C115,[2]data!$B$2:$B$218,[2]data!T$2:T$218)/100)</f>
        <v>0.23949881020000002</v>
      </c>
      <c r="Y114">
        <f>[1]data!V115*(_xlfn.XLOOKUP([1]data!$C115,[2]data!$B$2:$B$218,[2]data!U$2:U$218)/100)</f>
        <v>0.27064455599999998</v>
      </c>
      <c r="Z114">
        <f>[1]data!W115*(_xlfn.XLOOKUP([1]data!$C115,[2]data!$B$2:$B$218,[2]data!V$2:V$218)/100)</f>
        <v>0.3013771435</v>
      </c>
      <c r="AA114">
        <f>[1]data!X115*(_xlfn.XLOOKUP([1]data!$C115,[2]data!$B$2:$B$218,[2]data!W$2:W$218)/100)</f>
        <v>0.33250453019999998</v>
      </c>
      <c r="AB114">
        <f>[1]data!Y115*(_xlfn.XLOOKUP([1]data!$C115,[2]data!$B$2:$B$218,[2]data!X$2:X$218)/100)</f>
        <v>0.36407520039000002</v>
      </c>
      <c r="AC114">
        <f>[1]data!Z115*(_xlfn.XLOOKUP([1]data!$C115,[2]data!$B$2:$B$218,[2]data!Y$2:Y$218)/100)</f>
        <v>0.39491481370000003</v>
      </c>
      <c r="AD114">
        <f>[1]data!AA115*(_xlfn.XLOOKUP([1]data!$C115,[2]data!$B$2:$B$218,[2]data!Z$2:Z$218)/100)</f>
        <v>0.42342693211999943</v>
      </c>
      <c r="AE114">
        <f>[1]data!AB115*(_xlfn.XLOOKUP([1]data!$C115,[2]data!$B$2:$B$218,[2]data!AA$2:AA$218)/100)</f>
        <v>0.44865226765000005</v>
      </c>
      <c r="AF114">
        <f>[1]data!AC115*(_xlfn.XLOOKUP([1]data!$C115,[2]data!$B$2:$B$218,[2]data!AB$2:AB$218)/100)</f>
        <v>0.46936023183000003</v>
      </c>
      <c r="AG114">
        <f>[1]data!AD115*(_xlfn.XLOOKUP([1]data!$C115,[2]data!$B$2:$B$218,[2]data!AC$2:AC$218)/100)</f>
        <v>0.4857255565400001</v>
      </c>
      <c r="AH114">
        <f>[1]data!AE115*(_xlfn.XLOOKUP([1]data!$C115,[2]data!$B$2:$B$218,[2]data!AD$2:AD$218)/100)</f>
        <v>0.49724696524999934</v>
      </c>
      <c r="AI114">
        <f>[1]data!AF115*(_xlfn.XLOOKUP([1]data!$C115,[2]data!$B$2:$B$218,[2]data!AE$2:AE$218)/100)</f>
        <v>0.50345475634000003</v>
      </c>
      <c r="AJ114">
        <f>[1]data!AG115*(_xlfn.XLOOKUP([1]data!$C115,[2]data!$B$2:$B$218,[2]data!AF$2:AF$218)/100)</f>
        <v>0.50432700402000008</v>
      </c>
      <c r="AK114">
        <f>[1]data!AH115*(_xlfn.XLOOKUP([1]data!$C115,[2]data!$B$2:$B$218,[2]data!AG$2:AG$218)/100)</f>
        <v>0.5010005435999999</v>
      </c>
      <c r="AL114">
        <f>[1]data!AI115*(_xlfn.XLOOKUP([1]data!$C115,[2]data!$B$2:$B$218,[2]data!AH$2:AH$218)/100)</f>
        <v>0.49553703360000007</v>
      </c>
      <c r="AM114">
        <f>[1]data!AJ115*(_xlfn.XLOOKUP([1]data!$C115,[2]data!$B$2:$B$218,[2]data!AI$2:AI$218)/100)</f>
        <v>0.48982789523999926</v>
      </c>
    </row>
    <row r="115" spans="1:39" x14ac:dyDescent="0.25">
      <c r="A115" t="s">
        <v>30</v>
      </c>
      <c r="B115" t="s">
        <v>31</v>
      </c>
      <c r="C115" t="s">
        <v>146</v>
      </c>
      <c r="D115" t="s">
        <v>375</v>
      </c>
      <c r="E115" t="str">
        <f>_xlfn.XLOOKUP(D115,[6]Feuil1!$C$2:$C$248,[6]Feuil1!$B$2:$B$248)</f>
        <v>MX</v>
      </c>
      <c r="F115" t="s">
        <v>33</v>
      </c>
      <c r="G115" t="str">
        <f>_xlfn.XLOOKUP(C115,[3]Sheet1!$B$2:$B$172,[3]Sheet1!$D$2:$D$172)</f>
        <v>Mexico</v>
      </c>
      <c r="H115" t="s">
        <v>34</v>
      </c>
      <c r="I115">
        <f>[1]data!F116*(_xlfn.XLOOKUP([1]data!$C116,[2]data!$B$2:$B$218,[2]data!E$2:E$218)/100)</f>
        <v>11.627876120000002</v>
      </c>
      <c r="J115">
        <f>[1]data!G116*(_xlfn.XLOOKUP([1]data!$C116,[2]data!$B$2:$B$218,[2]data!F$2:F$218)/100)</f>
        <v>14.488960337000002</v>
      </c>
      <c r="K115">
        <f>[1]data!H116*(_xlfn.XLOOKUP([1]data!$C116,[2]data!$B$2:$B$218,[2]data!G$2:G$218)/100)</f>
        <v>18.137892604000001</v>
      </c>
      <c r="L115">
        <f>[1]data!I116*(_xlfn.XLOOKUP([1]data!$C116,[2]data!$B$2:$B$218,[2]data!H$2:H$218)/100)</f>
        <v>23.070653900999996</v>
      </c>
      <c r="M115">
        <f>[1]data!J116*(_xlfn.XLOOKUP([1]data!$C116,[2]data!$B$2:$B$218,[2]data!I$2:I$218)/100)</f>
        <v>29.201519000000001</v>
      </c>
      <c r="N115">
        <f>[1]data!K116*(_xlfn.XLOOKUP([1]data!$C116,[2]data!$B$2:$B$218,[2]data!J$2:J$218)/100)</f>
        <v>36.305552292000002</v>
      </c>
      <c r="O115">
        <f>[1]data!L116*(_xlfn.XLOOKUP([1]data!$C116,[2]data!$B$2:$B$218,[2]data!K$2:K$218)/100)</f>
        <v>44.348155526999996</v>
      </c>
      <c r="P115">
        <f>[1]data!M116*(_xlfn.XLOOKUP([1]data!$C116,[2]data!$B$2:$B$218,[2]data!L$2:L$218)/100)</f>
        <v>51.187621710000002</v>
      </c>
      <c r="Q115">
        <f>[1]data!N116*(_xlfn.XLOOKUP([1]data!$C116,[2]data!$B$2:$B$218,[2]data!M$2:M$218)/100)</f>
        <v>57.763167630000005</v>
      </c>
      <c r="R115">
        <f>[1]data!O116*(_xlfn.XLOOKUP([1]data!$C116,[2]data!$B$2:$B$218,[2]data!N$2:N$218)/100)</f>
        <v>65.439881568000004</v>
      </c>
      <c r="S115">
        <f>[1]data!P116*(_xlfn.XLOOKUP([1]data!$C116,[2]data!$B$2:$B$218,[2]data!O$2:O$218)/100)</f>
        <v>72.542755134000004</v>
      </c>
      <c r="T115">
        <f>[1]data!Q116*(_xlfn.XLOOKUP([1]data!$C116,[2]data!$B$2:$B$218,[2]data!P$2:P$218)/100)</f>
        <v>79.896241032999995</v>
      </c>
      <c r="U115">
        <f>[1]data!R116*(_xlfn.XLOOKUP([1]data!$C116,[2]data!$B$2:$B$218,[2]data!Q$2:Q$218)/100)</f>
        <v>86.92886372400001</v>
      </c>
      <c r="V115">
        <f>[1]data!S116*(_xlfn.XLOOKUP([1]data!$C116,[2]data!$B$2:$B$218,[2]data!R$2:R$218)/100)</f>
        <v>94.741536278999988</v>
      </c>
      <c r="W115">
        <f>[1]data!T116*(_xlfn.XLOOKUP([1]data!$C116,[2]data!$B$2:$B$218,[2]data!S$2:S$218)/100)</f>
        <v>101.36764444800001</v>
      </c>
      <c r="X115">
        <f>[1]data!U116*(_xlfn.XLOOKUP([1]data!$C116,[2]data!$B$2:$B$218,[2]data!T$2:T$218)/100)</f>
        <v>106.48280268952</v>
      </c>
      <c r="Y115">
        <f>[1]data!V116*(_xlfn.XLOOKUP([1]data!$C116,[2]data!$B$2:$B$218,[2]data!U$2:U$218)/100)</f>
        <v>112.05213026486999</v>
      </c>
      <c r="Z115">
        <f>[1]data!W116*(_xlfn.XLOOKUP([1]data!$C116,[2]data!$B$2:$B$218,[2]data!V$2:V$218)/100)</f>
        <v>117.23688889093998</v>
      </c>
      <c r="AA115">
        <f>[1]data!X116*(_xlfn.XLOOKUP([1]data!$C116,[2]data!$B$2:$B$218,[2]data!W$2:W$218)/100)</f>
        <v>121.90117928274998</v>
      </c>
      <c r="AB115">
        <f>[1]data!Y116*(_xlfn.XLOOKUP([1]data!$C116,[2]data!$B$2:$B$218,[2]data!X$2:X$218)/100)</f>
        <v>125.94261665904001</v>
      </c>
      <c r="AC115">
        <f>[1]data!Z116*(_xlfn.XLOOKUP([1]data!$C116,[2]data!$B$2:$B$218,[2]data!Y$2:Y$218)/100)</f>
        <v>129.34509931400001</v>
      </c>
      <c r="AD115">
        <f>[1]data!AA116*(_xlfn.XLOOKUP([1]data!$C116,[2]data!$B$2:$B$218,[2]data!Z$2:Z$218)/100)</f>
        <v>132.22189619496001</v>
      </c>
      <c r="AE115">
        <f>[1]data!AB116*(_xlfn.XLOOKUP([1]data!$C116,[2]data!$B$2:$B$218,[2]data!AA$2:AA$218)/100)</f>
        <v>134.55743385506997</v>
      </c>
      <c r="AF115">
        <f>[1]data!AC116*(_xlfn.XLOOKUP([1]data!$C116,[2]data!$B$2:$B$218,[2]data!AB$2:AB$218)/100)</f>
        <v>136.40530476534002</v>
      </c>
      <c r="AG115">
        <f>[1]data!AD116*(_xlfn.XLOOKUP([1]data!$C116,[2]data!$B$2:$B$218,[2]data!AC$2:AC$218)/100)</f>
        <v>137.77424497583999</v>
      </c>
      <c r="AH115">
        <f>[1]data!AE116*(_xlfn.XLOOKUP([1]data!$C116,[2]data!$B$2:$B$218,[2]data!AD$2:AD$218)/100)</f>
        <v>138.66995803499998</v>
      </c>
      <c r="AI115">
        <f>[1]data!AF116*(_xlfn.XLOOKUP([1]data!$C116,[2]data!$B$2:$B$218,[2]data!AE$2:AE$218)/100)</f>
        <v>139.14726439824</v>
      </c>
      <c r="AJ115">
        <f>[1]data!AG116*(_xlfn.XLOOKUP([1]data!$C116,[2]data!$B$2:$B$218,[2]data!AF$2:AF$218)/100)</f>
        <v>139.27205552495002</v>
      </c>
      <c r="AK115">
        <f>[1]data!AH116*(_xlfn.XLOOKUP([1]data!$C116,[2]data!$B$2:$B$218,[2]data!AG$2:AG$218)/100)</f>
        <v>139.08939880055999</v>
      </c>
      <c r="AL115">
        <f>[1]data!AI116*(_xlfn.XLOOKUP([1]data!$C116,[2]data!$B$2:$B$218,[2]data!AH$2:AH$218)/100)</f>
        <v>138.68596855186001</v>
      </c>
      <c r="AM115">
        <f>[1]data!AJ116*(_xlfn.XLOOKUP([1]data!$C116,[2]data!$B$2:$B$218,[2]data!AI$2:AI$218)/100)</f>
        <v>138.00694285503999</v>
      </c>
    </row>
    <row r="116" spans="1:39" x14ac:dyDescent="0.25">
      <c r="A116" t="s">
        <v>30</v>
      </c>
      <c r="B116" t="s">
        <v>31</v>
      </c>
      <c r="C116" t="s">
        <v>147</v>
      </c>
      <c r="D116" t="s">
        <v>376</v>
      </c>
      <c r="E116" t="str">
        <f>_xlfn.XLOOKUP(D116,[6]Feuil1!$C$2:$C$248,[6]Feuil1!$B$2:$B$248)</f>
        <v>MK</v>
      </c>
      <c r="F116" t="s">
        <v>33</v>
      </c>
      <c r="G116" t="s">
        <v>237</v>
      </c>
      <c r="H116" t="s">
        <v>34</v>
      </c>
      <c r="I116">
        <f>[1]data!F117*(_xlfn.XLOOKUP([1]data!$C117,[2]data!$B$2:$B$218,[2]data!E$2:E$218)/100)</f>
        <v>0.28885217400000002</v>
      </c>
      <c r="J116">
        <f>[1]data!G117*(_xlfn.XLOOKUP([1]data!$C117,[2]data!$B$2:$B$218,[2]data!F$2:F$218)/100)</f>
        <v>0.389404044</v>
      </c>
      <c r="K116">
        <f>[1]data!H117*(_xlfn.XLOOKUP([1]data!$C117,[2]data!$B$2:$B$218,[2]data!G$2:G$218)/100)</f>
        <v>0.49433620000000011</v>
      </c>
      <c r="L116">
        <f>[1]data!I117*(_xlfn.XLOOKUP([1]data!$C117,[2]data!$B$2:$B$218,[2]data!H$2:H$218)/100)</f>
        <v>0.62157945199999998</v>
      </c>
      <c r="M116">
        <f>[1]data!J117*(_xlfn.XLOOKUP([1]data!$C117,[2]data!$B$2:$B$218,[2]data!I$2:I$218)/100)</f>
        <v>0.77489532300000008</v>
      </c>
      <c r="N116">
        <f>[1]data!K117*(_xlfn.XLOOKUP([1]data!$C117,[2]data!$B$2:$B$218,[2]data!J$2:J$218)/100)</f>
        <v>0.89133316799999995</v>
      </c>
      <c r="O116">
        <f>[1]data!L117*(_xlfn.XLOOKUP([1]data!$C117,[2]data!$B$2:$B$218,[2]data!K$2:K$218)/100)</f>
        <v>1.012851835</v>
      </c>
      <c r="P116">
        <f>[1]data!M117*(_xlfn.XLOOKUP([1]data!$C117,[2]data!$B$2:$B$218,[2]data!L$2:L$218)/100)</f>
        <v>1.1114918290000002</v>
      </c>
      <c r="Q116">
        <f>[1]data!N117*(_xlfn.XLOOKUP([1]data!$C117,[2]data!$B$2:$B$218,[2]data!M$2:M$218)/100)</f>
        <v>1.1807609419999998</v>
      </c>
      <c r="R116">
        <f>[1]data!O117*(_xlfn.XLOOKUP([1]data!$C117,[2]data!$B$2:$B$218,[2]data!N$2:N$218)/100)</f>
        <v>1.179670548</v>
      </c>
      <c r="S116">
        <f>[1]data!P117*(_xlfn.XLOOKUP([1]data!$C117,[2]data!$B$2:$B$218,[2]data!O$2:O$218)/100)</f>
        <v>1.1878419150000001</v>
      </c>
      <c r="T116">
        <f>[1]data!Q117*(_xlfn.XLOOKUP([1]data!$C117,[2]data!$B$2:$B$218,[2]data!P$2:P$218)/100)</f>
        <v>1.1945866499999998</v>
      </c>
      <c r="U116">
        <f>[1]data!R117*(_xlfn.XLOOKUP([1]data!$C117,[2]data!$B$2:$B$218,[2]data!Q$2:Q$218)/100)</f>
        <v>1.1943772590000001</v>
      </c>
      <c r="V116">
        <f>[1]data!S117*(_xlfn.XLOOKUP([1]data!$C117,[2]data!$B$2:$B$218,[2]data!R$2:R$218)/100)</f>
        <v>1.2093232899999999</v>
      </c>
      <c r="W116">
        <f>[1]data!T117*(_xlfn.XLOOKUP([1]data!$C117,[2]data!$B$2:$B$218,[2]data!S$2:S$218)/100)</f>
        <v>1.23670521</v>
      </c>
      <c r="X116">
        <f>[1]data!U117*(_xlfn.XLOOKUP([1]data!$C117,[2]data!$B$2:$B$218,[2]data!T$2:T$218)/100)</f>
        <v>1.27693821288</v>
      </c>
      <c r="Y116">
        <f>[1]data!V117*(_xlfn.XLOOKUP([1]data!$C117,[2]data!$B$2:$B$218,[2]data!U$2:U$218)/100)</f>
        <v>1.32987837968</v>
      </c>
      <c r="Z116">
        <f>[1]data!W117*(_xlfn.XLOOKUP([1]data!$C117,[2]data!$B$2:$B$218,[2]data!V$2:V$218)/100)</f>
        <v>1.3737193169399999</v>
      </c>
      <c r="AA116">
        <f>[1]data!X117*(_xlfn.XLOOKUP([1]data!$C117,[2]data!$B$2:$B$218,[2]data!W$2:W$218)/100)</f>
        <v>1.40771799144</v>
      </c>
      <c r="AB116">
        <f>[1]data!Y117*(_xlfn.XLOOKUP([1]data!$C117,[2]data!$B$2:$B$218,[2]data!X$2:X$218)/100)</f>
        <v>1.4337994482</v>
      </c>
      <c r="AC116">
        <f>[1]data!Z117*(_xlfn.XLOOKUP([1]data!$C117,[2]data!$B$2:$B$218,[2]data!Y$2:Y$218)/100)</f>
        <v>1.4544490252500002</v>
      </c>
      <c r="AD116">
        <f>[1]data!AA117*(_xlfn.XLOOKUP([1]data!$C117,[2]data!$B$2:$B$218,[2]data!Z$2:Z$218)/100)</f>
        <v>1.4711054377599999</v>
      </c>
      <c r="AE116">
        <f>[1]data!AB117*(_xlfn.XLOOKUP([1]data!$C117,[2]data!$B$2:$B$218,[2]data!AA$2:AA$218)/100)</f>
        <v>1.4839640709999999</v>
      </c>
      <c r="AF116">
        <f>[1]data!AC117*(_xlfn.XLOOKUP([1]data!$C117,[2]data!$B$2:$B$218,[2]data!AB$2:AB$218)/100)</f>
        <v>1.49180099532</v>
      </c>
      <c r="AG116">
        <f>[1]data!AD117*(_xlfn.XLOOKUP([1]data!$C117,[2]data!$B$2:$B$218,[2]data!AC$2:AC$218)/100)</f>
        <v>1.4937914085499999</v>
      </c>
      <c r="AH116">
        <f>[1]data!AE117*(_xlfn.XLOOKUP([1]data!$C117,[2]data!$B$2:$B$218,[2]data!AD$2:AD$218)/100)</f>
        <v>1.4899325991600001</v>
      </c>
      <c r="AI116">
        <f>[1]data!AF117*(_xlfn.XLOOKUP([1]data!$C117,[2]data!$B$2:$B$218,[2]data!AE$2:AE$218)/100)</f>
        <v>1.4812516736000003</v>
      </c>
      <c r="AJ116">
        <f>[1]data!AG117*(_xlfn.XLOOKUP([1]data!$C117,[2]data!$B$2:$B$218,[2]data!AF$2:AF$218)/100)</f>
        <v>1.4694649230399999</v>
      </c>
      <c r="AK116">
        <f>[1]data!AH117*(_xlfn.XLOOKUP([1]data!$C117,[2]data!$B$2:$B$218,[2]data!AG$2:AG$218)/100)</f>
        <v>1.4559658488000002</v>
      </c>
      <c r="AL116">
        <f>[1]data!AI117*(_xlfn.XLOOKUP([1]data!$C117,[2]data!$B$2:$B$218,[2]data!AH$2:AH$218)/100)</f>
        <v>1.4414820499799998</v>
      </c>
      <c r="AM116">
        <f>[1]data!AJ117*(_xlfn.XLOOKUP([1]data!$C117,[2]data!$B$2:$B$218,[2]data!AI$2:AI$218)/100)</f>
        <v>1.4256240810499998</v>
      </c>
    </row>
    <row r="117" spans="1:39" x14ac:dyDescent="0.25">
      <c r="A117" t="s">
        <v>30</v>
      </c>
      <c r="B117" t="s">
        <v>31</v>
      </c>
      <c r="C117" t="s">
        <v>148</v>
      </c>
      <c r="D117" t="s">
        <v>377</v>
      </c>
      <c r="E117" t="str">
        <f>_xlfn.XLOOKUP(D117,[6]Feuil1!$C$2:$C$248,[6]Feuil1!$B$2:$B$248)</f>
        <v>ML</v>
      </c>
      <c r="F117" t="s">
        <v>33</v>
      </c>
      <c r="G117" t="str">
        <f>_xlfn.XLOOKUP(C117,[3]Sheet1!$B$2:$B$172,[3]Sheet1!$D$2:$D$172)</f>
        <v>Western Africa</v>
      </c>
      <c r="H117" t="s">
        <v>34</v>
      </c>
      <c r="I117">
        <f>[1]data!F118*(_xlfn.XLOOKUP([1]data!$C118,[2]data!$B$2:$B$218,[2]data!E$2:E$218)/100)</f>
        <v>0.39628385500000002</v>
      </c>
      <c r="J117">
        <f>[1]data!G118*(_xlfn.XLOOKUP([1]data!$C118,[2]data!$B$2:$B$218,[2]data!F$2:F$218)/100)</f>
        <v>0.48332626499999998</v>
      </c>
      <c r="K117">
        <f>[1]data!H118*(_xlfn.XLOOKUP([1]data!$C118,[2]data!$B$2:$B$218,[2]data!G$2:G$218)/100)</f>
        <v>0.58945462199999998</v>
      </c>
      <c r="L117">
        <f>[1]data!I118*(_xlfn.XLOOKUP([1]data!$C118,[2]data!$B$2:$B$218,[2]data!H$2:H$218)/100)</f>
        <v>0.71646296399999998</v>
      </c>
      <c r="M117">
        <f>[1]data!J118*(_xlfn.XLOOKUP([1]data!$C118,[2]data!$B$2:$B$218,[2]data!I$2:I$218)/100)</f>
        <v>0.87321577200000011</v>
      </c>
      <c r="N117">
        <f>[1]data!K118*(_xlfn.XLOOKUP([1]data!$C118,[2]data!$B$2:$B$218,[2]data!J$2:J$218)/100)</f>
        <v>1.07363232</v>
      </c>
      <c r="O117">
        <f>[1]data!L118*(_xlfn.XLOOKUP([1]data!$C118,[2]data!$B$2:$B$218,[2]data!K$2:K$218)/100)</f>
        <v>1.3491835400000001</v>
      </c>
      <c r="P117">
        <f>[1]data!M118*(_xlfn.XLOOKUP([1]data!$C118,[2]data!$B$2:$B$218,[2]data!L$2:L$218)/100)</f>
        <v>1.70342718</v>
      </c>
      <c r="Q117">
        <f>[1]data!N118*(_xlfn.XLOOKUP([1]data!$C118,[2]data!$B$2:$B$218,[2]data!M$2:M$218)/100)</f>
        <v>2.0635696260000005</v>
      </c>
      <c r="R117">
        <f>[1]data!O118*(_xlfn.XLOOKUP([1]data!$C118,[2]data!$B$2:$B$218,[2]data!N$2:N$218)/100)</f>
        <v>2.5034143050000002</v>
      </c>
      <c r="S117">
        <f>[1]data!P118*(_xlfn.XLOOKUP([1]data!$C118,[2]data!$B$2:$B$218,[2]data!O$2:O$218)/100)</f>
        <v>3.1446479359999997</v>
      </c>
      <c r="T117">
        <f>[1]data!Q118*(_xlfn.XLOOKUP([1]data!$C118,[2]data!$B$2:$B$218,[2]data!P$2:P$218)/100)</f>
        <v>4.1610687510000002</v>
      </c>
      <c r="U117">
        <f>[1]data!R118*(_xlfn.XLOOKUP([1]data!$C118,[2]data!$B$2:$B$218,[2]data!Q$2:Q$218)/100)</f>
        <v>5.4993776399999996</v>
      </c>
      <c r="V117">
        <f>[1]data!S118*(_xlfn.XLOOKUP([1]data!$C118,[2]data!$B$2:$B$218,[2]data!R$2:R$218)/100)</f>
        <v>7.1311123999999992</v>
      </c>
      <c r="W117">
        <f>[1]data!T118*(_xlfn.XLOOKUP([1]data!$C118,[2]data!$B$2:$B$218,[2]data!S$2:S$218)/100)</f>
        <v>9.1692977370000008</v>
      </c>
      <c r="X117">
        <f>[1]data!U118*(_xlfn.XLOOKUP([1]data!$C118,[2]data!$B$2:$B$218,[2]data!T$2:T$218)/100)</f>
        <v>11.44214955923</v>
      </c>
      <c r="Y117">
        <f>[1]data!V118*(_xlfn.XLOOKUP([1]data!$C118,[2]data!$B$2:$B$218,[2]data!U$2:U$218)/100)</f>
        <v>14.05990317264</v>
      </c>
      <c r="Z117">
        <f>[1]data!W118*(_xlfn.XLOOKUP([1]data!$C118,[2]data!$B$2:$B$218,[2]data!V$2:V$218)/100)</f>
        <v>16.961585691600003</v>
      </c>
      <c r="AA117">
        <f>[1]data!X118*(_xlfn.XLOOKUP([1]data!$C118,[2]data!$B$2:$B$218,[2]data!W$2:W$218)/100)</f>
        <v>20.070012675999997</v>
      </c>
      <c r="AB117">
        <f>[1]data!Y118*(_xlfn.XLOOKUP([1]data!$C118,[2]data!$B$2:$B$218,[2]data!X$2:X$218)/100)</f>
        <v>23.314389342620004</v>
      </c>
      <c r="AC117">
        <f>[1]data!Z118*(_xlfn.XLOOKUP([1]data!$C118,[2]data!$B$2:$B$218,[2]data!Y$2:Y$218)/100)</f>
        <v>26.61905494729994</v>
      </c>
      <c r="AD117">
        <f>[1]data!AA118*(_xlfn.XLOOKUP([1]data!$C118,[2]data!$B$2:$B$218,[2]data!Z$2:Z$218)/100)</f>
        <v>29.946868624530001</v>
      </c>
      <c r="AE117">
        <f>[1]data!AB118*(_xlfn.XLOOKUP([1]data!$C118,[2]data!$B$2:$B$218,[2]data!AA$2:AA$218)/100)</f>
        <v>33.216643364220005</v>
      </c>
      <c r="AF117">
        <f>[1]data!AC118*(_xlfn.XLOOKUP([1]data!$C118,[2]data!$B$2:$B$218,[2]data!AB$2:AB$218)/100)</f>
        <v>36.417734976479998</v>
      </c>
      <c r="AG117">
        <f>[1]data!AD118*(_xlfn.XLOOKUP([1]data!$C118,[2]data!$B$2:$B$218,[2]data!AC$2:AC$218)/100)</f>
        <v>39.493358215200004</v>
      </c>
      <c r="AH117">
        <f>[1]data!AE118*(_xlfn.XLOOKUP([1]data!$C118,[2]data!$B$2:$B$218,[2]data!AD$2:AD$218)/100)</f>
        <v>42.3623351305</v>
      </c>
      <c r="AI117">
        <f>[1]data!AF118*(_xlfn.XLOOKUP([1]data!$C118,[2]data!$B$2:$B$218,[2]data!AE$2:AE$218)/100)</f>
        <v>45.026414674560002</v>
      </c>
      <c r="AJ117">
        <f>[1]data!AG118*(_xlfn.XLOOKUP([1]data!$C118,[2]data!$B$2:$B$218,[2]data!AF$2:AF$218)/100)</f>
        <v>47.354464026000002</v>
      </c>
      <c r="AK117">
        <f>[1]data!AH118*(_xlfn.XLOOKUP([1]data!$C118,[2]data!$B$2:$B$218,[2]data!AG$2:AG$218)/100)</f>
        <v>49.353933300600069</v>
      </c>
      <c r="AL117">
        <f>[1]data!AI118*(_xlfn.XLOOKUP([1]data!$C118,[2]data!$B$2:$B$218,[2]data!AH$2:AH$218)/100)</f>
        <v>51.001779246350068</v>
      </c>
      <c r="AM117">
        <f>[1]data!AJ118*(_xlfn.XLOOKUP([1]data!$C118,[2]data!$B$2:$B$218,[2]data!AI$2:AI$218)/100)</f>
        <v>52.393405031880008</v>
      </c>
    </row>
    <row r="118" spans="1:39" x14ac:dyDescent="0.25">
      <c r="A118" t="s">
        <v>30</v>
      </c>
      <c r="B118" t="s">
        <v>31</v>
      </c>
      <c r="C118" t="s">
        <v>149</v>
      </c>
      <c r="D118" t="s">
        <v>378</v>
      </c>
      <c r="E118" t="str">
        <f>_xlfn.XLOOKUP(D118,[6]Feuil1!$C$2:$C$248,[6]Feuil1!$B$2:$B$248)</f>
        <v>MT</v>
      </c>
      <c r="F118" t="s">
        <v>33</v>
      </c>
      <c r="G118" t="str">
        <f>_xlfn.XLOOKUP(C118,[3]Sheet1!$B$2:$B$172,[3]Sheet1!$D$2:$D$172)</f>
        <v>Western Europe</v>
      </c>
      <c r="H118" t="s">
        <v>34</v>
      </c>
      <c r="I118">
        <f>[1]data!F119*(_xlfn.XLOOKUP([1]data!$C119,[2]data!$B$2:$B$218,[2]data!E$2:E$218)/100)</f>
        <v>0.25668097000000006</v>
      </c>
      <c r="J118">
        <f>[1]data!G119*(_xlfn.XLOOKUP([1]data!$C119,[2]data!$B$2:$B$218,[2]data!F$2:F$218)/100)</f>
        <v>0.28802541799999998</v>
      </c>
      <c r="K118">
        <f>[1]data!H119*(_xlfn.XLOOKUP([1]data!$C119,[2]data!$B$2:$B$218,[2]data!G$2:G$218)/100)</f>
        <v>0.30403614299999998</v>
      </c>
      <c r="L118">
        <f>[1]data!I119*(_xlfn.XLOOKUP([1]data!$C119,[2]data!$B$2:$B$218,[2]data!H$2:H$218)/100)</f>
        <v>0.294726294</v>
      </c>
      <c r="M118">
        <f>[1]data!J119*(_xlfn.XLOOKUP([1]data!$C119,[2]data!$B$2:$B$218,[2]data!I$2:I$218)/100)</f>
        <v>0.28321608900000006</v>
      </c>
      <c r="N118">
        <f>[1]data!K119*(_xlfn.XLOOKUP([1]data!$C119,[2]data!$B$2:$B$218,[2]data!J$2:J$218)/100)</f>
        <v>0.28566759000000003</v>
      </c>
      <c r="O118">
        <f>[1]data!L119*(_xlfn.XLOOKUP([1]data!$C119,[2]data!$B$2:$B$218,[2]data!K$2:K$218)/100)</f>
        <v>0.298183594</v>
      </c>
      <c r="P118">
        <f>[1]data!M119*(_xlfn.XLOOKUP([1]data!$C119,[2]data!$B$2:$B$218,[2]data!L$2:L$218)/100)</f>
        <v>0.31216635200000004</v>
      </c>
      <c r="Q118">
        <f>[1]data!N119*(_xlfn.XLOOKUP([1]data!$C119,[2]data!$B$2:$B$218,[2]data!M$2:M$218)/100)</f>
        <v>0.32876400800000005</v>
      </c>
      <c r="R118">
        <f>[1]data!O119*(_xlfn.XLOOKUP([1]data!$C119,[2]data!$B$2:$B$218,[2]data!N$2:N$218)/100)</f>
        <v>0.345573621</v>
      </c>
      <c r="S118">
        <f>[1]data!P119*(_xlfn.XLOOKUP([1]data!$C119,[2]data!$B$2:$B$218,[2]data!O$2:O$218)/100)</f>
        <v>0.367444308</v>
      </c>
      <c r="T118">
        <f>[1]data!Q119*(_xlfn.XLOOKUP([1]data!$C119,[2]data!$B$2:$B$218,[2]data!P$2:P$218)/100)</f>
        <v>0.383394024</v>
      </c>
      <c r="U118">
        <f>[1]data!R119*(_xlfn.XLOOKUP([1]data!$C119,[2]data!$B$2:$B$218,[2]data!Q$2:Q$218)/100)</f>
        <v>0.39218151099999998</v>
      </c>
      <c r="V118">
        <f>[1]data!S119*(_xlfn.XLOOKUP([1]data!$C119,[2]data!$B$2:$B$218,[2]data!R$2:R$218)/100)</f>
        <v>0.42597339200000001</v>
      </c>
      <c r="W118">
        <f>[1]data!T119*(_xlfn.XLOOKUP([1]data!$C119,[2]data!$B$2:$B$218,[2]data!S$2:S$218)/100)</f>
        <v>0.48257794200000004</v>
      </c>
      <c r="X118">
        <f>[1]data!U119*(_xlfn.XLOOKUP([1]data!$C119,[2]data!$B$2:$B$218,[2]data!T$2:T$218)/100)</f>
        <v>0.49101820289999909</v>
      </c>
      <c r="Y118">
        <f>[1]data!V119*(_xlfn.XLOOKUP([1]data!$C119,[2]data!$B$2:$B$218,[2]data!U$2:U$218)/100)</f>
        <v>0.49563274431999998</v>
      </c>
      <c r="Z118">
        <f>[1]data!W119*(_xlfn.XLOOKUP([1]data!$C119,[2]data!$B$2:$B$218,[2]data!V$2:V$218)/100)</f>
        <v>0.49662032159999997</v>
      </c>
      <c r="AA118">
        <f>[1]data!X119*(_xlfn.XLOOKUP([1]data!$C119,[2]data!$B$2:$B$218,[2]data!W$2:W$218)/100)</f>
        <v>0.49512645375999997</v>
      </c>
      <c r="AB118">
        <f>[1]data!Y119*(_xlfn.XLOOKUP([1]data!$C119,[2]data!$B$2:$B$218,[2]data!X$2:X$218)/100)</f>
        <v>0.49331752231999992</v>
      </c>
      <c r="AC118">
        <f>[1]data!Z119*(_xlfn.XLOOKUP([1]data!$C119,[2]data!$B$2:$B$218,[2]data!Y$2:Y$218)/100)</f>
        <v>0.4931251262500001</v>
      </c>
      <c r="AD118">
        <f>[1]data!AA119*(_xlfn.XLOOKUP([1]data!$C119,[2]data!$B$2:$B$218,[2]data!Z$2:Z$218)/100)</f>
        <v>0.49280732280000006</v>
      </c>
      <c r="AE118">
        <f>[1]data!AB119*(_xlfn.XLOOKUP([1]data!$C119,[2]data!$B$2:$B$218,[2]data!AA$2:AA$218)/100)</f>
        <v>0.49154073545999993</v>
      </c>
      <c r="AF118">
        <f>[1]data!AC119*(_xlfn.XLOOKUP([1]data!$C119,[2]data!$B$2:$B$218,[2]data!AB$2:AB$218)/100)</f>
        <v>0.48774990131999996</v>
      </c>
      <c r="AG118">
        <f>[1]data!AD119*(_xlfn.XLOOKUP([1]data!$C119,[2]data!$B$2:$B$218,[2]data!AC$2:AC$218)/100)</f>
        <v>0.48097086011999995</v>
      </c>
      <c r="AH118">
        <f>[1]data!AE119*(_xlfn.XLOOKUP([1]data!$C119,[2]data!$B$2:$B$218,[2]data!AD$2:AD$218)/100)</f>
        <v>0.47112417771000004</v>
      </c>
      <c r="AI118">
        <f>[1]data!AF119*(_xlfn.XLOOKUP([1]data!$C119,[2]data!$B$2:$B$218,[2]data!AE$2:AE$218)/100)</f>
        <v>0.45872882047000002</v>
      </c>
      <c r="AJ118">
        <f>[1]data!AG119*(_xlfn.XLOOKUP([1]data!$C119,[2]data!$B$2:$B$218,[2]data!AF$2:AF$218)/100)</f>
        <v>0.44444363595000003</v>
      </c>
      <c r="AK118">
        <f>[1]data!AH119*(_xlfn.XLOOKUP([1]data!$C119,[2]data!$B$2:$B$218,[2]data!AG$2:AG$218)/100)</f>
        <v>0.42924266348999995</v>
      </c>
      <c r="AL118">
        <f>[1]data!AI119*(_xlfn.XLOOKUP([1]data!$C119,[2]data!$B$2:$B$218,[2]data!AH$2:AH$218)/100)</f>
        <v>0.41426296367000004</v>
      </c>
      <c r="AM118">
        <f>[1]data!AJ119*(_xlfn.XLOOKUP([1]data!$C119,[2]data!$B$2:$B$218,[2]data!AI$2:AI$218)/100)</f>
        <v>0.40026815222000006</v>
      </c>
    </row>
    <row r="119" spans="1:39" x14ac:dyDescent="0.25">
      <c r="A119" t="s">
        <v>30</v>
      </c>
      <c r="B119" t="s">
        <v>31</v>
      </c>
      <c r="C119" t="s">
        <v>150</v>
      </c>
      <c r="D119" t="s">
        <v>379</v>
      </c>
      <c r="E119" t="str">
        <f>_xlfn.XLOOKUP(D119,[6]Feuil1!$C$2:$C$248,[6]Feuil1!$B$2:$B$248)</f>
        <v>MM</v>
      </c>
      <c r="F119" t="s">
        <v>33</v>
      </c>
      <c r="G119" t="str">
        <f>_xlfn.XLOOKUP(C119,[3]Sheet1!$B$2:$B$172,[3]Sheet1!$D$2:$D$172)</f>
        <v>Southeastern Asia</v>
      </c>
      <c r="H119" t="s">
        <v>34</v>
      </c>
      <c r="I119">
        <f>[1]data!F120*(_xlfn.XLOOKUP([1]data!$C120,[2]data!$B$2:$B$218,[2]data!E$2:E$218)/100)</f>
        <v>2.8468460879999999</v>
      </c>
      <c r="J119">
        <f>[1]data!G120*(_xlfn.XLOOKUP([1]data!$C120,[2]data!$B$2:$B$218,[2]data!F$2:F$218)/100)</f>
        <v>3.4004336960000003</v>
      </c>
      <c r="K119">
        <f>[1]data!H120*(_xlfn.XLOOKUP([1]data!$C120,[2]data!$B$2:$B$218,[2]data!G$2:G$218)/100)</f>
        <v>4.1246722560000002</v>
      </c>
      <c r="L119">
        <f>[1]data!I120*(_xlfn.XLOOKUP([1]data!$C120,[2]data!$B$2:$B$218,[2]data!H$2:H$218)/100)</f>
        <v>5.0412969599999995</v>
      </c>
      <c r="M119">
        <f>[1]data!J120*(_xlfn.XLOOKUP([1]data!$C120,[2]data!$B$2:$B$218,[2]data!I$2:I$218)/100)</f>
        <v>6.1489233360000002</v>
      </c>
      <c r="N119">
        <f>[1]data!K120*(_xlfn.XLOOKUP([1]data!$C120,[2]data!$B$2:$B$218,[2]data!J$2:J$218)/100)</f>
        <v>7.1810931850000008</v>
      </c>
      <c r="O119">
        <f>[1]data!L120*(_xlfn.XLOOKUP([1]data!$C120,[2]data!$B$2:$B$218,[2]data!K$2:K$218)/100)</f>
        <v>7.9538258399999995</v>
      </c>
      <c r="P119">
        <f>[1]data!M120*(_xlfn.XLOOKUP([1]data!$C120,[2]data!$B$2:$B$218,[2]data!L$2:L$218)/100)</f>
        <v>8.9125277319999991</v>
      </c>
      <c r="Q119">
        <f>[1]data!N120*(_xlfn.XLOOKUP([1]data!$C120,[2]data!$B$2:$B$218,[2]data!M$2:M$218)/100)</f>
        <v>10.029409740000002</v>
      </c>
      <c r="R119">
        <f>[1]data!O120*(_xlfn.XLOOKUP([1]data!$C120,[2]data!$B$2:$B$218,[2]data!N$2:N$218)/100)</f>
        <v>11.121741657000001</v>
      </c>
      <c r="S119">
        <f>[1]data!P120*(_xlfn.XLOOKUP([1]data!$C120,[2]data!$B$2:$B$218,[2]data!O$2:O$218)/100)</f>
        <v>12.2300793</v>
      </c>
      <c r="T119">
        <f>[1]data!Q120*(_xlfn.XLOOKUP([1]data!$C120,[2]data!$B$2:$B$218,[2]data!P$2:P$218)/100)</f>
        <v>13.263433451999999</v>
      </c>
      <c r="U119">
        <f>[1]data!R120*(_xlfn.XLOOKUP([1]data!$C120,[2]data!$B$2:$B$218,[2]data!Q$2:Q$218)/100)</f>
        <v>14.217990799999997</v>
      </c>
      <c r="V119">
        <f>[1]data!S120*(_xlfn.XLOOKUP([1]data!$C120,[2]data!$B$2:$B$218,[2]data!R$2:R$218)/100)</f>
        <v>15.332812091999999</v>
      </c>
      <c r="W119">
        <f>[1]data!T120*(_xlfn.XLOOKUP([1]data!$C120,[2]data!$B$2:$B$218,[2]data!S$2:S$218)/100)</f>
        <v>16.553899914000002</v>
      </c>
      <c r="X119">
        <f>[1]data!U120*(_xlfn.XLOOKUP([1]data!$C120,[2]data!$B$2:$B$218,[2]data!T$2:T$218)/100)</f>
        <v>18.792697277859965</v>
      </c>
      <c r="Y119">
        <f>[1]data!V120*(_xlfn.XLOOKUP([1]data!$C120,[2]data!$B$2:$B$218,[2]data!U$2:U$218)/100)</f>
        <v>20.997011780340003</v>
      </c>
      <c r="Z119">
        <f>[1]data!W120*(_xlfn.XLOOKUP([1]data!$C120,[2]data!$B$2:$B$218,[2]data!V$2:V$218)/100)</f>
        <v>23.054965420519959</v>
      </c>
      <c r="AA119">
        <f>[1]data!X120*(_xlfn.XLOOKUP([1]data!$C120,[2]data!$B$2:$B$218,[2]data!W$2:W$218)/100)</f>
        <v>24.912603771200001</v>
      </c>
      <c r="AB119">
        <f>[1]data!Y120*(_xlfn.XLOOKUP([1]data!$C120,[2]data!$B$2:$B$218,[2]data!X$2:X$218)/100)</f>
        <v>26.5716999534</v>
      </c>
      <c r="AC119">
        <f>[1]data!Z120*(_xlfn.XLOOKUP([1]data!$C120,[2]data!$B$2:$B$218,[2]data!Y$2:Y$218)/100)</f>
        <v>28.02943461924</v>
      </c>
      <c r="AD119">
        <f>[1]data!AA120*(_xlfn.XLOOKUP([1]data!$C120,[2]data!$B$2:$B$218,[2]data!Z$2:Z$218)/100)</f>
        <v>29.264845911439998</v>
      </c>
      <c r="AE119">
        <f>[1]data!AB120*(_xlfn.XLOOKUP([1]data!$C120,[2]data!$B$2:$B$218,[2]data!AA$2:AA$218)/100)</f>
        <v>30.274165947299945</v>
      </c>
      <c r="AF119">
        <f>[1]data!AC120*(_xlfn.XLOOKUP([1]data!$C120,[2]data!$B$2:$B$218,[2]data!AB$2:AB$218)/100)</f>
        <v>31.063779945399993</v>
      </c>
      <c r="AG119">
        <f>[1]data!AD120*(_xlfn.XLOOKUP([1]data!$C120,[2]data!$B$2:$B$218,[2]data!AC$2:AC$218)/100)</f>
        <v>31.653993822779999</v>
      </c>
      <c r="AH119">
        <f>[1]data!AE120*(_xlfn.XLOOKUP([1]data!$C120,[2]data!$B$2:$B$218,[2]data!AD$2:AD$218)/100)</f>
        <v>32.073752306700001</v>
      </c>
      <c r="AI119">
        <f>[1]data!AF120*(_xlfn.XLOOKUP([1]data!$C120,[2]data!$B$2:$B$218,[2]data!AE$2:AE$218)/100)</f>
        <v>32.349119912700004</v>
      </c>
      <c r="AJ119">
        <f>[1]data!AG120*(_xlfn.XLOOKUP([1]data!$C120,[2]data!$B$2:$B$218,[2]data!AF$2:AF$218)/100)</f>
        <v>32.491770504240002</v>
      </c>
      <c r="AK119">
        <f>[1]data!AH120*(_xlfn.XLOOKUP([1]data!$C120,[2]data!$B$2:$B$218,[2]data!AG$2:AG$218)/100)</f>
        <v>32.52511919298</v>
      </c>
      <c r="AL119">
        <f>[1]data!AI120*(_xlfn.XLOOKUP([1]data!$C120,[2]data!$B$2:$B$218,[2]data!AH$2:AH$218)/100)</f>
        <v>32.44433574704</v>
      </c>
      <c r="AM119">
        <f>[1]data!AJ120*(_xlfn.XLOOKUP([1]data!$C120,[2]data!$B$2:$B$218,[2]data!AI$2:AI$218)/100)</f>
        <v>32.261651727519933</v>
      </c>
    </row>
    <row r="120" spans="1:39" x14ac:dyDescent="0.25">
      <c r="A120" t="s">
        <v>30</v>
      </c>
      <c r="B120" t="s">
        <v>31</v>
      </c>
      <c r="C120" t="s">
        <v>151</v>
      </c>
      <c r="D120" t="s">
        <v>380</v>
      </c>
      <c r="E120" t="str">
        <f>_xlfn.XLOOKUP(D120,[6]Feuil1!$C$2:$C$248,[6]Feuil1!$B$2:$B$248)</f>
        <v>ME</v>
      </c>
      <c r="F120" t="s">
        <v>33</v>
      </c>
      <c r="G120" t="str">
        <f>_xlfn.XLOOKUP(C120,[3]Sheet1!$B$2:$B$172,[3]Sheet1!$D$2:$D$172)</f>
        <v>Central Europe</v>
      </c>
      <c r="H120" t="s">
        <v>34</v>
      </c>
      <c r="I120">
        <f>[1]data!F121*(_xlfn.XLOOKUP([1]data!$C121,[2]data!$B$2:$B$218,[2]data!E$2:E$218)/100)</f>
        <v>5.0667412000000002E-2</v>
      </c>
      <c r="J120">
        <f>[1]data!G121*(_xlfn.XLOOKUP([1]data!$C121,[2]data!$B$2:$B$218,[2]data!F$2:F$218)/100)</f>
        <v>6.7923790000000012E-2</v>
      </c>
      <c r="K120">
        <f>[1]data!H121*(_xlfn.XLOOKUP([1]data!$C121,[2]data!$B$2:$B$218,[2]data!G$2:G$218)/100)</f>
        <v>8.8346651999999998E-2</v>
      </c>
      <c r="L120">
        <f>[1]data!I121*(_xlfn.XLOOKUP([1]data!$C121,[2]data!$B$2:$B$218,[2]data!H$2:H$218)/100)</f>
        <v>0.11307367600000001</v>
      </c>
      <c r="M120">
        <f>[1]data!J121*(_xlfn.XLOOKUP([1]data!$C121,[2]data!$B$2:$B$218,[2]data!I$2:I$218)/100)</f>
        <v>0.14199299500000001</v>
      </c>
      <c r="N120">
        <f>[1]data!K121*(_xlfn.XLOOKUP([1]data!$C121,[2]data!$B$2:$B$218,[2]data!J$2:J$218)/100)</f>
        <v>0.17577974000000002</v>
      </c>
      <c r="O120">
        <f>[1]data!L121*(_xlfn.XLOOKUP([1]data!$C121,[2]data!$B$2:$B$218,[2]data!K$2:K$218)/100)</f>
        <v>0.21575361600000001</v>
      </c>
      <c r="P120">
        <f>[1]data!M121*(_xlfn.XLOOKUP([1]data!$C121,[2]data!$B$2:$B$218,[2]data!L$2:L$218)/100)</f>
        <v>0.25513541100000003</v>
      </c>
      <c r="Q120">
        <f>[1]data!N121*(_xlfn.XLOOKUP([1]data!$C121,[2]data!$B$2:$B$218,[2]data!M$2:M$218)/100)</f>
        <v>0.29742575999999998</v>
      </c>
      <c r="R120">
        <f>[1]data!O121*(_xlfn.XLOOKUP([1]data!$C121,[2]data!$B$2:$B$218,[2]data!N$2:N$218)/100)</f>
        <v>0.33721993200000006</v>
      </c>
      <c r="S120">
        <f>[1]data!P121*(_xlfn.XLOOKUP([1]data!$C121,[2]data!$B$2:$B$218,[2]data!O$2:O$218)/100)</f>
        <v>0.37058580000000002</v>
      </c>
      <c r="T120">
        <f>[1]data!Q121*(_xlfn.XLOOKUP([1]data!$C121,[2]data!$B$2:$B$218,[2]data!P$2:P$218)/100)</f>
        <v>0.39556312499999996</v>
      </c>
      <c r="U120">
        <f>[1]data!R121*(_xlfn.XLOOKUP([1]data!$C121,[2]data!$B$2:$B$218,[2]data!Q$2:Q$218)/100)</f>
        <v>0.40449407599999987</v>
      </c>
      <c r="V120">
        <f>[1]data!S121*(_xlfn.XLOOKUP([1]data!$C121,[2]data!$B$2:$B$218,[2]data!R$2:R$218)/100)</f>
        <v>0.41735294999999994</v>
      </c>
      <c r="W120">
        <f>[1]data!T121*(_xlfn.XLOOKUP([1]data!$C121,[2]data!$B$2:$B$218,[2]data!S$2:S$218)/100)</f>
        <v>0.42517440000000001</v>
      </c>
      <c r="X120">
        <f>[1]data!U121*(_xlfn.XLOOKUP([1]data!$C121,[2]data!$B$2:$B$218,[2]data!T$2:T$218)/100)</f>
        <v>0.44909548679999861</v>
      </c>
      <c r="Y120">
        <f>[1]data!V121*(_xlfn.XLOOKUP([1]data!$C121,[2]data!$B$2:$B$218,[2]data!U$2:U$218)/100)</f>
        <v>0.45470306609</v>
      </c>
      <c r="Z120">
        <f>[1]data!W121*(_xlfn.XLOOKUP([1]data!$C121,[2]data!$B$2:$B$218,[2]data!V$2:V$218)/100)</f>
        <v>0.45954256571999996</v>
      </c>
      <c r="AA120">
        <f>[1]data!X121*(_xlfn.XLOOKUP([1]data!$C121,[2]data!$B$2:$B$218,[2]data!W$2:W$218)/100)</f>
        <v>0.46435592000000003</v>
      </c>
      <c r="AB120">
        <f>[1]data!Y121*(_xlfn.XLOOKUP([1]data!$C121,[2]data!$B$2:$B$218,[2]data!X$2:X$218)/100)</f>
        <v>0.46904312615999999</v>
      </c>
      <c r="AC120">
        <f>[1]data!Z121*(_xlfn.XLOOKUP([1]data!$C121,[2]data!$B$2:$B$218,[2]data!Y$2:Y$218)/100)</f>
        <v>0.47349124217999999</v>
      </c>
      <c r="AD120">
        <f>[1]data!AA121*(_xlfn.XLOOKUP([1]data!$C121,[2]data!$B$2:$B$218,[2]data!Z$2:Z$218)/100)</f>
        <v>0.47724282035999921</v>
      </c>
      <c r="AE120">
        <f>[1]data!AB121*(_xlfn.XLOOKUP([1]data!$C121,[2]data!$B$2:$B$218,[2]data!AA$2:AA$218)/100)</f>
        <v>0.48004763507999998</v>
      </c>
      <c r="AF120">
        <f>[1]data!AC121*(_xlfn.XLOOKUP([1]data!$C121,[2]data!$B$2:$B$218,[2]data!AB$2:AB$218)/100)</f>
        <v>0.48181072529999991</v>
      </c>
      <c r="AG120">
        <f>[1]data!AD121*(_xlfn.XLOOKUP([1]data!$C121,[2]data!$B$2:$B$218,[2]data!AC$2:AC$218)/100)</f>
        <v>0.48255303823999918</v>
      </c>
      <c r="AH120">
        <f>[1]data!AE121*(_xlfn.XLOOKUP([1]data!$C121,[2]data!$B$2:$B$218,[2]data!AD$2:AD$218)/100)</f>
        <v>0.48230490975999996</v>
      </c>
      <c r="AI120">
        <f>[1]data!AF121*(_xlfn.XLOOKUP([1]data!$C121,[2]data!$B$2:$B$218,[2]data!AE$2:AE$218)/100)</f>
        <v>0.48122818118999994</v>
      </c>
      <c r="AJ120">
        <f>[1]data!AG121*(_xlfn.XLOOKUP([1]data!$C121,[2]data!$B$2:$B$218,[2]data!AF$2:AF$218)/100)</f>
        <v>0.47957182749999999</v>
      </c>
      <c r="AK120">
        <f>[1]data!AH121*(_xlfn.XLOOKUP([1]data!$C121,[2]data!$B$2:$B$218,[2]data!AG$2:AG$218)/100)</f>
        <v>0.47740846900000006</v>
      </c>
      <c r="AL120">
        <f>[1]data!AI121*(_xlfn.XLOOKUP([1]data!$C121,[2]data!$B$2:$B$218,[2]data!AH$2:AH$218)/100)</f>
        <v>0.47462354897999998</v>
      </c>
      <c r="AM120">
        <f>[1]data!AJ121*(_xlfn.XLOOKUP([1]data!$C121,[2]data!$B$2:$B$218,[2]data!AI$2:AI$218)/100)</f>
        <v>0.47107970595000009</v>
      </c>
    </row>
    <row r="121" spans="1:39" x14ac:dyDescent="0.25">
      <c r="A121" t="s">
        <v>30</v>
      </c>
      <c r="B121" t="s">
        <v>31</v>
      </c>
      <c r="C121" t="s">
        <v>152</v>
      </c>
      <c r="D121" t="s">
        <v>381</v>
      </c>
      <c r="E121" t="str">
        <f>_xlfn.XLOOKUP(D121,[6]Feuil1!$C$2:$C$248,[6]Feuil1!$B$2:$B$248)</f>
        <v>MN</v>
      </c>
      <c r="F121" t="s">
        <v>33</v>
      </c>
      <c r="G121" t="str">
        <f>_xlfn.XLOOKUP(C121,[3]Sheet1!$B$2:$B$172,[3]Sheet1!$D$2:$D$172)</f>
        <v>China region</v>
      </c>
      <c r="H121" t="s">
        <v>34</v>
      </c>
      <c r="I121">
        <f>[1]data!F122*(_xlfn.XLOOKUP([1]data!$C122,[2]data!$B$2:$B$218,[2]data!E$2:E$218)/100)</f>
        <v>0.1550684</v>
      </c>
      <c r="J121">
        <f>[1]data!G122*(_xlfn.XLOOKUP([1]data!$C122,[2]data!$B$2:$B$218,[2]data!F$2:F$218)/100)</f>
        <v>0.22277686200000002</v>
      </c>
      <c r="K121">
        <f>[1]data!H122*(_xlfn.XLOOKUP([1]data!$C122,[2]data!$B$2:$B$218,[2]data!G$2:G$218)/100)</f>
        <v>0.34312091100000008</v>
      </c>
      <c r="L121">
        <f>[1]data!I122*(_xlfn.XLOOKUP([1]data!$C122,[2]data!$B$2:$B$218,[2]data!H$2:H$218)/100)</f>
        <v>0.47091754899999999</v>
      </c>
      <c r="M121">
        <f>[1]data!J122*(_xlfn.XLOOKUP([1]data!$C122,[2]data!$B$2:$B$218,[2]data!I$2:I$218)/100)</f>
        <v>0.576125891</v>
      </c>
      <c r="N121">
        <f>[1]data!K122*(_xlfn.XLOOKUP([1]data!$C122,[2]data!$B$2:$B$218,[2]data!J$2:J$218)/100)</f>
        <v>0.71300257700000003</v>
      </c>
      <c r="O121">
        <f>[1]data!L122*(_xlfn.XLOOKUP([1]data!$C122,[2]data!$B$2:$B$218,[2]data!K$2:K$218)/100)</f>
        <v>0.87389153500000005</v>
      </c>
      <c r="P121">
        <f>[1]data!M122*(_xlfn.XLOOKUP([1]data!$C122,[2]data!$B$2:$B$218,[2]data!L$2:L$218)/100)</f>
        <v>1.0423248000000001</v>
      </c>
      <c r="Q121">
        <f>[1]data!N122*(_xlfn.XLOOKUP([1]data!$C122,[2]data!$B$2:$B$218,[2]data!M$2:M$218)/100)</f>
        <v>1.22073309</v>
      </c>
      <c r="R121">
        <f>[1]data!O122*(_xlfn.XLOOKUP([1]data!$C122,[2]data!$B$2:$B$218,[2]data!N$2:N$218)/100)</f>
        <v>1.3157498479999998</v>
      </c>
      <c r="S121">
        <f>[1]data!P122*(_xlfn.XLOOKUP([1]data!$C122,[2]data!$B$2:$B$218,[2]data!O$2:O$218)/100)</f>
        <v>1.3934461309999999</v>
      </c>
      <c r="T121">
        <f>[1]data!Q122*(_xlfn.XLOOKUP([1]data!$C122,[2]data!$B$2:$B$218,[2]data!P$2:P$218)/100)</f>
        <v>1.59288875</v>
      </c>
      <c r="U121">
        <f>[1]data!R122*(_xlfn.XLOOKUP([1]data!$C122,[2]data!$B$2:$B$218,[2]data!Q$2:Q$218)/100)</f>
        <v>1.81461384</v>
      </c>
      <c r="V121">
        <f>[1]data!S122*(_xlfn.XLOOKUP([1]data!$C122,[2]data!$B$2:$B$218,[2]data!R$2:R$218)/100)</f>
        <v>2.000211202</v>
      </c>
      <c r="W121">
        <f>[1]data!T122*(_xlfn.XLOOKUP([1]data!$C122,[2]data!$B$2:$B$218,[2]data!S$2:S$218)/100)</f>
        <v>2.2440580200000002</v>
      </c>
      <c r="X121">
        <f>[1]data!U122*(_xlfn.XLOOKUP([1]data!$C122,[2]data!$B$2:$B$218,[2]data!T$2:T$218)/100)</f>
        <v>2.4696226866599997</v>
      </c>
      <c r="Y121">
        <f>[1]data!V122*(_xlfn.XLOOKUP([1]data!$C122,[2]data!$B$2:$B$218,[2]data!U$2:U$218)/100)</f>
        <v>2.6832085887000003</v>
      </c>
      <c r="Z121">
        <f>[1]data!W122*(_xlfn.XLOOKUP([1]data!$C122,[2]data!$B$2:$B$218,[2]data!V$2:V$218)/100)</f>
        <v>2.8970600787599996</v>
      </c>
      <c r="AA121">
        <f>[1]data!X122*(_xlfn.XLOOKUP([1]data!$C122,[2]data!$B$2:$B$218,[2]data!W$2:W$218)/100)</f>
        <v>3.1155713188599998</v>
      </c>
      <c r="AB121">
        <f>[1]data!Y122*(_xlfn.XLOOKUP([1]data!$C122,[2]data!$B$2:$B$218,[2]data!X$2:X$218)/100)</f>
        <v>3.3381119625100077</v>
      </c>
      <c r="AC121">
        <f>[1]data!Z122*(_xlfn.XLOOKUP([1]data!$C122,[2]data!$B$2:$B$218,[2]data!Y$2:Y$218)/100)</f>
        <v>3.5594283518400007</v>
      </c>
      <c r="AD121">
        <f>[1]data!AA122*(_xlfn.XLOOKUP([1]data!$C122,[2]data!$B$2:$B$218,[2]data!Z$2:Z$218)/100)</f>
        <v>3.7641866080600006</v>
      </c>
      <c r="AE121">
        <f>[1]data!AB122*(_xlfn.XLOOKUP([1]data!$C122,[2]data!$B$2:$B$218,[2]data!AA$2:AA$218)/100)</f>
        <v>3.9405857672899995</v>
      </c>
      <c r="AF121">
        <f>[1]data!AC122*(_xlfn.XLOOKUP([1]data!$C122,[2]data!$B$2:$B$218,[2]data!AB$2:AB$218)/100)</f>
        <v>4.0954448502499989</v>
      </c>
      <c r="AG121">
        <f>[1]data!AD122*(_xlfn.XLOOKUP([1]data!$C122,[2]data!$B$2:$B$218,[2]data!AC$2:AC$218)/100)</f>
        <v>4.2310883358399991</v>
      </c>
      <c r="AH121">
        <f>[1]data!AE122*(_xlfn.XLOOKUP([1]data!$C122,[2]data!$B$2:$B$218,[2]data!AD$2:AD$218)/100)</f>
        <v>4.3517669258199998</v>
      </c>
      <c r="AI121">
        <f>[1]data!AF122*(_xlfn.XLOOKUP([1]data!$C122,[2]data!$B$2:$B$218,[2]data!AE$2:AE$218)/100)</f>
        <v>4.4629817197499992</v>
      </c>
      <c r="AJ121">
        <f>[1]data!AG122*(_xlfn.XLOOKUP([1]data!$C122,[2]data!$B$2:$B$218,[2]data!AF$2:AF$218)/100)</f>
        <v>4.5677171291600001</v>
      </c>
      <c r="AK121">
        <f>[1]data!AH122*(_xlfn.XLOOKUP([1]data!$C122,[2]data!$B$2:$B$218,[2]data!AG$2:AG$218)/100)</f>
        <v>4.6621560463799998</v>
      </c>
      <c r="AL121">
        <f>[1]data!AI122*(_xlfn.XLOOKUP([1]data!$C122,[2]data!$B$2:$B$218,[2]data!AH$2:AH$218)/100)</f>
        <v>4.7422789439000095</v>
      </c>
      <c r="AM121">
        <f>[1]data!AJ122*(_xlfn.XLOOKUP([1]data!$C122,[2]data!$B$2:$B$218,[2]data!AI$2:AI$218)/100)</f>
        <v>4.8011161063100003</v>
      </c>
    </row>
    <row r="122" spans="1:39" x14ac:dyDescent="0.25">
      <c r="A122" t="s">
        <v>30</v>
      </c>
      <c r="B122" t="s">
        <v>31</v>
      </c>
      <c r="C122" t="s">
        <v>153</v>
      </c>
      <c r="D122" t="s">
        <v>382</v>
      </c>
      <c r="E122" t="str">
        <f>_xlfn.XLOOKUP(D122,[6]Feuil1!$C$2:$C$248,[6]Feuil1!$B$2:$B$248)</f>
        <v>MZ</v>
      </c>
      <c r="F122" t="s">
        <v>33</v>
      </c>
      <c r="G122" t="str">
        <f>_xlfn.XLOOKUP(C122,[3]Sheet1!$B$2:$B$172,[3]Sheet1!$D$2:$D$172)</f>
        <v>Rest of Southern Africa</v>
      </c>
      <c r="H122" t="s">
        <v>34</v>
      </c>
      <c r="I122">
        <f>[1]data!F123*(_xlfn.XLOOKUP([1]data!$C123,[2]data!$B$2:$B$218,[2]data!E$2:E$218)/100)</f>
        <v>0.323314145</v>
      </c>
      <c r="J122">
        <f>[1]data!G123*(_xlfn.XLOOKUP([1]data!$C123,[2]data!$B$2:$B$218,[2]data!F$2:F$218)/100)</f>
        <v>0.38290968799999997</v>
      </c>
      <c r="K122">
        <f>[1]data!H123*(_xlfn.XLOOKUP([1]data!$C123,[2]data!$B$2:$B$218,[2]data!G$2:G$218)/100)</f>
        <v>0.46427132999999998</v>
      </c>
      <c r="L122">
        <f>[1]data!I123*(_xlfn.XLOOKUP([1]data!$C123,[2]data!$B$2:$B$218,[2]data!H$2:H$218)/100)</f>
        <v>0.58788260800000003</v>
      </c>
      <c r="M122">
        <f>[1]data!J123*(_xlfn.XLOOKUP([1]data!$C123,[2]data!$B$2:$B$218,[2]data!I$2:I$218)/100)</f>
        <v>0.74800917</v>
      </c>
      <c r="N122">
        <f>[1]data!K123*(_xlfn.XLOOKUP([1]data!$C123,[2]data!$B$2:$B$218,[2]data!J$2:J$218)/100)</f>
        <v>1.040801324</v>
      </c>
      <c r="O122">
        <f>[1]data!L123*(_xlfn.XLOOKUP([1]data!$C123,[2]data!$B$2:$B$218,[2]data!K$2:K$218)/100)</f>
        <v>1.4943706800000001</v>
      </c>
      <c r="P122">
        <f>[1]data!M123*(_xlfn.XLOOKUP([1]data!$C123,[2]data!$B$2:$B$218,[2]data!L$2:L$218)/100)</f>
        <v>2.2976744339999997</v>
      </c>
      <c r="Q122">
        <f>[1]data!N123*(_xlfn.XLOOKUP([1]data!$C123,[2]data!$B$2:$B$218,[2]data!M$2:M$218)/100)</f>
        <v>3.2940469999999999</v>
      </c>
      <c r="R122">
        <f>[1]data!O123*(_xlfn.XLOOKUP([1]data!$C123,[2]data!$B$2:$B$218,[2]data!N$2:N$218)/100)</f>
        <v>4.2227297750000004</v>
      </c>
      <c r="S122">
        <f>[1]data!P123*(_xlfn.XLOOKUP([1]data!$C123,[2]data!$B$2:$B$218,[2]data!O$2:O$218)/100)</f>
        <v>5.1064732380000004</v>
      </c>
      <c r="T122">
        <f>[1]data!Q123*(_xlfn.XLOOKUP([1]data!$C123,[2]data!$B$2:$B$218,[2]data!P$2:P$218)/100)</f>
        <v>5.9858291999999995</v>
      </c>
      <c r="U122">
        <f>[1]data!R123*(_xlfn.XLOOKUP([1]data!$C123,[2]data!$B$2:$B$218,[2]data!Q$2:Q$218)/100)</f>
        <v>7.2315438720000005</v>
      </c>
      <c r="V122">
        <f>[1]data!S123*(_xlfn.XLOOKUP([1]data!$C123,[2]data!$B$2:$B$218,[2]data!R$2:R$218)/100)</f>
        <v>9.0936637359999981</v>
      </c>
      <c r="W122">
        <f>[1]data!T123*(_xlfn.XLOOKUP([1]data!$C123,[2]data!$B$2:$B$218,[2]data!S$2:S$218)/100)</f>
        <v>11.397398621000001</v>
      </c>
      <c r="X122">
        <f>[1]data!U123*(_xlfn.XLOOKUP([1]data!$C123,[2]data!$B$2:$B$218,[2]data!T$2:T$218)/100)</f>
        <v>13.95162506512</v>
      </c>
      <c r="Y122">
        <f>[1]data!V123*(_xlfn.XLOOKUP([1]data!$C123,[2]data!$B$2:$B$218,[2]data!U$2:U$218)/100)</f>
        <v>16.830414682139956</v>
      </c>
      <c r="Z122">
        <f>[1]data!W123*(_xlfn.XLOOKUP([1]data!$C123,[2]data!$B$2:$B$218,[2]data!V$2:V$218)/100)</f>
        <v>19.9865151451</v>
      </c>
      <c r="AA122">
        <f>[1]data!X123*(_xlfn.XLOOKUP([1]data!$C123,[2]data!$B$2:$B$218,[2]data!W$2:W$218)/100)</f>
        <v>23.365049712080005</v>
      </c>
      <c r="AB122">
        <f>[1]data!Y123*(_xlfn.XLOOKUP([1]data!$C123,[2]data!$B$2:$B$218,[2]data!X$2:X$218)/100)</f>
        <v>26.914902889859999</v>
      </c>
      <c r="AC122">
        <f>[1]data!Z123*(_xlfn.XLOOKUP([1]data!$C123,[2]data!$B$2:$B$218,[2]data!Y$2:Y$218)/100)</f>
        <v>30.5566137828</v>
      </c>
      <c r="AD122">
        <f>[1]data!AA123*(_xlfn.XLOOKUP([1]data!$C123,[2]data!$B$2:$B$218,[2]data!Z$2:Z$218)/100)</f>
        <v>34.235373141199943</v>
      </c>
      <c r="AE122">
        <f>[1]data!AB123*(_xlfn.XLOOKUP([1]data!$C123,[2]data!$B$2:$B$218,[2]data!AA$2:AA$218)/100)</f>
        <v>37.871218061159993</v>
      </c>
      <c r="AF122">
        <f>[1]data!AC123*(_xlfn.XLOOKUP([1]data!$C123,[2]data!$B$2:$B$218,[2]data!AB$2:AB$218)/100)</f>
        <v>41.366101456979948</v>
      </c>
      <c r="AG122">
        <f>[1]data!AD123*(_xlfn.XLOOKUP([1]data!$C123,[2]data!$B$2:$B$218,[2]data!AC$2:AC$218)/100)</f>
        <v>44.682635327360003</v>
      </c>
      <c r="AH122">
        <f>[1]data!AE123*(_xlfn.XLOOKUP([1]data!$C123,[2]data!$B$2:$B$218,[2]data!AD$2:AD$218)/100)</f>
        <v>47.674938826320002</v>
      </c>
      <c r="AI122">
        <f>[1]data!AF123*(_xlfn.XLOOKUP([1]data!$C123,[2]data!$B$2:$B$218,[2]data!AE$2:AE$218)/100)</f>
        <v>50.32314404028007</v>
      </c>
      <c r="AJ122">
        <f>[1]data!AG123*(_xlfn.XLOOKUP([1]data!$C123,[2]data!$B$2:$B$218,[2]data!AF$2:AF$218)/100)</f>
        <v>52.568989315540001</v>
      </c>
      <c r="AK122">
        <f>[1]data!AH123*(_xlfn.XLOOKUP([1]data!$C123,[2]data!$B$2:$B$218,[2]data!AG$2:AG$218)/100)</f>
        <v>54.478712104900012</v>
      </c>
      <c r="AL122">
        <f>[1]data!AI123*(_xlfn.XLOOKUP([1]data!$C123,[2]data!$B$2:$B$218,[2]data!AH$2:AH$218)/100)</f>
        <v>56.088652259609994</v>
      </c>
      <c r="AM122">
        <f>[1]data!AJ123*(_xlfn.XLOOKUP([1]data!$C123,[2]data!$B$2:$B$218,[2]data!AI$2:AI$218)/100)</f>
        <v>57.411129522479996</v>
      </c>
    </row>
    <row r="123" spans="1:39" x14ac:dyDescent="0.25">
      <c r="A123" t="s">
        <v>30</v>
      </c>
      <c r="B123" t="s">
        <v>31</v>
      </c>
      <c r="C123" t="s">
        <v>154</v>
      </c>
      <c r="D123" t="s">
        <v>383</v>
      </c>
      <c r="E123" t="str">
        <f>_xlfn.XLOOKUP(D123,[6]Feuil1!$C$2:$C$248,[6]Feuil1!$B$2:$B$248)</f>
        <v>MR</v>
      </c>
      <c r="F123" t="s">
        <v>33</v>
      </c>
      <c r="G123" t="str">
        <f>_xlfn.XLOOKUP(C123,[3]Sheet1!$B$2:$B$172,[3]Sheet1!$D$2:$D$172)</f>
        <v>Western Africa</v>
      </c>
      <c r="H123" t="s">
        <v>34</v>
      </c>
      <c r="I123">
        <f>[1]data!F124*(_xlfn.XLOOKUP([1]data!$C124,[2]data!$B$2:$B$218,[2]data!E$2:E$218)/100)</f>
        <v>2.0191633E-2</v>
      </c>
      <c r="J123">
        <f>[1]data!G124*(_xlfn.XLOOKUP([1]data!$C124,[2]data!$B$2:$B$218,[2]data!F$2:F$218)/100)</f>
        <v>3.3566015999999997E-2</v>
      </c>
      <c r="K123">
        <f>[1]data!H124*(_xlfn.XLOOKUP([1]data!$C124,[2]data!$B$2:$B$218,[2]data!G$2:G$218)/100)</f>
        <v>5.7075489000000007E-2</v>
      </c>
      <c r="L123">
        <f>[1]data!I124*(_xlfn.XLOOKUP([1]data!$C124,[2]data!$B$2:$B$218,[2]data!H$2:H$218)/100)</f>
        <v>9.6091601999999998E-2</v>
      </c>
      <c r="M123">
        <f>[1]data!J124*(_xlfn.XLOOKUP([1]data!$C124,[2]data!$B$2:$B$218,[2]data!I$2:I$218)/100)</f>
        <v>0.161374822</v>
      </c>
      <c r="N123">
        <f>[1]data!K124*(_xlfn.XLOOKUP([1]data!$C124,[2]data!$B$2:$B$218,[2]data!J$2:J$218)/100)</f>
        <v>0.26432024799999998</v>
      </c>
      <c r="O123">
        <f>[1]data!L124*(_xlfn.XLOOKUP([1]data!$C124,[2]data!$B$2:$B$218,[2]data!K$2:K$218)/100)</f>
        <v>0.40679957999999999</v>
      </c>
      <c r="P123">
        <f>[1]data!M124*(_xlfn.XLOOKUP([1]data!$C124,[2]data!$B$2:$B$218,[2]data!L$2:L$218)/100)</f>
        <v>0.60223450000000001</v>
      </c>
      <c r="Q123">
        <f>[1]data!N124*(_xlfn.XLOOKUP([1]data!$C124,[2]data!$B$2:$B$218,[2]data!M$2:M$218)/100)</f>
        <v>0.77673030899999995</v>
      </c>
      <c r="R123">
        <f>[1]data!O124*(_xlfn.XLOOKUP([1]data!$C124,[2]data!$B$2:$B$218,[2]data!N$2:N$218)/100)</f>
        <v>0.91113112800000007</v>
      </c>
      <c r="S123">
        <f>[1]data!P124*(_xlfn.XLOOKUP([1]data!$C124,[2]data!$B$2:$B$218,[2]data!O$2:O$218)/100)</f>
        <v>1.012500642</v>
      </c>
      <c r="T123">
        <f>[1]data!Q124*(_xlfn.XLOOKUP([1]data!$C124,[2]data!$B$2:$B$218,[2]data!P$2:P$218)/100)</f>
        <v>1.2540684850000001</v>
      </c>
      <c r="U123">
        <f>[1]data!R124*(_xlfn.XLOOKUP([1]data!$C124,[2]data!$B$2:$B$218,[2]data!Q$2:Q$218)/100)</f>
        <v>1.5699782320000002</v>
      </c>
      <c r="V123">
        <f>[1]data!S124*(_xlfn.XLOOKUP([1]data!$C124,[2]data!$B$2:$B$218,[2]data!R$2:R$218)/100)</f>
        <v>1.989848308</v>
      </c>
      <c r="W123">
        <f>[1]data!T124*(_xlfn.XLOOKUP([1]data!$C124,[2]data!$B$2:$B$218,[2]data!S$2:S$218)/100)</f>
        <v>2.4558331839999989</v>
      </c>
      <c r="X123">
        <f>[1]data!U124*(_xlfn.XLOOKUP([1]data!$C124,[2]data!$B$2:$B$218,[2]data!T$2:T$218)/100)</f>
        <v>2.9049583159800001</v>
      </c>
      <c r="Y123">
        <f>[1]data!V124*(_xlfn.XLOOKUP([1]data!$C124,[2]data!$B$2:$B$218,[2]data!U$2:U$218)/100)</f>
        <v>3.3981812864999998</v>
      </c>
      <c r="Z123">
        <f>[1]data!W124*(_xlfn.XLOOKUP([1]data!$C124,[2]data!$B$2:$B$218,[2]data!V$2:V$218)/100)</f>
        <v>3.9184525024799997</v>
      </c>
      <c r="AA123">
        <f>[1]data!X124*(_xlfn.XLOOKUP([1]data!$C124,[2]data!$B$2:$B$218,[2]data!W$2:W$218)/100)</f>
        <v>4.4526847341000009</v>
      </c>
      <c r="AB123">
        <f>[1]data!Y124*(_xlfn.XLOOKUP([1]data!$C124,[2]data!$B$2:$B$218,[2]data!X$2:X$218)/100)</f>
        <v>4.9906935904100003</v>
      </c>
      <c r="AC123">
        <f>[1]data!Z124*(_xlfn.XLOOKUP([1]data!$C124,[2]data!$B$2:$B$218,[2]data!Y$2:Y$218)/100)</f>
        <v>5.5178500855500001</v>
      </c>
      <c r="AD123">
        <f>[1]data!AA124*(_xlfn.XLOOKUP([1]data!$C124,[2]data!$B$2:$B$218,[2]data!Z$2:Z$218)/100)</f>
        <v>6.0271333633000008</v>
      </c>
      <c r="AE123">
        <f>[1]data!AB124*(_xlfn.XLOOKUP([1]data!$C124,[2]data!$B$2:$B$218,[2]data!AA$2:AA$218)/100)</f>
        <v>6.5115617596600002</v>
      </c>
      <c r="AF123">
        <f>[1]data!AC124*(_xlfn.XLOOKUP([1]data!$C124,[2]data!$B$2:$B$218,[2]data!AB$2:AB$218)/100)</f>
        <v>6.9667956635400001</v>
      </c>
      <c r="AG123">
        <f>[1]data!AD124*(_xlfn.XLOOKUP([1]data!$C124,[2]data!$B$2:$B$218,[2]data!AC$2:AC$218)/100)</f>
        <v>7.3875719174400079</v>
      </c>
      <c r="AH123">
        <f>[1]data!AE124*(_xlfn.XLOOKUP([1]data!$C124,[2]data!$B$2:$B$218,[2]data!AD$2:AD$218)/100)</f>
        <v>7.7579013685000007</v>
      </c>
      <c r="AI123">
        <f>[1]data!AF124*(_xlfn.XLOOKUP([1]data!$C124,[2]data!$B$2:$B$218,[2]data!AE$2:AE$218)/100)</f>
        <v>8.0700829892200012</v>
      </c>
      <c r="AJ123">
        <f>[1]data!AG124*(_xlfn.XLOOKUP([1]data!$C124,[2]data!$B$2:$B$218,[2]data!AF$2:AF$218)/100)</f>
        <v>8.3378066834899993</v>
      </c>
      <c r="AK123">
        <f>[1]data!AH124*(_xlfn.XLOOKUP([1]data!$C124,[2]data!$B$2:$B$218,[2]data!AG$2:AG$218)/100)</f>
        <v>8.5641542948499989</v>
      </c>
      <c r="AL123">
        <f>[1]data!AI124*(_xlfn.XLOOKUP([1]data!$C124,[2]data!$B$2:$B$218,[2]data!AH$2:AH$218)/100)</f>
        <v>8.7508694878199993</v>
      </c>
      <c r="AM123">
        <f>[1]data!AJ124*(_xlfn.XLOOKUP([1]data!$C124,[2]data!$B$2:$B$218,[2]data!AI$2:AI$218)/100)</f>
        <v>8.8982583819999999</v>
      </c>
    </row>
    <row r="124" spans="1:39" x14ac:dyDescent="0.25">
      <c r="A124" t="s">
        <v>30</v>
      </c>
      <c r="B124" t="s">
        <v>31</v>
      </c>
      <c r="C124" t="s">
        <v>155</v>
      </c>
      <c r="D124" t="e">
        <v>#N/A</v>
      </c>
      <c r="E124" t="e">
        <f>_xlfn.XLOOKUP(D124,[6]Feuil1!$C$2:$C$248,[6]Feuil1!$B$2:$B$248)</f>
        <v>#N/A</v>
      </c>
      <c r="F124" t="s">
        <v>33</v>
      </c>
      <c r="G124" t="e">
        <f>_xlfn.XLOOKUP(C124,[3]Sheet1!$B$2:$B$172,[3]Sheet1!$D$2:$D$172)</f>
        <v>#N/A</v>
      </c>
      <c r="H124" t="s">
        <v>34</v>
      </c>
      <c r="I124" t="e">
        <f>[1]data!F125*(_xlfn.XLOOKUP([1]data!$C125,[2]data!$B$2:$B$218,[2]data!E$2:E$218)/100)</f>
        <v>#N/A</v>
      </c>
      <c r="J124" t="e">
        <f>[1]data!G125*(_xlfn.XLOOKUP([1]data!$C125,[2]data!$B$2:$B$218,[2]data!F$2:F$218)/100)</f>
        <v>#N/A</v>
      </c>
      <c r="K124" t="e">
        <f>[1]data!H125*(_xlfn.XLOOKUP([1]data!$C125,[2]data!$B$2:$B$218,[2]data!G$2:G$218)/100)</f>
        <v>#N/A</v>
      </c>
      <c r="L124" t="e">
        <f>[1]data!I125*(_xlfn.XLOOKUP([1]data!$C125,[2]data!$B$2:$B$218,[2]data!H$2:H$218)/100)</f>
        <v>#N/A</v>
      </c>
      <c r="M124" t="e">
        <f>[1]data!J125*(_xlfn.XLOOKUP([1]data!$C125,[2]data!$B$2:$B$218,[2]data!I$2:I$218)/100)</f>
        <v>#N/A</v>
      </c>
      <c r="N124" t="e">
        <f>[1]data!K125*(_xlfn.XLOOKUP([1]data!$C125,[2]data!$B$2:$B$218,[2]data!J$2:J$218)/100)</f>
        <v>#N/A</v>
      </c>
      <c r="O124" t="e">
        <f>[1]data!L125*(_xlfn.XLOOKUP([1]data!$C125,[2]data!$B$2:$B$218,[2]data!K$2:K$218)/100)</f>
        <v>#N/A</v>
      </c>
      <c r="P124" t="e">
        <f>[1]data!M125*(_xlfn.XLOOKUP([1]data!$C125,[2]data!$B$2:$B$218,[2]data!L$2:L$218)/100)</f>
        <v>#N/A</v>
      </c>
      <c r="Q124" t="e">
        <f>[1]data!N125*(_xlfn.XLOOKUP([1]data!$C125,[2]data!$B$2:$B$218,[2]data!M$2:M$218)/100)</f>
        <v>#N/A</v>
      </c>
      <c r="R124" t="e">
        <f>[1]data!O125*(_xlfn.XLOOKUP([1]data!$C125,[2]data!$B$2:$B$218,[2]data!N$2:N$218)/100)</f>
        <v>#N/A</v>
      </c>
      <c r="S124" t="e">
        <f>[1]data!P125*(_xlfn.XLOOKUP([1]data!$C125,[2]data!$B$2:$B$218,[2]data!O$2:O$218)/100)</f>
        <v>#N/A</v>
      </c>
      <c r="T124" t="e">
        <f>[1]data!Q125*(_xlfn.XLOOKUP([1]data!$C125,[2]data!$B$2:$B$218,[2]data!P$2:P$218)/100)</f>
        <v>#N/A</v>
      </c>
      <c r="U124" t="e">
        <f>[1]data!R125*(_xlfn.XLOOKUP([1]data!$C125,[2]data!$B$2:$B$218,[2]data!Q$2:Q$218)/100)</f>
        <v>#N/A</v>
      </c>
      <c r="V124" t="e">
        <f>[1]data!S125*(_xlfn.XLOOKUP([1]data!$C125,[2]data!$B$2:$B$218,[2]data!R$2:R$218)/100)</f>
        <v>#N/A</v>
      </c>
      <c r="W124" t="e">
        <f>[1]data!T125*(_xlfn.XLOOKUP([1]data!$C125,[2]data!$B$2:$B$218,[2]data!S$2:S$218)/100)</f>
        <v>#N/A</v>
      </c>
      <c r="X124" t="e">
        <f>[1]data!U125*(_xlfn.XLOOKUP([1]data!$C125,[2]data!$B$2:$B$218,[2]data!T$2:T$218)/100)</f>
        <v>#N/A</v>
      </c>
      <c r="Y124" t="e">
        <f>[1]data!V125*(_xlfn.XLOOKUP([1]data!$C125,[2]data!$B$2:$B$218,[2]data!U$2:U$218)/100)</f>
        <v>#N/A</v>
      </c>
      <c r="Z124" t="e">
        <f>[1]data!W125*(_xlfn.XLOOKUP([1]data!$C125,[2]data!$B$2:$B$218,[2]data!V$2:V$218)/100)</f>
        <v>#N/A</v>
      </c>
      <c r="AA124" t="e">
        <f>[1]data!X125*(_xlfn.XLOOKUP([1]data!$C125,[2]data!$B$2:$B$218,[2]data!W$2:W$218)/100)</f>
        <v>#N/A</v>
      </c>
      <c r="AB124" t="e">
        <f>[1]data!Y125*(_xlfn.XLOOKUP([1]data!$C125,[2]data!$B$2:$B$218,[2]data!X$2:X$218)/100)</f>
        <v>#N/A</v>
      </c>
      <c r="AC124" t="e">
        <f>[1]data!Z125*(_xlfn.XLOOKUP([1]data!$C125,[2]data!$B$2:$B$218,[2]data!Y$2:Y$218)/100)</f>
        <v>#N/A</v>
      </c>
      <c r="AD124" t="e">
        <f>[1]data!AA125*(_xlfn.XLOOKUP([1]data!$C125,[2]data!$B$2:$B$218,[2]data!Z$2:Z$218)/100)</f>
        <v>#N/A</v>
      </c>
      <c r="AE124" t="e">
        <f>[1]data!AB125*(_xlfn.XLOOKUP([1]data!$C125,[2]data!$B$2:$B$218,[2]data!AA$2:AA$218)/100)</f>
        <v>#N/A</v>
      </c>
      <c r="AF124" t="e">
        <f>[1]data!AC125*(_xlfn.XLOOKUP([1]data!$C125,[2]data!$B$2:$B$218,[2]data!AB$2:AB$218)/100)</f>
        <v>#N/A</v>
      </c>
      <c r="AG124" t="e">
        <f>[1]data!AD125*(_xlfn.XLOOKUP([1]data!$C125,[2]data!$B$2:$B$218,[2]data!AC$2:AC$218)/100)</f>
        <v>#N/A</v>
      </c>
      <c r="AH124" t="e">
        <f>[1]data!AE125*(_xlfn.XLOOKUP([1]data!$C125,[2]data!$B$2:$B$218,[2]data!AD$2:AD$218)/100)</f>
        <v>#N/A</v>
      </c>
      <c r="AI124" t="e">
        <f>[1]data!AF125*(_xlfn.XLOOKUP([1]data!$C125,[2]data!$B$2:$B$218,[2]data!AE$2:AE$218)/100)</f>
        <v>#N/A</v>
      </c>
      <c r="AJ124" t="e">
        <f>[1]data!AG125*(_xlfn.XLOOKUP([1]data!$C125,[2]data!$B$2:$B$218,[2]data!AF$2:AF$218)/100)</f>
        <v>#N/A</v>
      </c>
      <c r="AK124" t="e">
        <f>[1]data!AH125*(_xlfn.XLOOKUP([1]data!$C125,[2]data!$B$2:$B$218,[2]data!AG$2:AG$218)/100)</f>
        <v>#N/A</v>
      </c>
      <c r="AL124" t="e">
        <f>[1]data!AI125*(_xlfn.XLOOKUP([1]data!$C125,[2]data!$B$2:$B$218,[2]data!AH$2:AH$218)/100)</f>
        <v>#N/A</v>
      </c>
      <c r="AM124" t="e">
        <f>[1]data!AJ125*(_xlfn.XLOOKUP([1]data!$C125,[2]data!$B$2:$B$218,[2]data!AI$2:AI$218)/100)</f>
        <v>#N/A</v>
      </c>
    </row>
    <row r="125" spans="1:39" x14ac:dyDescent="0.25">
      <c r="A125" t="s">
        <v>30</v>
      </c>
      <c r="B125" t="s">
        <v>31</v>
      </c>
      <c r="C125" t="s">
        <v>156</v>
      </c>
      <c r="D125" t="s">
        <v>384</v>
      </c>
      <c r="E125" t="str">
        <f>_xlfn.XLOOKUP(D125,[6]Feuil1!$C$2:$C$248,[6]Feuil1!$B$2:$B$248)</f>
        <v>MU</v>
      </c>
      <c r="F125" t="s">
        <v>33</v>
      </c>
      <c r="G125" t="str">
        <f>_xlfn.XLOOKUP(C125,[3]Sheet1!$B$2:$B$172,[3]Sheet1!$D$2:$D$172)</f>
        <v>Eastern Africa</v>
      </c>
      <c r="H125" t="s">
        <v>34</v>
      </c>
      <c r="I125">
        <f>[1]data!F126*(_xlfn.XLOOKUP([1]data!$C126,[2]data!$B$2:$B$218,[2]data!E$2:E$218)/100)</f>
        <v>0.15175173199999997</v>
      </c>
      <c r="J125">
        <f>[1]data!G126*(_xlfn.XLOOKUP([1]data!$C126,[2]data!$B$2:$B$218,[2]data!F$2:F$218)/100)</f>
        <v>0.18635594400000002</v>
      </c>
      <c r="K125">
        <f>[1]data!H126*(_xlfn.XLOOKUP([1]data!$C126,[2]data!$B$2:$B$218,[2]data!G$2:G$218)/100)</f>
        <v>0.23460629400000005</v>
      </c>
      <c r="L125">
        <f>[1]data!I126*(_xlfn.XLOOKUP([1]data!$C126,[2]data!$B$2:$B$218,[2]data!H$2:H$218)/100)</f>
        <v>0.29122892</v>
      </c>
      <c r="M125">
        <f>[1]data!J126*(_xlfn.XLOOKUP([1]data!$C126,[2]data!$B$2:$B$218,[2]data!I$2:I$218)/100)</f>
        <v>0.35092729800000005</v>
      </c>
      <c r="N125">
        <f>[1]data!K126*(_xlfn.XLOOKUP([1]data!$C126,[2]data!$B$2:$B$218,[2]data!J$2:J$218)/100)</f>
        <v>0.38298330000000003</v>
      </c>
      <c r="O125">
        <f>[1]data!L126*(_xlfn.XLOOKUP([1]data!$C126,[2]data!$B$2:$B$218,[2]data!K$2:K$218)/100)</f>
        <v>0.40167639999999999</v>
      </c>
      <c r="P125">
        <f>[1]data!M126*(_xlfn.XLOOKUP([1]data!$C126,[2]data!$B$2:$B$218,[2]data!L$2:L$218)/100)</f>
        <v>0.43103742300000003</v>
      </c>
      <c r="Q125">
        <f>[1]data!N126*(_xlfn.XLOOKUP([1]data!$C126,[2]data!$B$2:$B$218,[2]data!M$2:M$218)/100)</f>
        <v>0.47559547899999999</v>
      </c>
      <c r="R125">
        <f>[1]data!O126*(_xlfn.XLOOKUP([1]data!$C126,[2]data!$B$2:$B$218,[2]data!N$2:N$218)/100)</f>
        <v>0.49965861799999994</v>
      </c>
      <c r="S125">
        <f>[1]data!P126*(_xlfn.XLOOKUP([1]data!$C126,[2]data!$B$2:$B$218,[2]data!O$2:O$218)/100)</f>
        <v>0.51708205500000004</v>
      </c>
      <c r="T125">
        <f>[1]data!Q126*(_xlfn.XLOOKUP([1]data!$C126,[2]data!$B$2:$B$218,[2]data!P$2:P$218)/100)</f>
        <v>0.52809229600000007</v>
      </c>
      <c r="U125">
        <f>[1]data!R126*(_xlfn.XLOOKUP([1]data!$C126,[2]data!$B$2:$B$218,[2]data!Q$2:Q$218)/100)</f>
        <v>0.53319635200000004</v>
      </c>
      <c r="V125">
        <f>[1]data!S126*(_xlfn.XLOOKUP([1]data!$C126,[2]data!$B$2:$B$218,[2]data!R$2:R$218)/100)</f>
        <v>0.53004799999999996</v>
      </c>
      <c r="W125">
        <f>[1]data!T126*(_xlfn.XLOOKUP([1]data!$C126,[2]data!$B$2:$B$218,[2]data!S$2:S$218)/100)</f>
        <v>0.52916416799999999</v>
      </c>
      <c r="X125">
        <f>[1]data!U126*(_xlfn.XLOOKUP([1]data!$C126,[2]data!$B$2:$B$218,[2]data!T$2:T$218)/100)</f>
        <v>0.56917884656000006</v>
      </c>
      <c r="Y125">
        <f>[1]data!V126*(_xlfn.XLOOKUP([1]data!$C126,[2]data!$B$2:$B$218,[2]data!U$2:U$218)/100)</f>
        <v>0.60748006198000015</v>
      </c>
      <c r="Z125">
        <f>[1]data!W126*(_xlfn.XLOOKUP([1]data!$C126,[2]data!$B$2:$B$218,[2]data!V$2:V$218)/100)</f>
        <v>0.64134922184999987</v>
      </c>
      <c r="AA125">
        <f>[1]data!X126*(_xlfn.XLOOKUP([1]data!$C126,[2]data!$B$2:$B$218,[2]data!W$2:W$218)/100)</f>
        <v>0.66919223919999993</v>
      </c>
      <c r="AB125">
        <f>[1]data!Y126*(_xlfn.XLOOKUP([1]data!$C126,[2]data!$B$2:$B$218,[2]data!X$2:X$218)/100)</f>
        <v>0.69054685505000002</v>
      </c>
      <c r="AC125">
        <f>[1]data!Z126*(_xlfn.XLOOKUP([1]data!$C126,[2]data!$B$2:$B$218,[2]data!Y$2:Y$218)/100)</f>
        <v>0.70597742133999997</v>
      </c>
      <c r="AD125">
        <f>[1]data!AA126*(_xlfn.XLOOKUP([1]data!$C126,[2]data!$B$2:$B$218,[2]data!Z$2:Z$218)/100)</f>
        <v>0.71708299440000001</v>
      </c>
      <c r="AE125">
        <f>[1]data!AB126*(_xlfn.XLOOKUP([1]data!$C126,[2]data!$B$2:$B$218,[2]data!AA$2:AA$218)/100)</f>
        <v>0.72517311720000011</v>
      </c>
      <c r="AF125">
        <f>[1]data!AC126*(_xlfn.XLOOKUP([1]data!$C126,[2]data!$B$2:$B$218,[2]data!AB$2:AB$218)/100)</f>
        <v>0.73075599859000018</v>
      </c>
      <c r="AG125">
        <f>[1]data!AD126*(_xlfn.XLOOKUP([1]data!$C126,[2]data!$B$2:$B$218,[2]data!AC$2:AC$218)/100)</f>
        <v>0.73326967961999989</v>
      </c>
      <c r="AH125">
        <f>[1]data!AE126*(_xlfn.XLOOKUP([1]data!$C126,[2]data!$B$2:$B$218,[2]data!AD$2:AD$218)/100)</f>
        <v>0.73247634599999989</v>
      </c>
      <c r="AI125">
        <f>[1]data!AF126*(_xlfn.XLOOKUP([1]data!$C126,[2]data!$B$2:$B$218,[2]data!AE$2:AE$218)/100)</f>
        <v>0.72867740940000003</v>
      </c>
      <c r="AJ125">
        <f>[1]data!AG126*(_xlfn.XLOOKUP([1]data!$C126,[2]data!$B$2:$B$218,[2]data!AF$2:AF$218)/100)</f>
        <v>0.72255267623999986</v>
      </c>
      <c r="AK125">
        <f>[1]data!AH126*(_xlfn.XLOOKUP([1]data!$C126,[2]data!$B$2:$B$218,[2]data!AG$2:AG$218)/100)</f>
        <v>0.71463011399999998</v>
      </c>
      <c r="AL125">
        <f>[1]data!AI126*(_xlfn.XLOOKUP([1]data!$C126,[2]data!$B$2:$B$218,[2]data!AH$2:AH$218)/100)</f>
        <v>0.70556781725999929</v>
      </c>
      <c r="AM125">
        <f>[1]data!AJ126*(_xlfn.XLOOKUP([1]data!$C126,[2]data!$B$2:$B$218,[2]data!AI$2:AI$218)/100)</f>
        <v>0.6959994568400002</v>
      </c>
    </row>
    <row r="126" spans="1:39" x14ac:dyDescent="0.25">
      <c r="A126" t="s">
        <v>30</v>
      </c>
      <c r="B126" t="s">
        <v>31</v>
      </c>
      <c r="C126" t="s">
        <v>157</v>
      </c>
      <c r="D126" t="s">
        <v>385</v>
      </c>
      <c r="E126" t="str">
        <f>_xlfn.XLOOKUP(D126,[6]Feuil1!$C$2:$C$248,[6]Feuil1!$B$2:$B$248)</f>
        <v>MW</v>
      </c>
      <c r="F126" t="s">
        <v>33</v>
      </c>
      <c r="G126" t="str">
        <f>_xlfn.XLOOKUP(C126,[3]Sheet1!$B$2:$B$172,[3]Sheet1!$D$2:$D$172)</f>
        <v>Rest of Southern Africa</v>
      </c>
      <c r="H126" t="s">
        <v>34</v>
      </c>
      <c r="I126">
        <f>[1]data!F127*(_xlfn.XLOOKUP([1]data!$C127,[2]data!$B$2:$B$218,[2]data!E$2:E$218)/100)</f>
        <v>0.10237703000000001</v>
      </c>
      <c r="J126">
        <f>[1]data!G127*(_xlfn.XLOOKUP([1]data!$C127,[2]data!$B$2:$B$218,[2]data!F$2:F$218)/100)</f>
        <v>0.12507974699999999</v>
      </c>
      <c r="K126">
        <f>[1]data!H127*(_xlfn.XLOOKUP([1]data!$C127,[2]data!$B$2:$B$218,[2]data!G$2:G$218)/100)</f>
        <v>0.157451008</v>
      </c>
      <c r="L126">
        <f>[1]data!I127*(_xlfn.XLOOKUP([1]data!$C127,[2]data!$B$2:$B$218,[2]data!H$2:H$218)/100)</f>
        <v>0.19791678200000001</v>
      </c>
      <c r="M126">
        <f>[1]data!J127*(_xlfn.XLOOKUP([1]data!$C127,[2]data!$B$2:$B$218,[2]data!I$2:I$218)/100)</f>
        <v>0.27864403500000001</v>
      </c>
      <c r="N126">
        <f>[1]data!K127*(_xlfn.XLOOKUP([1]data!$C127,[2]data!$B$2:$B$218,[2]data!J$2:J$218)/100)</f>
        <v>0.40080525100000003</v>
      </c>
      <c r="O126">
        <f>[1]data!L127*(_xlfn.XLOOKUP([1]data!$C127,[2]data!$B$2:$B$218,[2]data!K$2:K$218)/100)</f>
        <v>0.55913111800000004</v>
      </c>
      <c r="P126">
        <f>[1]data!M127*(_xlfn.XLOOKUP([1]data!$C127,[2]data!$B$2:$B$218,[2]data!L$2:L$218)/100)</f>
        <v>0.76303364399999996</v>
      </c>
      <c r="Q126">
        <f>[1]data!N127*(_xlfn.XLOOKUP([1]data!$C127,[2]data!$B$2:$B$218,[2]data!M$2:M$218)/100)</f>
        <v>1.0883129280000001</v>
      </c>
      <c r="R126">
        <f>[1]data!O127*(_xlfn.XLOOKUP([1]data!$C127,[2]data!$B$2:$B$218,[2]data!N$2:N$218)/100)</f>
        <v>1.3318790240000002</v>
      </c>
      <c r="S126">
        <f>[1]data!P127*(_xlfn.XLOOKUP([1]data!$C127,[2]data!$B$2:$B$218,[2]data!O$2:O$218)/100)</f>
        <v>1.6204250919999998</v>
      </c>
      <c r="T126">
        <f>[1]data!Q127*(_xlfn.XLOOKUP([1]data!$C127,[2]data!$B$2:$B$218,[2]data!P$2:P$218)/100)</f>
        <v>1.8992909859999998</v>
      </c>
      <c r="U126">
        <f>[1]data!R127*(_xlfn.XLOOKUP([1]data!$C127,[2]data!$B$2:$B$218,[2]data!Q$2:Q$218)/100)</f>
        <v>2.248514165</v>
      </c>
      <c r="V126">
        <f>[1]data!S127*(_xlfn.XLOOKUP([1]data!$C127,[2]data!$B$2:$B$218,[2]data!R$2:R$218)/100)</f>
        <v>2.7232401849999999</v>
      </c>
      <c r="W126">
        <f>[1]data!T127*(_xlfn.XLOOKUP([1]data!$C127,[2]data!$B$2:$B$218,[2]data!S$2:S$218)/100)</f>
        <v>3.3270346859999993</v>
      </c>
      <c r="X126">
        <f>[1]data!U127*(_xlfn.XLOOKUP([1]data!$C127,[2]data!$B$2:$B$218,[2]data!T$2:T$218)/100)</f>
        <v>4.2662656120000007</v>
      </c>
      <c r="Y126">
        <f>[1]data!V127*(_xlfn.XLOOKUP([1]data!$C127,[2]data!$B$2:$B$218,[2]data!U$2:U$218)/100)</f>
        <v>5.4064020523500007</v>
      </c>
      <c r="Z126">
        <f>[1]data!W127*(_xlfn.XLOOKUP([1]data!$C127,[2]data!$B$2:$B$218,[2]data!V$2:V$218)/100)</f>
        <v>6.7556814444799995</v>
      </c>
      <c r="AA126">
        <f>[1]data!X127*(_xlfn.XLOOKUP([1]data!$C127,[2]data!$B$2:$B$218,[2]data!W$2:W$218)/100)</f>
        <v>8.2952943788399995</v>
      </c>
      <c r="AB126">
        <f>[1]data!Y127*(_xlfn.XLOOKUP([1]data!$C127,[2]data!$B$2:$B$218,[2]data!X$2:X$218)/100)</f>
        <v>10.010974063110002</v>
      </c>
      <c r="AC126">
        <f>[1]data!Z127*(_xlfn.XLOOKUP([1]data!$C127,[2]data!$B$2:$B$218,[2]data!Y$2:Y$218)/100)</f>
        <v>11.875800083289999</v>
      </c>
      <c r="AD126">
        <f>[1]data!AA127*(_xlfn.XLOOKUP([1]data!$C127,[2]data!$B$2:$B$218,[2]data!Z$2:Z$218)/100)</f>
        <v>13.866200467889964</v>
      </c>
      <c r="AE126">
        <f>[1]data!AB127*(_xlfn.XLOOKUP([1]data!$C127,[2]data!$B$2:$B$218,[2]data!AA$2:AA$218)/100)</f>
        <v>15.94891935505</v>
      </c>
      <c r="AF126">
        <f>[1]data!AC127*(_xlfn.XLOOKUP([1]data!$C127,[2]data!$B$2:$B$218,[2]data!AB$2:AB$218)/100)</f>
        <v>18.060797956280002</v>
      </c>
      <c r="AG126">
        <f>[1]data!AD127*(_xlfn.XLOOKUP([1]data!$C127,[2]data!$B$2:$B$218,[2]data!AC$2:AC$218)/100)</f>
        <v>20.161595398240003</v>
      </c>
      <c r="AH126">
        <f>[1]data!AE127*(_xlfn.XLOOKUP([1]data!$C127,[2]data!$B$2:$B$218,[2]data!AD$2:AD$218)/100)</f>
        <v>22.184555730819955</v>
      </c>
      <c r="AI126">
        <f>[1]data!AF127*(_xlfn.XLOOKUP([1]data!$C127,[2]data!$B$2:$B$218,[2]data!AE$2:AE$218)/100)</f>
        <v>24.096591131580002</v>
      </c>
      <c r="AJ126">
        <f>[1]data!AG127*(_xlfn.XLOOKUP([1]data!$C127,[2]data!$B$2:$B$218,[2]data!AF$2:AF$218)/100)</f>
        <v>25.853683871859999</v>
      </c>
      <c r="AK126">
        <f>[1]data!AH127*(_xlfn.XLOOKUP([1]data!$C127,[2]data!$B$2:$B$218,[2]data!AG$2:AG$218)/100)</f>
        <v>27.468867338000003</v>
      </c>
      <c r="AL126">
        <f>[1]data!AI127*(_xlfn.XLOOKUP([1]data!$C127,[2]data!$B$2:$B$218,[2]data!AH$2:AH$218)/100)</f>
        <v>28.943271277680001</v>
      </c>
      <c r="AM126">
        <f>[1]data!AJ127*(_xlfn.XLOOKUP([1]data!$C127,[2]data!$B$2:$B$218,[2]data!AI$2:AI$218)/100)</f>
        <v>30.267807435600002</v>
      </c>
    </row>
    <row r="127" spans="1:39" x14ac:dyDescent="0.25">
      <c r="A127" t="s">
        <v>30</v>
      </c>
      <c r="B127" t="s">
        <v>31</v>
      </c>
      <c r="C127" t="s">
        <v>158</v>
      </c>
      <c r="D127" t="s">
        <v>386</v>
      </c>
      <c r="E127" t="str">
        <f>_xlfn.XLOOKUP(D127,[6]Feuil1!$C$2:$C$248,[6]Feuil1!$B$2:$B$248)</f>
        <v>MY</v>
      </c>
      <c r="F127" t="s">
        <v>33</v>
      </c>
      <c r="G127" t="str">
        <f>_xlfn.XLOOKUP(C127,[3]Sheet1!$B$2:$B$172,[3]Sheet1!$D$2:$D$172)</f>
        <v>Southeastern Asia</v>
      </c>
      <c r="H127" t="s">
        <v>34</v>
      </c>
      <c r="I127">
        <f>[1]data!F128*(_xlfn.XLOOKUP([1]data!$C128,[2]data!$B$2:$B$218,[2]data!E$2:E$218)/100)</f>
        <v>1.2040585919999998</v>
      </c>
      <c r="J127">
        <f>[1]data!G128*(_xlfn.XLOOKUP([1]data!$C128,[2]data!$B$2:$B$218,[2]data!F$2:F$218)/100)</f>
        <v>1.566209502</v>
      </c>
      <c r="K127">
        <f>[1]data!H128*(_xlfn.XLOOKUP([1]data!$C128,[2]data!$B$2:$B$218,[2]data!G$2:G$218)/100)</f>
        <v>2.0523565160000001</v>
      </c>
      <c r="L127">
        <f>[1]data!I128*(_xlfn.XLOOKUP([1]data!$C128,[2]data!$B$2:$B$218,[2]data!H$2:H$218)/100)</f>
        <v>2.6802105850000006</v>
      </c>
      <c r="M127">
        <f>[1]data!J128*(_xlfn.XLOOKUP([1]data!$C128,[2]data!$B$2:$B$218,[2]data!I$2:I$218)/100)</f>
        <v>3.4111576000000006</v>
      </c>
      <c r="N127">
        <f>[1]data!K128*(_xlfn.XLOOKUP([1]data!$C128,[2]data!$B$2:$B$218,[2]data!J$2:J$218)/100)</f>
        <v>4.325557002</v>
      </c>
      <c r="O127">
        <f>[1]data!L128*(_xlfn.XLOOKUP([1]data!$C128,[2]data!$B$2:$B$218,[2]data!K$2:K$218)/100)</f>
        <v>5.4777202200000001</v>
      </c>
      <c r="P127">
        <f>[1]data!M128*(_xlfn.XLOOKUP([1]data!$C128,[2]data!$B$2:$B$218,[2]data!L$2:L$218)/100)</f>
        <v>6.8341776840000001</v>
      </c>
      <c r="Q127">
        <f>[1]data!N128*(_xlfn.XLOOKUP([1]data!$C128,[2]data!$B$2:$B$218,[2]data!M$2:M$218)/100)</f>
        <v>8.5988529539999998</v>
      </c>
      <c r="R127">
        <f>[1]data!O128*(_xlfn.XLOOKUP([1]data!$C128,[2]data!$B$2:$B$218,[2]data!N$2:N$218)/100)</f>
        <v>11.063732775000002</v>
      </c>
      <c r="S127">
        <f>[1]data!P128*(_xlfn.XLOOKUP([1]data!$C128,[2]data!$B$2:$B$218,[2]data!O$2:O$218)/100)</f>
        <v>14.041251600000001</v>
      </c>
      <c r="T127">
        <f>[1]data!Q128*(_xlfn.XLOOKUP([1]data!$C128,[2]data!$B$2:$B$218,[2]data!P$2:P$218)/100)</f>
        <v>17.070011567999998</v>
      </c>
      <c r="U127">
        <f>[1]data!R128*(_xlfn.XLOOKUP([1]data!$C128,[2]data!$B$2:$B$218,[2]data!Q$2:Q$218)/100)</f>
        <v>20.198432998000001</v>
      </c>
      <c r="V127">
        <f>[1]data!S128*(_xlfn.XLOOKUP([1]data!$C128,[2]data!$B$2:$B$218,[2]data!R$2:R$218)/100)</f>
        <v>22.884985858</v>
      </c>
      <c r="W127">
        <f>[1]data!T128*(_xlfn.XLOOKUP([1]data!$C128,[2]data!$B$2:$B$218,[2]data!S$2:S$218)/100)</f>
        <v>25.478804676000003</v>
      </c>
      <c r="X127">
        <f>[1]data!U128*(_xlfn.XLOOKUP([1]data!$C128,[2]data!$B$2:$B$218,[2]data!T$2:T$218)/100)</f>
        <v>27.353243499299921</v>
      </c>
      <c r="Y127">
        <f>[1]data!V128*(_xlfn.XLOOKUP([1]data!$C128,[2]data!$B$2:$B$218,[2]data!U$2:U$218)/100)</f>
        <v>29.136044943119998</v>
      </c>
      <c r="Z127">
        <f>[1]data!W128*(_xlfn.XLOOKUP([1]data!$C128,[2]data!$B$2:$B$218,[2]data!V$2:V$218)/100)</f>
        <v>30.794571192279999</v>
      </c>
      <c r="AA127">
        <f>[1]data!X128*(_xlfn.XLOOKUP([1]data!$C128,[2]data!$B$2:$B$218,[2]data!W$2:W$218)/100)</f>
        <v>32.30194769066</v>
      </c>
      <c r="AB127">
        <f>[1]data!Y128*(_xlfn.XLOOKUP([1]data!$C128,[2]data!$B$2:$B$218,[2]data!X$2:X$218)/100)</f>
        <v>33.66248206409</v>
      </c>
      <c r="AC127">
        <f>[1]data!Z128*(_xlfn.XLOOKUP([1]data!$C128,[2]data!$B$2:$B$218,[2]data!Y$2:Y$218)/100)</f>
        <v>34.870063875600003</v>
      </c>
      <c r="AD127">
        <f>[1]data!AA128*(_xlfn.XLOOKUP([1]data!$C128,[2]data!$B$2:$B$218,[2]data!Z$2:Z$218)/100)</f>
        <v>35.919307442449991</v>
      </c>
      <c r="AE127">
        <f>[1]data!AB128*(_xlfn.XLOOKUP([1]data!$C128,[2]data!$B$2:$B$218,[2]data!AA$2:AA$218)/100)</f>
        <v>36.795878414169998</v>
      </c>
      <c r="AF127">
        <f>[1]data!AC128*(_xlfn.XLOOKUP([1]data!$C128,[2]data!$B$2:$B$218,[2]data!AB$2:AB$218)/100)</f>
        <v>37.462096723999998</v>
      </c>
      <c r="AG127">
        <f>[1]data!AD128*(_xlfn.XLOOKUP([1]data!$C128,[2]data!$B$2:$B$218,[2]data!AC$2:AC$218)/100)</f>
        <v>37.916451776450003</v>
      </c>
      <c r="AH127">
        <f>[1]data!AE128*(_xlfn.XLOOKUP([1]data!$C128,[2]data!$B$2:$B$218,[2]data!AD$2:AD$218)/100)</f>
        <v>38.146607749640005</v>
      </c>
      <c r="AI127">
        <f>[1]data!AF128*(_xlfn.XLOOKUP([1]data!$C128,[2]data!$B$2:$B$218,[2]data!AE$2:AE$218)/100)</f>
        <v>38.162887074780002</v>
      </c>
      <c r="AJ127">
        <f>[1]data!AG128*(_xlfn.XLOOKUP([1]data!$C128,[2]data!$B$2:$B$218,[2]data!AF$2:AF$218)/100)</f>
        <v>37.986740169370002</v>
      </c>
      <c r="AK127">
        <f>[1]data!AH128*(_xlfn.XLOOKUP([1]data!$C128,[2]data!$B$2:$B$218,[2]data!AG$2:AG$218)/100)</f>
        <v>37.668153036200003</v>
      </c>
      <c r="AL127">
        <f>[1]data!AI128*(_xlfn.XLOOKUP([1]data!$C128,[2]data!$B$2:$B$218,[2]data!AH$2:AH$218)/100)</f>
        <v>37.252995700269999</v>
      </c>
      <c r="AM127">
        <f>[1]data!AJ128*(_xlfn.XLOOKUP([1]data!$C128,[2]data!$B$2:$B$218,[2]data!AI$2:AI$218)/100)</f>
        <v>36.762502520000005</v>
      </c>
    </row>
    <row r="128" spans="1:39" x14ac:dyDescent="0.25">
      <c r="A128" t="s">
        <v>30</v>
      </c>
      <c r="B128" t="s">
        <v>31</v>
      </c>
      <c r="C128" t="s">
        <v>159</v>
      </c>
      <c r="D128" t="e">
        <v>#N/A</v>
      </c>
      <c r="E128" t="e">
        <f>_xlfn.XLOOKUP(D128,[6]Feuil1!$C$2:$C$248,[6]Feuil1!$B$2:$B$248)</f>
        <v>#N/A</v>
      </c>
      <c r="F128" t="s">
        <v>33</v>
      </c>
      <c r="G128" t="e">
        <f>_xlfn.XLOOKUP(C128,[3]Sheet1!$B$2:$B$172,[3]Sheet1!$D$2:$D$172)</f>
        <v>#N/A</v>
      </c>
      <c r="H128" t="s">
        <v>34</v>
      </c>
      <c r="I128">
        <f>[1]data!F129*(_xlfn.XLOOKUP([1]data!$C129,[2]data!$B$2:$B$218,[2]data!E$2:E$218)/100)</f>
        <v>1.7285600000000001E-3</v>
      </c>
      <c r="J128">
        <f>[1]data!G129*(_xlfn.XLOOKUP([1]data!$C129,[2]data!$B$2:$B$218,[2]data!F$2:F$218)/100)</f>
        <v>2.6964210000000001E-3</v>
      </c>
      <c r="K128">
        <f>[1]data!H129*(_xlfn.XLOOKUP([1]data!$C129,[2]data!$B$2:$B$218,[2]data!G$2:G$218)/100)</f>
        <v>4.2067040000000003E-3</v>
      </c>
      <c r="L128">
        <f>[1]data!I129*(_xlfn.XLOOKUP([1]data!$C129,[2]data!$B$2:$B$218,[2]data!H$2:H$218)/100)</f>
        <v>6.5359800000000003E-3</v>
      </c>
      <c r="M128">
        <f>[1]data!J129*(_xlfn.XLOOKUP([1]data!$C129,[2]data!$B$2:$B$218,[2]data!I$2:I$218)/100)</f>
        <v>8.7410750000000009E-3</v>
      </c>
      <c r="N128">
        <f>[1]data!K129*(_xlfn.XLOOKUP([1]data!$C129,[2]data!$B$2:$B$218,[2]data!J$2:J$218)/100)</f>
        <v>1.1359975000000001E-2</v>
      </c>
      <c r="O128">
        <f>[1]data!L129*(_xlfn.XLOOKUP([1]data!$C129,[2]data!$B$2:$B$218,[2]data!K$2:K$218)/100)</f>
        <v>1.5313675999999998E-2</v>
      </c>
      <c r="P128">
        <f>[1]data!M129*(_xlfn.XLOOKUP([1]data!$C129,[2]data!$B$2:$B$218,[2]data!L$2:L$218)/100)</f>
        <v>2.1890549999999998E-2</v>
      </c>
      <c r="Q128">
        <f>[1]data!N129*(_xlfn.XLOOKUP([1]data!$C129,[2]data!$B$2:$B$218,[2]data!M$2:M$218)/100)</f>
        <v>3.2437293999999998E-2</v>
      </c>
      <c r="R128">
        <f>[1]data!O129*(_xlfn.XLOOKUP([1]data!$C129,[2]data!$B$2:$B$218,[2]data!N$2:N$218)/100)</f>
        <v>5.0353194999999996E-2</v>
      </c>
      <c r="S128">
        <f>[1]data!P129*(_xlfn.XLOOKUP([1]data!$C129,[2]data!$B$2:$B$218,[2]data!O$2:O$218)/100)</f>
        <v>7.4367639000000013E-2</v>
      </c>
      <c r="T128">
        <f>[1]data!Q129*(_xlfn.XLOOKUP([1]data!$C129,[2]data!$B$2:$B$218,[2]data!P$2:P$218)/100)</f>
        <v>9.3037166000000004E-2</v>
      </c>
      <c r="U128">
        <f>[1]data!R129*(_xlfn.XLOOKUP([1]data!$C129,[2]data!$B$2:$B$218,[2]data!Q$2:Q$218)/100)</f>
        <v>0.10243548</v>
      </c>
      <c r="V128">
        <f>[1]data!S129*(_xlfn.XLOOKUP([1]data!$C129,[2]data!$B$2:$B$218,[2]data!R$2:R$218)/100)</f>
        <v>0.11485531</v>
      </c>
      <c r="W128">
        <f>[1]data!T129*(_xlfn.XLOOKUP([1]data!$C129,[2]data!$B$2:$B$218,[2]data!S$2:S$218)/100)</f>
        <v>0.137562132</v>
      </c>
      <c r="X128">
        <f>[1]data!U129*(_xlfn.XLOOKUP([1]data!$C129,[2]data!$B$2:$B$218,[2]data!T$2:T$218)/100)</f>
        <v>0.17339917329000001</v>
      </c>
      <c r="Y128">
        <f>[1]data!V129*(_xlfn.XLOOKUP([1]data!$C129,[2]data!$B$2:$B$218,[2]data!U$2:U$218)/100)</f>
        <v>0.21564569750999998</v>
      </c>
      <c r="Z128">
        <f>[1]data!W129*(_xlfn.XLOOKUP([1]data!$C129,[2]data!$B$2:$B$218,[2]data!V$2:V$218)/100)</f>
        <v>0.26492461080000002</v>
      </c>
      <c r="AA128">
        <f>[1]data!X129*(_xlfn.XLOOKUP([1]data!$C129,[2]data!$B$2:$B$218,[2]data!W$2:W$218)/100)</f>
        <v>0.32234351434999992</v>
      </c>
      <c r="AB128">
        <f>[1]data!Y129*(_xlfn.XLOOKUP([1]data!$C129,[2]data!$B$2:$B$218,[2]data!X$2:X$218)/100)</f>
        <v>0.38881646420999993</v>
      </c>
      <c r="AC128">
        <f>[1]data!Z129*(_xlfn.XLOOKUP([1]data!$C129,[2]data!$B$2:$B$218,[2]data!Y$2:Y$218)/100)</f>
        <v>0.46457533583999944</v>
      </c>
      <c r="AD128">
        <f>[1]data!AA129*(_xlfn.XLOOKUP([1]data!$C129,[2]data!$B$2:$B$218,[2]data!Z$2:Z$218)/100)</f>
        <v>0.54989643743999994</v>
      </c>
      <c r="AE128">
        <f>[1]data!AB129*(_xlfn.XLOOKUP([1]data!$C129,[2]data!$B$2:$B$218,[2]data!AA$2:AA$218)/100)</f>
        <v>0.64518791891000005</v>
      </c>
      <c r="AF128">
        <f>[1]data!AC129*(_xlfn.XLOOKUP([1]data!$C129,[2]data!$B$2:$B$218,[2]data!AB$2:AB$218)/100)</f>
        <v>0.75214538854000001</v>
      </c>
      <c r="AG128">
        <f>[1]data!AD129*(_xlfn.XLOOKUP([1]data!$C129,[2]data!$B$2:$B$218,[2]data!AC$2:AC$218)/100)</f>
        <v>0.87221110699999926</v>
      </c>
      <c r="AH128">
        <f>[1]data!AE129*(_xlfn.XLOOKUP([1]data!$C129,[2]data!$B$2:$B$218,[2]data!AD$2:AD$218)/100)</f>
        <v>1.00685327424</v>
      </c>
      <c r="AI128">
        <f>[1]data!AF129*(_xlfn.XLOOKUP([1]data!$C129,[2]data!$B$2:$B$218,[2]data!AE$2:AE$218)/100)</f>
        <v>1.1573429094499998</v>
      </c>
      <c r="AJ128">
        <f>[1]data!AG129*(_xlfn.XLOOKUP([1]data!$C129,[2]data!$B$2:$B$218,[2]data!AF$2:AF$218)/100)</f>
        <v>1.3247776871800001</v>
      </c>
      <c r="AK128">
        <f>[1]data!AH129*(_xlfn.XLOOKUP([1]data!$C129,[2]data!$B$2:$B$218,[2]data!AG$2:AG$218)/100)</f>
        <v>1.5103225965999998</v>
      </c>
      <c r="AL128">
        <f>[1]data!AI129*(_xlfn.XLOOKUP([1]data!$C129,[2]data!$B$2:$B$218,[2]data!AH$2:AH$218)/100)</f>
        <v>1.7155566626799998</v>
      </c>
      <c r="AM128">
        <f>[1]data!AJ129*(_xlfn.XLOOKUP([1]data!$C129,[2]data!$B$2:$B$218,[2]data!AI$2:AI$218)/100)</f>
        <v>1.9419397049299998</v>
      </c>
    </row>
    <row r="129" spans="1:39" x14ac:dyDescent="0.25">
      <c r="A129" t="s">
        <v>30</v>
      </c>
      <c r="B129" t="s">
        <v>31</v>
      </c>
      <c r="C129" t="s">
        <v>160</v>
      </c>
      <c r="D129" t="s">
        <v>387</v>
      </c>
      <c r="E129" t="str">
        <f>_xlfn.XLOOKUP(D129,[6]Feuil1!$C$2:$C$248,[6]Feuil1!$B$2:$B$248)</f>
        <v>NA</v>
      </c>
      <c r="F129" t="s">
        <v>33</v>
      </c>
      <c r="G129" t="str">
        <f>_xlfn.XLOOKUP(C129,[3]Sheet1!$B$2:$B$172,[3]Sheet1!$D$2:$D$172)</f>
        <v>Rest of Southern Africa</v>
      </c>
      <c r="H129" t="s">
        <v>34</v>
      </c>
      <c r="I129">
        <f>[1]data!F130*(_xlfn.XLOOKUP([1]data!$C130,[2]data!$B$2:$B$218,[2]data!E$2:E$218)/100)</f>
        <v>6.8576912000000004E-2</v>
      </c>
      <c r="J129">
        <f>[1]data!G130*(_xlfn.XLOOKUP([1]data!$C130,[2]data!$B$2:$B$218,[2]data!F$2:F$218)/100)</f>
        <v>8.4304499999999991E-2</v>
      </c>
      <c r="K129">
        <f>[1]data!H130*(_xlfn.XLOOKUP([1]data!$C130,[2]data!$B$2:$B$218,[2]data!G$2:G$218)/100)</f>
        <v>0.10468564399999999</v>
      </c>
      <c r="L129">
        <f>[1]data!I130*(_xlfn.XLOOKUP([1]data!$C130,[2]data!$B$2:$B$218,[2]data!H$2:H$218)/100)</f>
        <v>0.12993720000000003</v>
      </c>
      <c r="M129">
        <f>[1]data!J130*(_xlfn.XLOOKUP([1]data!$C130,[2]data!$B$2:$B$218,[2]data!I$2:I$218)/100)</f>
        <v>0.16579715500000003</v>
      </c>
      <c r="N129">
        <f>[1]data!K130*(_xlfn.XLOOKUP([1]data!$C130,[2]data!$B$2:$B$218,[2]data!J$2:J$218)/100)</f>
        <v>0.20453692500000001</v>
      </c>
      <c r="O129">
        <f>[1]data!L130*(_xlfn.XLOOKUP([1]data!$C130,[2]data!$B$2:$B$218,[2]data!K$2:K$218)/100)</f>
        <v>0.24328877800000001</v>
      </c>
      <c r="P129">
        <f>[1]data!M130*(_xlfn.XLOOKUP([1]data!$C130,[2]data!$B$2:$B$218,[2]data!L$2:L$218)/100)</f>
        <v>0.28427018400000004</v>
      </c>
      <c r="Q129">
        <f>[1]data!N130*(_xlfn.XLOOKUP([1]data!$C130,[2]data!$B$2:$B$218,[2]data!M$2:M$218)/100)</f>
        <v>0.37255530499999995</v>
      </c>
      <c r="R129">
        <f>[1]data!O130*(_xlfn.XLOOKUP([1]data!$C130,[2]data!$B$2:$B$218,[2]data!N$2:N$218)/100)</f>
        <v>0.47156294799999993</v>
      </c>
      <c r="S129">
        <f>[1]data!P130*(_xlfn.XLOOKUP([1]data!$C130,[2]data!$B$2:$B$218,[2]data!O$2:O$218)/100)</f>
        <v>0.58297805999999996</v>
      </c>
      <c r="T129">
        <f>[1]data!Q130*(_xlfn.XLOOKUP([1]data!$C130,[2]data!$B$2:$B$218,[2]data!P$2:P$218)/100)</f>
        <v>0.71412931800000001</v>
      </c>
      <c r="U129">
        <f>[1]data!R130*(_xlfn.XLOOKUP([1]data!$C130,[2]data!$B$2:$B$218,[2]data!Q$2:Q$218)/100)</f>
        <v>0.86659456000000001</v>
      </c>
      <c r="V129">
        <f>[1]data!S130*(_xlfn.XLOOKUP([1]data!$C130,[2]data!$B$2:$B$218,[2]data!R$2:R$218)/100)</f>
        <v>1.0611697179999999</v>
      </c>
      <c r="W129">
        <f>[1]data!T130*(_xlfn.XLOOKUP([1]data!$C130,[2]data!$B$2:$B$218,[2]data!S$2:S$218)/100)</f>
        <v>1.2828805599999999</v>
      </c>
      <c r="X129">
        <f>[1]data!U130*(_xlfn.XLOOKUP([1]data!$C130,[2]data!$B$2:$B$218,[2]data!T$2:T$218)/100)</f>
        <v>1.4765506569000002</v>
      </c>
      <c r="Y129">
        <f>[1]data!V130*(_xlfn.XLOOKUP([1]data!$C130,[2]data!$B$2:$B$218,[2]data!U$2:U$218)/100)</f>
        <v>1.6779661090400002</v>
      </c>
      <c r="Z129">
        <f>[1]data!W130*(_xlfn.XLOOKUP([1]data!$C130,[2]data!$B$2:$B$218,[2]data!V$2:V$218)/100)</f>
        <v>1.8749048965199999</v>
      </c>
      <c r="AA129">
        <f>[1]data!X130*(_xlfn.XLOOKUP([1]data!$C130,[2]data!$B$2:$B$218,[2]data!W$2:W$218)/100)</f>
        <v>2.0686302920399995</v>
      </c>
      <c r="AB129">
        <f>[1]data!Y130*(_xlfn.XLOOKUP([1]data!$C130,[2]data!$B$2:$B$218,[2]data!X$2:X$218)/100)</f>
        <v>2.2548006595200003</v>
      </c>
      <c r="AC129">
        <f>[1]data!Z130*(_xlfn.XLOOKUP([1]data!$C130,[2]data!$B$2:$B$218,[2]data!Y$2:Y$218)/100)</f>
        <v>2.4301123167599998</v>
      </c>
      <c r="AD129">
        <f>[1]data!AA130*(_xlfn.XLOOKUP([1]data!$C130,[2]data!$B$2:$B$218,[2]data!Z$2:Z$218)/100)</f>
        <v>2.5884854074199999</v>
      </c>
      <c r="AE129">
        <f>[1]data!AB130*(_xlfn.XLOOKUP([1]data!$C130,[2]data!$B$2:$B$218,[2]data!AA$2:AA$218)/100)</f>
        <v>2.7230689724399997</v>
      </c>
      <c r="AF129">
        <f>[1]data!AC130*(_xlfn.XLOOKUP([1]data!$C130,[2]data!$B$2:$B$218,[2]data!AB$2:AB$218)/100)</f>
        <v>2.8375889796200005</v>
      </c>
      <c r="AG129">
        <f>[1]data!AD130*(_xlfn.XLOOKUP([1]data!$C130,[2]data!$B$2:$B$218,[2]data!AC$2:AC$218)/100)</f>
        <v>2.9308936906800001</v>
      </c>
      <c r="AH129">
        <f>[1]data!AE130*(_xlfn.XLOOKUP([1]data!$C130,[2]data!$B$2:$B$218,[2]data!AD$2:AD$218)/100)</f>
        <v>3.0079766505100003</v>
      </c>
      <c r="AI129">
        <f>[1]data!AF130*(_xlfn.XLOOKUP([1]data!$C130,[2]data!$B$2:$B$218,[2]data!AE$2:AE$218)/100)</f>
        <v>3.0714424644000005</v>
      </c>
      <c r="AJ129">
        <f>[1]data!AG130*(_xlfn.XLOOKUP([1]data!$C130,[2]data!$B$2:$B$218,[2]data!AF$2:AF$218)/100)</f>
        <v>3.1220188212500006</v>
      </c>
      <c r="AK129">
        <f>[1]data!AH130*(_xlfn.XLOOKUP([1]data!$C130,[2]data!$B$2:$B$218,[2]data!AG$2:AG$218)/100)</f>
        <v>3.1587508575999999</v>
      </c>
      <c r="AL129">
        <f>[1]data!AI130*(_xlfn.XLOOKUP([1]data!$C130,[2]data!$B$2:$B$218,[2]data!AH$2:AH$218)/100)</f>
        <v>3.1795938345600003</v>
      </c>
      <c r="AM129">
        <f>[1]data!AJ130*(_xlfn.XLOOKUP([1]data!$C130,[2]data!$B$2:$B$218,[2]data!AI$2:AI$218)/100)</f>
        <v>3.1871953134999997</v>
      </c>
    </row>
    <row r="130" spans="1:39" x14ac:dyDescent="0.25">
      <c r="A130" t="s">
        <v>30</v>
      </c>
      <c r="B130" t="s">
        <v>31</v>
      </c>
      <c r="C130" t="s">
        <v>161</v>
      </c>
      <c r="D130" t="s">
        <v>388</v>
      </c>
      <c r="E130" t="str">
        <f>_xlfn.XLOOKUP(D130,[6]Feuil1!$C$2:$C$248,[6]Feuil1!$B$2:$B$248)</f>
        <v>NC</v>
      </c>
      <c r="F130" t="s">
        <v>33</v>
      </c>
      <c r="G130" t="str">
        <f>_xlfn.XLOOKUP(C130,[3]Sheet1!$B$2:$B$172,[3]Sheet1!$D$2:$D$172)</f>
        <v>Oceania</v>
      </c>
      <c r="H130" t="s">
        <v>34</v>
      </c>
      <c r="I130">
        <f>[1]data!F131*(_xlfn.XLOOKUP([1]data!$C131,[2]data!$B$2:$B$218,[2]data!E$2:E$218)/100)</f>
        <v>1.5580410000000003E-2</v>
      </c>
      <c r="J130">
        <f>[1]data!G131*(_xlfn.XLOOKUP([1]data!$C131,[2]data!$B$2:$B$218,[2]data!F$2:F$218)/100)</f>
        <v>2.1199986000000004E-2</v>
      </c>
      <c r="K130">
        <f>[1]data!H131*(_xlfn.XLOOKUP([1]data!$C131,[2]data!$B$2:$B$218,[2]data!G$2:G$218)/100)</f>
        <v>2.987325E-2</v>
      </c>
      <c r="L130">
        <f>[1]data!I131*(_xlfn.XLOOKUP([1]data!$C131,[2]data!$B$2:$B$218,[2]data!H$2:H$218)/100)</f>
        <v>4.1704567999999997E-2</v>
      </c>
      <c r="M130">
        <f>[1]data!J131*(_xlfn.XLOOKUP([1]data!$C131,[2]data!$B$2:$B$218,[2]data!I$2:I$218)/100)</f>
        <v>5.5629312E-2</v>
      </c>
      <c r="N130">
        <f>[1]data!K131*(_xlfn.XLOOKUP([1]data!$C131,[2]data!$B$2:$B$218,[2]data!J$2:J$218)/100)</f>
        <v>7.4070672000000004E-2</v>
      </c>
      <c r="O130">
        <f>[1]data!L131*(_xlfn.XLOOKUP([1]data!$C131,[2]data!$B$2:$B$218,[2]data!K$2:K$218)/100)</f>
        <v>8.4826293999999997E-2</v>
      </c>
      <c r="P130">
        <f>[1]data!M131*(_xlfn.XLOOKUP([1]data!$C131,[2]data!$B$2:$B$218,[2]data!L$2:L$218)/100)</f>
        <v>9.3021599999999982E-2</v>
      </c>
      <c r="Q130">
        <f>[1]data!N131*(_xlfn.XLOOKUP([1]data!$C131,[2]data!$B$2:$B$218,[2]data!M$2:M$218)/100)</f>
        <v>0.104351256</v>
      </c>
      <c r="R130">
        <f>[1]data!O131*(_xlfn.XLOOKUP([1]data!$C131,[2]data!$B$2:$B$218,[2]data!N$2:N$218)/100)</f>
        <v>0.11908647000000001</v>
      </c>
      <c r="S130">
        <f>[1]data!P131*(_xlfn.XLOOKUP([1]data!$C131,[2]data!$B$2:$B$218,[2]data!O$2:O$218)/100)</f>
        <v>0.13575041400000001</v>
      </c>
      <c r="T130">
        <f>[1]data!Q131*(_xlfn.XLOOKUP([1]data!$C131,[2]data!$B$2:$B$218,[2]data!P$2:P$218)/100)</f>
        <v>0.15393408</v>
      </c>
      <c r="U130">
        <f>[1]data!R131*(_xlfn.XLOOKUP([1]data!$C131,[2]data!$B$2:$B$218,[2]data!Q$2:Q$218)/100)</f>
        <v>0.17380510400000002</v>
      </c>
      <c r="V130">
        <f>[1]data!S131*(_xlfn.XLOOKUP([1]data!$C131,[2]data!$B$2:$B$218,[2]data!R$2:R$218)/100)</f>
        <v>0.19614868999999999</v>
      </c>
      <c r="W130">
        <f>[1]data!T131*(_xlfn.XLOOKUP([1]data!$C131,[2]data!$B$2:$B$218,[2]data!S$2:S$218)/100)</f>
        <v>0.20421758500000001</v>
      </c>
      <c r="X130">
        <f>[1]data!U131*(_xlfn.XLOOKUP([1]data!$C131,[2]data!$B$2:$B$218,[2]data!T$2:T$218)/100)</f>
        <v>0.21912154572000003</v>
      </c>
      <c r="Y130">
        <f>[1]data!V131*(_xlfn.XLOOKUP([1]data!$C131,[2]data!$B$2:$B$218,[2]data!U$2:U$218)/100)</f>
        <v>0.23289799305999995</v>
      </c>
      <c r="Z130">
        <f>[1]data!W131*(_xlfn.XLOOKUP([1]data!$C131,[2]data!$B$2:$B$218,[2]data!V$2:V$218)/100)</f>
        <v>0.24573681366999925</v>
      </c>
      <c r="AA130">
        <f>[1]data!X131*(_xlfn.XLOOKUP([1]data!$C131,[2]data!$B$2:$B$218,[2]data!W$2:W$218)/100)</f>
        <v>0.25795553049000003</v>
      </c>
      <c r="AB130">
        <f>[1]data!Y131*(_xlfn.XLOOKUP([1]data!$C131,[2]data!$B$2:$B$218,[2]data!X$2:X$218)/100)</f>
        <v>0.26932215915000002</v>
      </c>
      <c r="AC130">
        <f>[1]data!Z131*(_xlfn.XLOOKUP([1]data!$C131,[2]data!$B$2:$B$218,[2]data!Y$2:Y$218)/100)</f>
        <v>0.27949728534000001</v>
      </c>
      <c r="AD130">
        <f>[1]data!AA131*(_xlfn.XLOOKUP([1]data!$C131,[2]data!$B$2:$B$218,[2]data!Z$2:Z$218)/100)</f>
        <v>0.28832371007999996</v>
      </c>
      <c r="AE130">
        <f>[1]data!AB131*(_xlfn.XLOOKUP([1]data!$C131,[2]data!$B$2:$B$218,[2]data!AA$2:AA$218)/100)</f>
        <v>0.29575314120000001</v>
      </c>
      <c r="AF130">
        <f>[1]data!AC131*(_xlfn.XLOOKUP([1]data!$C131,[2]data!$B$2:$B$218,[2]data!AB$2:AB$218)/100)</f>
        <v>0.30182922000000006</v>
      </c>
      <c r="AG130">
        <f>[1]data!AD131*(_xlfn.XLOOKUP([1]data!$C131,[2]data!$B$2:$B$218,[2]data!AC$2:AC$218)/100)</f>
        <v>0.30684396287999993</v>
      </c>
      <c r="AH130">
        <f>[1]data!AE131*(_xlfn.XLOOKUP([1]data!$C131,[2]data!$B$2:$B$218,[2]data!AD$2:AD$218)/100)</f>
        <v>0.31098224716</v>
      </c>
      <c r="AI130">
        <f>[1]data!AF131*(_xlfn.XLOOKUP([1]data!$C131,[2]data!$B$2:$B$218,[2]data!AE$2:AE$218)/100)</f>
        <v>0.31430219800000003</v>
      </c>
      <c r="AJ130">
        <f>[1]data!AG131*(_xlfn.XLOOKUP([1]data!$C131,[2]data!$B$2:$B$218,[2]data!AF$2:AF$218)/100)</f>
        <v>0.31674484593000002</v>
      </c>
      <c r="AK130">
        <f>[1]data!AH131*(_xlfn.XLOOKUP([1]data!$C131,[2]data!$B$2:$B$218,[2]data!AG$2:AG$218)/100)</f>
        <v>0.31820133794999994</v>
      </c>
      <c r="AL130">
        <f>[1]data!AI131*(_xlfn.XLOOKUP([1]data!$C131,[2]data!$B$2:$B$218,[2]data!AH$2:AH$218)/100)</f>
        <v>0.31867554778000001</v>
      </c>
      <c r="AM130">
        <f>[1]data!AJ131*(_xlfn.XLOOKUP([1]data!$C131,[2]data!$B$2:$B$218,[2]data!AI$2:AI$218)/100)</f>
        <v>0.31820288933999996</v>
      </c>
    </row>
    <row r="131" spans="1:39" x14ac:dyDescent="0.25">
      <c r="A131" t="s">
        <v>30</v>
      </c>
      <c r="B131" t="s">
        <v>31</v>
      </c>
      <c r="C131" t="s">
        <v>162</v>
      </c>
      <c r="D131" t="s">
        <v>389</v>
      </c>
      <c r="E131" t="str">
        <f>_xlfn.XLOOKUP(D131,[6]Feuil1!$C$2:$C$248,[6]Feuil1!$B$2:$B$248)</f>
        <v>NE</v>
      </c>
      <c r="F131" t="s">
        <v>33</v>
      </c>
      <c r="G131" t="str">
        <f>_xlfn.XLOOKUP(C131,[3]Sheet1!$B$2:$B$172,[3]Sheet1!$D$2:$D$172)</f>
        <v>Western Africa</v>
      </c>
      <c r="H131" t="s">
        <v>34</v>
      </c>
      <c r="I131">
        <f>[1]data!F132*(_xlfn.XLOOKUP([1]data!$C132,[2]data!$B$2:$B$218,[2]data!E$2:E$218)/100)</f>
        <v>0.123663652</v>
      </c>
      <c r="J131">
        <f>[1]data!G132*(_xlfn.XLOOKUP([1]data!$C132,[2]data!$B$2:$B$218,[2]data!F$2:F$218)/100)</f>
        <v>0.157583045</v>
      </c>
      <c r="K131">
        <f>[1]data!H132*(_xlfn.XLOOKUP([1]data!$C132,[2]data!$B$2:$B$218,[2]data!G$2:G$218)/100)</f>
        <v>0.19985535600000001</v>
      </c>
      <c r="L131">
        <f>[1]data!I132*(_xlfn.XLOOKUP([1]data!$C132,[2]data!$B$2:$B$218,[2]data!H$2:H$218)/100)</f>
        <v>0.27164497199999998</v>
      </c>
      <c r="M131">
        <f>[1]data!J132*(_xlfn.XLOOKUP([1]data!$C132,[2]data!$B$2:$B$218,[2]data!I$2:I$218)/100)</f>
        <v>0.40532016800000004</v>
      </c>
      <c r="N131">
        <f>[1]data!K132*(_xlfn.XLOOKUP([1]data!$C132,[2]data!$B$2:$B$218,[2]data!J$2:J$218)/100)</f>
        <v>0.60036960000000006</v>
      </c>
      <c r="O131">
        <f>[1]data!L132*(_xlfn.XLOOKUP([1]data!$C132,[2]data!$B$2:$B$218,[2]data!K$2:K$218)/100)</f>
        <v>0.8144903240000001</v>
      </c>
      <c r="P131">
        <f>[1]data!M132*(_xlfn.XLOOKUP([1]data!$C132,[2]data!$B$2:$B$218,[2]data!L$2:L$218)/100)</f>
        <v>1.026443255</v>
      </c>
      <c r="Q131">
        <f>[1]data!N132*(_xlfn.XLOOKUP([1]data!$C132,[2]data!$B$2:$B$218,[2]data!M$2:M$218)/100)</f>
        <v>1.2690240639999999</v>
      </c>
      <c r="R131">
        <f>[1]data!O132*(_xlfn.XLOOKUP([1]data!$C132,[2]data!$B$2:$B$218,[2]data!N$2:N$218)/100)</f>
        <v>1.524285882</v>
      </c>
      <c r="S131">
        <f>[1]data!P132*(_xlfn.XLOOKUP([1]data!$C132,[2]data!$B$2:$B$218,[2]data!O$2:O$218)/100)</f>
        <v>1.8503777699999999</v>
      </c>
      <c r="T131">
        <f>[1]data!Q132*(_xlfn.XLOOKUP([1]data!$C132,[2]data!$B$2:$B$218,[2]data!P$2:P$218)/100)</f>
        <v>2.2041088200000001</v>
      </c>
      <c r="U131">
        <f>[1]data!R132*(_xlfn.XLOOKUP([1]data!$C132,[2]data!$B$2:$B$218,[2]data!Q$2:Q$218)/100)</f>
        <v>2.6463868019999999</v>
      </c>
      <c r="V131">
        <f>[1]data!S132*(_xlfn.XLOOKUP([1]data!$C132,[2]data!$B$2:$B$218,[2]data!R$2:R$218)/100)</f>
        <v>3.1978129320000002</v>
      </c>
      <c r="W131">
        <f>[1]data!T132*(_xlfn.XLOOKUP([1]data!$C132,[2]data!$B$2:$B$218,[2]data!S$2:S$218)/100)</f>
        <v>3.9643605399999999</v>
      </c>
      <c r="X131">
        <f>[1]data!U132*(_xlfn.XLOOKUP([1]data!$C132,[2]data!$B$2:$B$218,[2]data!T$2:T$218)/100)</f>
        <v>5.4054156225600005</v>
      </c>
      <c r="Y131">
        <f>[1]data!V132*(_xlfn.XLOOKUP([1]data!$C132,[2]data!$B$2:$B$218,[2]data!U$2:U$218)/100)</f>
        <v>7.2932656709000003</v>
      </c>
      <c r="Z131">
        <f>[1]data!W132*(_xlfn.XLOOKUP([1]data!$C132,[2]data!$B$2:$B$218,[2]data!V$2:V$218)/100)</f>
        <v>9.6955483638000004</v>
      </c>
      <c r="AA131">
        <f>[1]data!X132*(_xlfn.XLOOKUP([1]data!$C132,[2]data!$B$2:$B$218,[2]data!W$2:W$218)/100)</f>
        <v>12.678413646820001</v>
      </c>
      <c r="AB131">
        <f>[1]data!Y132*(_xlfn.XLOOKUP([1]data!$C132,[2]data!$B$2:$B$218,[2]data!X$2:X$218)/100)</f>
        <v>16.282551278739973</v>
      </c>
      <c r="AC131">
        <f>[1]data!Z132*(_xlfn.XLOOKUP([1]data!$C132,[2]data!$B$2:$B$218,[2]data!Y$2:Y$218)/100)</f>
        <v>20.551853529359999</v>
      </c>
      <c r="AD131">
        <f>[1]data!AA132*(_xlfn.XLOOKUP([1]data!$C132,[2]data!$B$2:$B$218,[2]data!Z$2:Z$218)/100)</f>
        <v>25.474313245109997</v>
      </c>
      <c r="AE131">
        <f>[1]data!AB132*(_xlfn.XLOOKUP([1]data!$C132,[2]data!$B$2:$B$218,[2]data!AA$2:AA$218)/100)</f>
        <v>31.01517332267996</v>
      </c>
      <c r="AF131">
        <f>[1]data!AC132*(_xlfn.XLOOKUP([1]data!$C132,[2]data!$B$2:$B$218,[2]data!AB$2:AB$218)/100)</f>
        <v>37.084012910800041</v>
      </c>
      <c r="AG131">
        <f>[1]data!AD132*(_xlfn.XLOOKUP([1]data!$C132,[2]data!$B$2:$B$218,[2]data!AC$2:AC$218)/100)</f>
        <v>43.58302689888</v>
      </c>
      <c r="AH131">
        <f>[1]data!AE132*(_xlfn.XLOOKUP([1]data!$C132,[2]data!$B$2:$B$218,[2]data!AD$2:AD$218)/100)</f>
        <v>50.414175105840009</v>
      </c>
      <c r="AI131">
        <f>[1]data!AF132*(_xlfn.XLOOKUP([1]data!$C132,[2]data!$B$2:$B$218,[2]data!AE$2:AE$218)/100)</f>
        <v>57.403449764999998</v>
      </c>
      <c r="AJ131">
        <f>[1]data!AG132*(_xlfn.XLOOKUP([1]data!$C132,[2]data!$B$2:$B$218,[2]data!AF$2:AF$218)/100)</f>
        <v>64.510110237589998</v>
      </c>
      <c r="AK131">
        <f>[1]data!AH132*(_xlfn.XLOOKUP([1]data!$C132,[2]data!$B$2:$B$218,[2]data!AG$2:AG$218)/100)</f>
        <v>71.543881510399999</v>
      </c>
      <c r="AL131">
        <f>[1]data!AI132*(_xlfn.XLOOKUP([1]data!$C132,[2]data!$B$2:$B$218,[2]data!AH$2:AH$218)/100)</f>
        <v>78.345149045019994</v>
      </c>
      <c r="AM131">
        <f>[1]data!AJ132*(_xlfn.XLOOKUP([1]data!$C132,[2]data!$B$2:$B$218,[2]data!AI$2:AI$218)/100)</f>
        <v>84.664447721169992</v>
      </c>
    </row>
    <row r="132" spans="1:39" x14ac:dyDescent="0.25">
      <c r="A132" t="s">
        <v>30</v>
      </c>
      <c r="B132" t="s">
        <v>31</v>
      </c>
      <c r="C132" t="s">
        <v>163</v>
      </c>
      <c r="D132" t="s">
        <v>390</v>
      </c>
      <c r="E132" t="str">
        <f>_xlfn.XLOOKUP(D132,[6]Feuil1!$C$2:$C$248,[6]Feuil1!$B$2:$B$248)</f>
        <v>NG</v>
      </c>
      <c r="F132" t="s">
        <v>33</v>
      </c>
      <c r="G132" t="str">
        <f>_xlfn.XLOOKUP(C132,[3]Sheet1!$B$2:$B$172,[3]Sheet1!$D$2:$D$172)</f>
        <v>Western Africa</v>
      </c>
      <c r="H132" t="s">
        <v>34</v>
      </c>
      <c r="I132">
        <f>[1]data!F133*(_xlfn.XLOOKUP([1]data!$C133,[2]data!$B$2:$B$218,[2]data!E$2:E$218)/100)</f>
        <v>3.462547716</v>
      </c>
      <c r="J132">
        <f>[1]data!G133*(_xlfn.XLOOKUP([1]data!$C133,[2]data!$B$2:$B$218,[2]data!F$2:F$218)/100)</f>
        <v>4.8950733920000005</v>
      </c>
      <c r="K132">
        <f>[1]data!H133*(_xlfn.XLOOKUP([1]data!$C133,[2]data!$B$2:$B$218,[2]data!G$2:G$218)/100)</f>
        <v>6.8492772040000007</v>
      </c>
      <c r="L132">
        <f>[1]data!I133*(_xlfn.XLOOKUP([1]data!$C133,[2]data!$B$2:$B$218,[2]data!H$2:H$218)/100)</f>
        <v>8.1972557940000002</v>
      </c>
      <c r="M132">
        <f>[1]data!J133*(_xlfn.XLOOKUP([1]data!$C133,[2]data!$B$2:$B$218,[2]data!I$2:I$218)/100)</f>
        <v>9.7801336380000023</v>
      </c>
      <c r="N132">
        <f>[1]data!K133*(_xlfn.XLOOKUP([1]data!$C133,[2]data!$B$2:$B$218,[2]data!J$2:J$218)/100)</f>
        <v>12.270331062</v>
      </c>
      <c r="O132">
        <f>[1]data!L133*(_xlfn.XLOOKUP([1]data!$C133,[2]data!$B$2:$B$218,[2]data!K$2:K$218)/100)</f>
        <v>15.802129639999999</v>
      </c>
      <c r="P132">
        <f>[1]data!M133*(_xlfn.XLOOKUP([1]data!$C133,[2]data!$B$2:$B$218,[2]data!L$2:L$218)/100)</f>
        <v>21.112911359999998</v>
      </c>
      <c r="Q132">
        <f>[1]data!N133*(_xlfn.XLOOKUP([1]data!$C133,[2]data!$B$2:$B$218,[2]data!M$2:M$218)/100)</f>
        <v>27.907127424000002</v>
      </c>
      <c r="R132">
        <f>[1]data!O133*(_xlfn.XLOOKUP([1]data!$C133,[2]data!$B$2:$B$218,[2]data!N$2:N$218)/100)</f>
        <v>34.395977210000005</v>
      </c>
      <c r="S132">
        <f>[1]data!P133*(_xlfn.XLOOKUP([1]data!$C133,[2]data!$B$2:$B$218,[2]data!O$2:O$218)/100)</f>
        <v>42.189948779999995</v>
      </c>
      <c r="T132">
        <f>[1]data!Q133*(_xlfn.XLOOKUP([1]data!$C133,[2]data!$B$2:$B$218,[2]data!P$2:P$218)/100)</f>
        <v>54.193878569999995</v>
      </c>
      <c r="U132">
        <f>[1]data!R133*(_xlfn.XLOOKUP([1]data!$C133,[2]data!$B$2:$B$218,[2]data!Q$2:Q$218)/100)</f>
        <v>69.048943739999999</v>
      </c>
      <c r="V132">
        <f>[1]data!S133*(_xlfn.XLOOKUP([1]data!$C133,[2]data!$B$2:$B$218,[2]data!R$2:R$218)/100)</f>
        <v>86.853871957999999</v>
      </c>
      <c r="W132">
        <f>[1]data!T133*(_xlfn.XLOOKUP([1]data!$C133,[2]data!$B$2:$B$218,[2]data!S$2:S$218)/100)</f>
        <v>107.00591200000001</v>
      </c>
      <c r="X132">
        <f>[1]data!U133*(_xlfn.XLOOKUP([1]data!$C133,[2]data!$B$2:$B$218,[2]data!T$2:T$218)/100)</f>
        <v>125.01863211582</v>
      </c>
      <c r="Y132">
        <f>[1]data!V133*(_xlfn.XLOOKUP([1]data!$C133,[2]data!$B$2:$B$218,[2]data!U$2:U$218)/100)</f>
        <v>145.37441565359998</v>
      </c>
      <c r="Z132">
        <f>[1]data!W133*(_xlfn.XLOOKUP([1]data!$C133,[2]data!$B$2:$B$218,[2]data!V$2:V$218)/100)</f>
        <v>168.23420882644999</v>
      </c>
      <c r="AA132">
        <f>[1]data!X133*(_xlfn.XLOOKUP([1]data!$C133,[2]data!$B$2:$B$218,[2]data!W$2:W$218)/100)</f>
        <v>193.58987634000002</v>
      </c>
      <c r="AB132">
        <f>[1]data!Y133*(_xlfn.XLOOKUP([1]data!$C133,[2]data!$B$2:$B$218,[2]data!X$2:X$218)/100)</f>
        <v>221.09569357428003</v>
      </c>
      <c r="AC132">
        <f>[1]data!Z133*(_xlfn.XLOOKUP([1]data!$C133,[2]data!$B$2:$B$218,[2]data!Y$2:Y$218)/100)</f>
        <v>250.34452827216001</v>
      </c>
      <c r="AD132">
        <f>[1]data!AA133*(_xlfn.XLOOKUP([1]data!$C133,[2]data!$B$2:$B$218,[2]data!Z$2:Z$218)/100)</f>
        <v>280.52812434035997</v>
      </c>
      <c r="AE132">
        <f>[1]data!AB133*(_xlfn.XLOOKUP([1]data!$C133,[2]data!$B$2:$B$218,[2]data!AA$2:AA$218)/100)</f>
        <v>311.29287622960999</v>
      </c>
      <c r="AF132">
        <f>[1]data!AC133*(_xlfn.XLOOKUP([1]data!$C133,[2]data!$B$2:$B$218,[2]data!AB$2:AB$218)/100)</f>
        <v>342.31013565570004</v>
      </c>
      <c r="AG132">
        <f>[1]data!AD133*(_xlfn.XLOOKUP([1]data!$C133,[2]data!$B$2:$B$218,[2]data!AC$2:AC$218)/100)</f>
        <v>373.16356888995938</v>
      </c>
      <c r="AH132">
        <f>[1]data!AE133*(_xlfn.XLOOKUP([1]data!$C133,[2]data!$B$2:$B$218,[2]data!AD$2:AD$218)/100)</f>
        <v>403.58354375988006</v>
      </c>
      <c r="AI132">
        <f>[1]data!AF133*(_xlfn.XLOOKUP([1]data!$C133,[2]data!$B$2:$B$218,[2]data!AE$2:AE$218)/100)</f>
        <v>433.06875657373001</v>
      </c>
      <c r="AJ132">
        <f>[1]data!AG133*(_xlfn.XLOOKUP([1]data!$C133,[2]data!$B$2:$B$218,[2]data!AF$2:AF$218)/100)</f>
        <v>460.82494718548998</v>
      </c>
      <c r="AK132">
        <f>[1]data!AH133*(_xlfn.XLOOKUP([1]data!$C133,[2]data!$B$2:$B$218,[2]data!AG$2:AG$218)/100)</f>
        <v>486.63759819311997</v>
      </c>
      <c r="AL132">
        <f>[1]data!AI133*(_xlfn.XLOOKUP([1]data!$C133,[2]data!$B$2:$B$218,[2]data!AH$2:AH$218)/100)</f>
        <v>509.65613639600076</v>
      </c>
      <c r="AM132">
        <f>[1]data!AJ133*(_xlfn.XLOOKUP([1]data!$C133,[2]data!$B$2:$B$218,[2]data!AI$2:AI$218)/100)</f>
        <v>529.62606775600011</v>
      </c>
    </row>
    <row r="133" spans="1:39" x14ac:dyDescent="0.25">
      <c r="A133" t="s">
        <v>30</v>
      </c>
      <c r="B133" t="s">
        <v>31</v>
      </c>
      <c r="C133" t="s">
        <v>164</v>
      </c>
      <c r="D133" t="s">
        <v>391</v>
      </c>
      <c r="E133" t="str">
        <f>_xlfn.XLOOKUP(D133,[6]Feuil1!$C$2:$C$248,[6]Feuil1!$B$2:$B$248)</f>
        <v>NI</v>
      </c>
      <c r="F133" t="s">
        <v>33</v>
      </c>
      <c r="G133" t="str">
        <f>_xlfn.XLOOKUP(C133,[3]Sheet1!$B$2:$B$172,[3]Sheet1!$D$2:$D$172)</f>
        <v>Central America</v>
      </c>
      <c r="H133" t="s">
        <v>34</v>
      </c>
      <c r="I133">
        <f>[1]data!F134*(_xlfn.XLOOKUP([1]data!$C134,[2]data!$B$2:$B$218,[2]data!E$2:E$218)/100)</f>
        <v>0.46141462400000005</v>
      </c>
      <c r="J133">
        <f>[1]data!G134*(_xlfn.XLOOKUP([1]data!$C134,[2]data!$B$2:$B$218,[2]data!F$2:F$218)/100)</f>
        <v>0.56723607600000003</v>
      </c>
      <c r="K133">
        <f>[1]data!H134*(_xlfn.XLOOKUP([1]data!$C134,[2]data!$B$2:$B$218,[2]data!G$2:G$218)/100)</f>
        <v>0.69803791200000009</v>
      </c>
      <c r="L133">
        <f>[1]data!I134*(_xlfn.XLOOKUP([1]data!$C134,[2]data!$B$2:$B$218,[2]data!H$2:H$218)/100)</f>
        <v>0.87614422000000014</v>
      </c>
      <c r="M133">
        <f>[1]data!J134*(_xlfn.XLOOKUP([1]data!$C134,[2]data!$B$2:$B$218,[2]data!I$2:I$218)/100)</f>
        <v>1.1303495299999997</v>
      </c>
      <c r="N133">
        <f>[1]data!K134*(_xlfn.XLOOKUP([1]data!$C134,[2]data!$B$2:$B$218,[2]data!J$2:J$218)/100)</f>
        <v>1.3754904960000001</v>
      </c>
      <c r="O133">
        <f>[1]data!L134*(_xlfn.XLOOKUP([1]data!$C134,[2]data!$B$2:$B$218,[2]data!K$2:K$218)/100)</f>
        <v>1.6377901319999999</v>
      </c>
      <c r="P133">
        <f>[1]data!M134*(_xlfn.XLOOKUP([1]data!$C134,[2]data!$B$2:$B$218,[2]data!L$2:L$218)/100)</f>
        <v>1.9226459670000002</v>
      </c>
      <c r="Q133">
        <f>[1]data!N134*(_xlfn.XLOOKUP([1]data!$C134,[2]data!$B$2:$B$218,[2]data!M$2:M$218)/100)</f>
        <v>2.218739958</v>
      </c>
      <c r="R133">
        <f>[1]data!O134*(_xlfn.XLOOKUP([1]data!$C134,[2]data!$B$2:$B$218,[2]data!N$2:N$218)/100)</f>
        <v>2.5427267200000001</v>
      </c>
      <c r="S133">
        <f>[1]data!P134*(_xlfn.XLOOKUP([1]data!$C134,[2]data!$B$2:$B$218,[2]data!O$2:O$218)/100)</f>
        <v>2.8083121440000003</v>
      </c>
      <c r="T133">
        <f>[1]data!Q134*(_xlfn.XLOOKUP([1]data!$C134,[2]data!$B$2:$B$218,[2]data!P$2:P$218)/100)</f>
        <v>3.0285099519999998</v>
      </c>
      <c r="U133">
        <f>[1]data!R134*(_xlfn.XLOOKUP([1]data!$C134,[2]data!$B$2:$B$218,[2]data!Q$2:Q$218)/100)</f>
        <v>3.3074268689999999</v>
      </c>
      <c r="V133">
        <f>[1]data!S134*(_xlfn.XLOOKUP([1]data!$C134,[2]data!$B$2:$B$218,[2]data!R$2:R$218)/100)</f>
        <v>3.6207573929999994</v>
      </c>
      <c r="W133">
        <f>[1]data!T134*(_xlfn.XLOOKUP([1]data!$C134,[2]data!$B$2:$B$218,[2]data!S$2:S$218)/100)</f>
        <v>3.958725359999999</v>
      </c>
      <c r="X133">
        <f>[1]data!U134*(_xlfn.XLOOKUP([1]data!$C134,[2]data!$B$2:$B$218,[2]data!T$2:T$218)/100)</f>
        <v>4.3909247339200066</v>
      </c>
      <c r="Y133">
        <f>[1]data!V134*(_xlfn.XLOOKUP([1]data!$C134,[2]data!$B$2:$B$218,[2]data!U$2:U$218)/100)</f>
        <v>4.8065945585400058</v>
      </c>
      <c r="Z133">
        <f>[1]data!W134*(_xlfn.XLOOKUP([1]data!$C134,[2]data!$B$2:$B$218,[2]data!V$2:V$218)/100)</f>
        <v>5.1963147088799939</v>
      </c>
      <c r="AA133">
        <f>[1]data!X134*(_xlfn.XLOOKUP([1]data!$C134,[2]data!$B$2:$B$218,[2]data!W$2:W$218)/100)</f>
        <v>5.5487578761599945</v>
      </c>
      <c r="AB133">
        <f>[1]data!Y134*(_xlfn.XLOOKUP([1]data!$C134,[2]data!$B$2:$B$218,[2]data!X$2:X$218)/100)</f>
        <v>5.8572672577899993</v>
      </c>
      <c r="AC133">
        <f>[1]data!Z134*(_xlfn.XLOOKUP([1]data!$C134,[2]data!$B$2:$B$218,[2]data!Y$2:Y$218)/100)</f>
        <v>6.1271733304200007</v>
      </c>
      <c r="AD133">
        <f>[1]data!AA134*(_xlfn.XLOOKUP([1]data!$C134,[2]data!$B$2:$B$218,[2]data!Z$2:Z$218)/100)</f>
        <v>6.3597014845000004</v>
      </c>
      <c r="AE133">
        <f>[1]data!AB134*(_xlfn.XLOOKUP([1]data!$C134,[2]data!$B$2:$B$218,[2]data!AA$2:AA$218)/100)</f>
        <v>6.5494607513900078</v>
      </c>
      <c r="AF133">
        <f>[1]data!AC134*(_xlfn.XLOOKUP([1]data!$C134,[2]data!$B$2:$B$218,[2]data!AB$2:AB$218)/100)</f>
        <v>6.7034269403000009</v>
      </c>
      <c r="AG133">
        <f>[1]data!AD134*(_xlfn.XLOOKUP([1]data!$C134,[2]data!$B$2:$B$218,[2]data!AC$2:AC$218)/100)</f>
        <v>6.8178945387999992</v>
      </c>
      <c r="AH133">
        <f>[1]data!AE134*(_xlfn.XLOOKUP([1]data!$C134,[2]data!$B$2:$B$218,[2]data!AD$2:AD$218)/100)</f>
        <v>6.8963251315800003</v>
      </c>
      <c r="AI133">
        <f>[1]data!AF134*(_xlfn.XLOOKUP([1]data!$C134,[2]data!$B$2:$B$218,[2]data!AE$2:AE$218)/100)</f>
        <v>6.9403098585700089</v>
      </c>
      <c r="AJ133">
        <f>[1]data!AG134*(_xlfn.XLOOKUP([1]data!$C134,[2]data!$B$2:$B$218,[2]data!AF$2:AF$218)/100)</f>
        <v>6.9594692885000011</v>
      </c>
      <c r="AK133">
        <f>[1]data!AH134*(_xlfn.XLOOKUP([1]data!$C134,[2]data!$B$2:$B$218,[2]data!AG$2:AG$218)/100)</f>
        <v>6.9575842672599997</v>
      </c>
      <c r="AL133">
        <f>[1]data!AI134*(_xlfn.XLOOKUP([1]data!$C134,[2]data!$B$2:$B$218,[2]data!AH$2:AH$218)/100)</f>
        <v>6.9428917921000011</v>
      </c>
      <c r="AM133">
        <f>[1]data!AJ134*(_xlfn.XLOOKUP([1]data!$C134,[2]data!$B$2:$B$218,[2]data!AI$2:AI$218)/100)</f>
        <v>6.9208301463299993</v>
      </c>
    </row>
    <row r="134" spans="1:39" x14ac:dyDescent="0.25">
      <c r="A134" t="s">
        <v>30</v>
      </c>
      <c r="B134" t="s">
        <v>31</v>
      </c>
      <c r="C134" t="s">
        <v>165</v>
      </c>
      <c r="D134" t="s">
        <v>392</v>
      </c>
      <c r="E134" t="str">
        <f>_xlfn.XLOOKUP(D134,[6]Feuil1!$C$2:$C$248,[6]Feuil1!$B$2:$B$248)</f>
        <v>NL</v>
      </c>
      <c r="F134" t="s">
        <v>33</v>
      </c>
      <c r="G134" t="str">
        <f>_xlfn.XLOOKUP(C134,[3]Sheet1!$B$2:$B$172,[3]Sheet1!$D$2:$D$172)</f>
        <v>Western Europe</v>
      </c>
      <c r="H134" t="s">
        <v>34</v>
      </c>
      <c r="I134">
        <f>[1]data!F135*(_xlfn.XLOOKUP([1]data!$C135,[2]data!$B$2:$B$218,[2]data!E$2:E$218)/100)</f>
        <v>5.6251733670000013</v>
      </c>
      <c r="J134">
        <f>[1]data!G135*(_xlfn.XLOOKUP([1]data!$C135,[2]data!$B$2:$B$218,[2]data!F$2:F$218)/100)</f>
        <v>6.2055742799999996</v>
      </c>
      <c r="K134">
        <f>[1]data!H135*(_xlfn.XLOOKUP([1]data!$C135,[2]data!$B$2:$B$218,[2]data!G$2:G$218)/100)</f>
        <v>6.8280495139999999</v>
      </c>
      <c r="L134">
        <f>[1]data!I135*(_xlfn.XLOOKUP([1]data!$C135,[2]data!$B$2:$B$218,[2]data!H$2:H$218)/100)</f>
        <v>7.4170534080000001</v>
      </c>
      <c r="M134">
        <f>[1]data!J135*(_xlfn.XLOOKUP([1]data!$C135,[2]data!$B$2:$B$218,[2]data!I$2:I$218)/100)</f>
        <v>7.9969012139999993</v>
      </c>
      <c r="N134">
        <f>[1]data!K135*(_xlfn.XLOOKUP([1]data!$C135,[2]data!$B$2:$B$218,[2]data!J$2:J$218)/100)</f>
        <v>8.6048588559999999</v>
      </c>
      <c r="O134">
        <f>[1]data!L135*(_xlfn.XLOOKUP([1]data!$C135,[2]data!$B$2:$B$218,[2]data!K$2:K$218)/100)</f>
        <v>9.1132000990000002</v>
      </c>
      <c r="P134">
        <f>[1]data!M135*(_xlfn.XLOOKUP([1]data!$C135,[2]data!$B$2:$B$218,[2]data!L$2:L$218)/100)</f>
        <v>9.6571261500000016</v>
      </c>
      <c r="Q134">
        <f>[1]data!N135*(_xlfn.XLOOKUP([1]data!$C135,[2]data!$B$2:$B$218,[2]data!M$2:M$218)/100)</f>
        <v>10.232392344000001</v>
      </c>
      <c r="R134">
        <f>[1]data!O135*(_xlfn.XLOOKUP([1]data!$C135,[2]data!$B$2:$B$218,[2]data!N$2:N$218)/100)</f>
        <v>11.211033288000001</v>
      </c>
      <c r="S134">
        <f>[1]data!P135*(_xlfn.XLOOKUP([1]data!$C135,[2]data!$B$2:$B$218,[2]data!O$2:O$218)/100)</f>
        <v>12.177352704</v>
      </c>
      <c r="T134">
        <f>[1]data!Q135*(_xlfn.XLOOKUP([1]data!$C135,[2]data!$B$2:$B$218,[2]data!P$2:P$218)/100)</f>
        <v>13.406032864000002</v>
      </c>
      <c r="U134">
        <f>[1]data!R135*(_xlfn.XLOOKUP([1]data!$C135,[2]data!$B$2:$B$218,[2]data!Q$2:Q$218)/100)</f>
        <v>14.437333663999999</v>
      </c>
      <c r="V134">
        <f>[1]data!S135*(_xlfn.XLOOKUP([1]data!$C135,[2]data!$B$2:$B$218,[2]data!R$2:R$218)/100)</f>
        <v>15.333785324000001</v>
      </c>
      <c r="W134">
        <f>[1]data!T135*(_xlfn.XLOOKUP([1]data!$C135,[2]data!$B$2:$B$218,[2]data!S$2:S$218)/100)</f>
        <v>16.044901238000001</v>
      </c>
      <c r="X134">
        <f>[1]data!U135*(_xlfn.XLOOKUP([1]data!$C135,[2]data!$B$2:$B$218,[2]data!T$2:T$218)/100)</f>
        <v>16.344426527</v>
      </c>
      <c r="Y134">
        <f>[1]data!V135*(_xlfn.XLOOKUP([1]data!$C135,[2]data!$B$2:$B$218,[2]data!U$2:U$218)/100)</f>
        <v>16.5784709066</v>
      </c>
      <c r="Z134">
        <f>[1]data!W135*(_xlfn.XLOOKUP([1]data!$C135,[2]data!$B$2:$B$218,[2]data!V$2:V$218)/100)</f>
        <v>16.761935145549998</v>
      </c>
      <c r="AA134">
        <f>[1]data!X135*(_xlfn.XLOOKUP([1]data!$C135,[2]data!$B$2:$B$218,[2]data!W$2:W$218)/100)</f>
        <v>16.884883314</v>
      </c>
      <c r="AB134">
        <f>[1]data!Y135*(_xlfn.XLOOKUP([1]data!$C135,[2]data!$B$2:$B$218,[2]data!X$2:X$218)/100)</f>
        <v>16.962785734000001</v>
      </c>
      <c r="AC134">
        <f>[1]data!Z135*(_xlfn.XLOOKUP([1]data!$C135,[2]data!$B$2:$B$218,[2]data!Y$2:Y$218)/100)</f>
        <v>17.029035686739999</v>
      </c>
      <c r="AD134">
        <f>[1]data!AA135*(_xlfn.XLOOKUP([1]data!$C135,[2]data!$B$2:$B$218,[2]data!Z$2:Z$218)/100)</f>
        <v>17.063594541600001</v>
      </c>
      <c r="AE134">
        <f>[1]data!AB135*(_xlfn.XLOOKUP([1]data!$C135,[2]data!$B$2:$B$218,[2]data!AA$2:AA$218)/100)</f>
        <v>17.088567412990002</v>
      </c>
      <c r="AF134">
        <f>[1]data!AC135*(_xlfn.XLOOKUP([1]data!$C135,[2]data!$B$2:$B$218,[2]data!AB$2:AB$218)/100)</f>
        <v>17.11718943064</v>
      </c>
      <c r="AG134">
        <f>[1]data!AD135*(_xlfn.XLOOKUP([1]data!$C135,[2]data!$B$2:$B$218,[2]data!AC$2:AC$218)/100)</f>
        <v>17.168202169199997</v>
      </c>
      <c r="AH134">
        <f>[1]data!AE135*(_xlfn.XLOOKUP([1]data!$C135,[2]data!$B$2:$B$218,[2]data!AD$2:AD$218)/100)</f>
        <v>17.233623897000001</v>
      </c>
      <c r="AI134">
        <f>[1]data!AF135*(_xlfn.XLOOKUP([1]data!$C135,[2]data!$B$2:$B$218,[2]data!AE$2:AE$218)/100)</f>
        <v>17.282476568749999</v>
      </c>
      <c r="AJ134">
        <f>[1]data!AG135*(_xlfn.XLOOKUP([1]data!$C135,[2]data!$B$2:$B$218,[2]data!AF$2:AF$218)/100)</f>
        <v>17.286604761600003</v>
      </c>
      <c r="AK134">
        <f>[1]data!AH135*(_xlfn.XLOOKUP([1]data!$C135,[2]data!$B$2:$B$218,[2]data!AG$2:AG$218)/100)</f>
        <v>17.242652418390001</v>
      </c>
      <c r="AL134">
        <f>[1]data!AI135*(_xlfn.XLOOKUP([1]data!$C135,[2]data!$B$2:$B$218,[2]data!AH$2:AH$218)/100)</f>
        <v>17.162083962240004</v>
      </c>
      <c r="AM134">
        <f>[1]data!AJ135*(_xlfn.XLOOKUP([1]data!$C135,[2]data!$B$2:$B$218,[2]data!AI$2:AI$218)/100)</f>
        <v>17.057914230419996</v>
      </c>
    </row>
    <row r="135" spans="1:39" x14ac:dyDescent="0.25">
      <c r="A135" t="s">
        <v>30</v>
      </c>
      <c r="B135" t="s">
        <v>31</v>
      </c>
      <c r="C135" t="s">
        <v>166</v>
      </c>
      <c r="D135" t="s">
        <v>393</v>
      </c>
      <c r="E135" t="str">
        <f>_xlfn.XLOOKUP(D135,[6]Feuil1!$C$2:$C$248,[6]Feuil1!$B$2:$B$248)</f>
        <v>NO</v>
      </c>
      <c r="F135" t="s">
        <v>33</v>
      </c>
      <c r="G135" t="str">
        <f>_xlfn.XLOOKUP(C135,[3]Sheet1!$B$2:$B$172,[3]Sheet1!$D$2:$D$172)</f>
        <v>Western Europe</v>
      </c>
      <c r="H135" t="s">
        <v>34</v>
      </c>
      <c r="I135">
        <f>[1]data!F136*(_xlfn.XLOOKUP([1]data!$C136,[2]data!$B$2:$B$218,[2]data!E$2:E$218)/100)</f>
        <v>1.6574817099999999</v>
      </c>
      <c r="J135">
        <f>[1]data!G136*(_xlfn.XLOOKUP([1]data!$C136,[2]data!$B$2:$B$218,[2]data!F$2:F$218)/100)</f>
        <v>1.712542378</v>
      </c>
      <c r="K135">
        <f>[1]data!H136*(_xlfn.XLOOKUP([1]data!$C136,[2]data!$B$2:$B$218,[2]data!G$2:G$218)/100)</f>
        <v>1.780485393</v>
      </c>
      <c r="L135">
        <f>[1]data!I136*(_xlfn.XLOOKUP([1]data!$C136,[2]data!$B$2:$B$218,[2]data!H$2:H$218)/100)</f>
        <v>2.1363592320000002</v>
      </c>
      <c r="M135">
        <f>[1]data!J136*(_xlfn.XLOOKUP([1]data!$C136,[2]data!$B$2:$B$218,[2]data!I$2:I$218)/100)</f>
        <v>2.5264281600000005</v>
      </c>
      <c r="N135">
        <f>[1]data!K136*(_xlfn.XLOOKUP([1]data!$C136,[2]data!$B$2:$B$218,[2]data!J$2:J$218)/100)</f>
        <v>2.726408894</v>
      </c>
      <c r="O135">
        <f>[1]data!L136*(_xlfn.XLOOKUP([1]data!$C136,[2]data!$B$2:$B$218,[2]data!K$2:K$218)/100)</f>
        <v>2.8757323649999997</v>
      </c>
      <c r="P135">
        <f>[1]data!M136*(_xlfn.XLOOKUP([1]data!$C136,[2]data!$B$2:$B$218,[2]data!L$2:L$218)/100)</f>
        <v>2.9560837399999995</v>
      </c>
      <c r="Q135">
        <f>[1]data!N136*(_xlfn.XLOOKUP([1]data!$C136,[2]data!$B$2:$B$218,[2]data!M$2:M$218)/100)</f>
        <v>3.0479688</v>
      </c>
      <c r="R135">
        <f>[1]data!O136*(_xlfn.XLOOKUP([1]data!$C136,[2]data!$B$2:$B$218,[2]data!N$2:N$218)/100)</f>
        <v>3.2092144020000006</v>
      </c>
      <c r="S135">
        <f>[1]data!P136*(_xlfn.XLOOKUP([1]data!$C136,[2]data!$B$2:$B$218,[2]data!O$2:O$218)/100)</f>
        <v>3.4038249199999999</v>
      </c>
      <c r="T135">
        <f>[1]data!Q136*(_xlfn.XLOOKUP([1]data!$C136,[2]data!$B$2:$B$218,[2]data!P$2:P$218)/100)</f>
        <v>3.5794416420000004</v>
      </c>
      <c r="U135">
        <f>[1]data!R136*(_xlfn.XLOOKUP([1]data!$C136,[2]data!$B$2:$B$218,[2]data!Q$2:Q$218)/100)</f>
        <v>3.8432324909999998</v>
      </c>
      <c r="V135">
        <f>[1]data!S136*(_xlfn.XLOOKUP([1]data!$C136,[2]data!$B$2:$B$218,[2]data!R$2:R$218)/100)</f>
        <v>4.1898538909999994</v>
      </c>
      <c r="W135">
        <f>[1]data!T136*(_xlfn.XLOOKUP([1]data!$C136,[2]data!$B$2:$B$218,[2]data!S$2:S$218)/100)</f>
        <v>4.4553968399999997</v>
      </c>
      <c r="X135">
        <f>[1]data!U136*(_xlfn.XLOOKUP([1]data!$C136,[2]data!$B$2:$B$218,[2]data!T$2:T$218)/100)</f>
        <v>4.6390960512899992</v>
      </c>
      <c r="Y135">
        <f>[1]data!V136*(_xlfn.XLOOKUP([1]data!$C136,[2]data!$B$2:$B$218,[2]data!U$2:U$218)/100)</f>
        <v>4.8022289415800001</v>
      </c>
      <c r="Z135">
        <f>[1]data!W136*(_xlfn.XLOOKUP([1]data!$C136,[2]data!$B$2:$B$218,[2]data!V$2:V$218)/100)</f>
        <v>4.961895041</v>
      </c>
      <c r="AA135">
        <f>[1]data!X136*(_xlfn.XLOOKUP([1]data!$C136,[2]data!$B$2:$B$218,[2]data!W$2:W$218)/100)</f>
        <v>5.1183295620600004</v>
      </c>
      <c r="AB135">
        <f>[1]data!Y136*(_xlfn.XLOOKUP([1]data!$C136,[2]data!$B$2:$B$218,[2]data!X$2:X$218)/100)</f>
        <v>5.2731248471999912</v>
      </c>
      <c r="AC135">
        <f>[1]data!Z136*(_xlfn.XLOOKUP([1]data!$C136,[2]data!$B$2:$B$218,[2]data!Y$2:Y$218)/100)</f>
        <v>5.4324850199899997</v>
      </c>
      <c r="AD135">
        <f>[1]data!AA136*(_xlfn.XLOOKUP([1]data!$C136,[2]data!$B$2:$B$218,[2]data!Z$2:Z$218)/100)</f>
        <v>5.5717868413799998</v>
      </c>
      <c r="AE135">
        <f>[1]data!AB136*(_xlfn.XLOOKUP([1]data!$C136,[2]data!$B$2:$B$218,[2]data!AA$2:AA$218)/100)</f>
        <v>5.6968155424800004</v>
      </c>
      <c r="AF135">
        <f>[1]data!AC136*(_xlfn.XLOOKUP([1]data!$C136,[2]data!$B$2:$B$218,[2]data!AB$2:AB$218)/100)</f>
        <v>5.8081459329600085</v>
      </c>
      <c r="AG135">
        <f>[1]data!AD136*(_xlfn.XLOOKUP([1]data!$C136,[2]data!$B$2:$B$218,[2]data!AC$2:AC$218)/100)</f>
        <v>5.9133769235000093</v>
      </c>
      <c r="AH135">
        <f>[1]data!AE136*(_xlfn.XLOOKUP([1]data!$C136,[2]data!$B$2:$B$218,[2]data!AD$2:AD$218)/100)</f>
        <v>6.0144910408199985</v>
      </c>
      <c r="AI135">
        <f>[1]data!AF136*(_xlfn.XLOOKUP([1]data!$C136,[2]data!$B$2:$B$218,[2]data!AE$2:AE$218)/100)</f>
        <v>6.1039355713699992</v>
      </c>
      <c r="AJ135">
        <f>[1]data!AG136*(_xlfn.XLOOKUP([1]data!$C136,[2]data!$B$2:$B$218,[2]data!AF$2:AF$218)/100)</f>
        <v>6.1715181184799999</v>
      </c>
      <c r="AK135">
        <f>[1]data!AH136*(_xlfn.XLOOKUP([1]data!$C136,[2]data!$B$2:$B$218,[2]data!AG$2:AG$218)/100)</f>
        <v>6.2161281844400005</v>
      </c>
      <c r="AL135">
        <f>[1]data!AI136*(_xlfn.XLOOKUP([1]data!$C136,[2]data!$B$2:$B$218,[2]data!AH$2:AH$218)/100)</f>
        <v>6.2453840836200012</v>
      </c>
      <c r="AM135">
        <f>[1]data!AJ136*(_xlfn.XLOOKUP([1]data!$C136,[2]data!$B$2:$B$218,[2]data!AI$2:AI$218)/100)</f>
        <v>6.2647740298999999</v>
      </c>
    </row>
    <row r="136" spans="1:39" x14ac:dyDescent="0.25">
      <c r="A136" t="s">
        <v>30</v>
      </c>
      <c r="B136" t="s">
        <v>31</v>
      </c>
      <c r="C136" t="s">
        <v>167</v>
      </c>
      <c r="D136" t="s">
        <v>394</v>
      </c>
      <c r="E136" t="str">
        <f>_xlfn.XLOOKUP(D136,[6]Feuil1!$C$2:$C$248,[6]Feuil1!$B$2:$B$248)</f>
        <v>NP</v>
      </c>
      <c r="F136" t="s">
        <v>33</v>
      </c>
      <c r="G136" t="str">
        <f>_xlfn.XLOOKUP(C136,[3]Sheet1!$B$2:$B$172,[3]Sheet1!$D$2:$D$172)</f>
        <v>Rest of South Asia</v>
      </c>
      <c r="H136" t="s">
        <v>34</v>
      </c>
      <c r="I136">
        <f>[1]data!F137*(_xlfn.XLOOKUP([1]data!$C137,[2]data!$B$2:$B$218,[2]data!E$2:E$218)/100)</f>
        <v>0.22433133600000002</v>
      </c>
      <c r="J136">
        <f>[1]data!G137*(_xlfn.XLOOKUP([1]data!$C137,[2]data!$B$2:$B$218,[2]data!F$2:F$218)/100)</f>
        <v>0.28513920900000006</v>
      </c>
      <c r="K136">
        <f>[1]data!H137*(_xlfn.XLOOKUP([1]data!$C137,[2]data!$B$2:$B$218,[2]data!G$2:G$218)/100)</f>
        <v>0.35251191500000001</v>
      </c>
      <c r="L136">
        <f>[1]data!I137*(_xlfn.XLOOKUP([1]data!$C137,[2]data!$B$2:$B$218,[2]data!H$2:H$218)/100)</f>
        <v>0.41127202000000002</v>
      </c>
      <c r="M136">
        <f>[1]data!J137*(_xlfn.XLOOKUP([1]data!$C137,[2]data!$B$2:$B$218,[2]data!I$2:I$218)/100)</f>
        <v>0.49456519999999998</v>
      </c>
      <c r="N136">
        <f>[1]data!K137*(_xlfn.XLOOKUP([1]data!$C137,[2]data!$B$2:$B$218,[2]data!J$2:J$218)/100)</f>
        <v>0.66114326400000001</v>
      </c>
      <c r="O136">
        <f>[1]data!L137*(_xlfn.XLOOKUP([1]data!$C137,[2]data!$B$2:$B$218,[2]data!K$2:K$218)/100)</f>
        <v>0.94039033500000002</v>
      </c>
      <c r="P136">
        <f>[1]data!M137*(_xlfn.XLOOKUP([1]data!$C137,[2]data!$B$2:$B$218,[2]data!L$2:L$218)/100)</f>
        <v>1.2832490220000001</v>
      </c>
      <c r="Q136">
        <f>[1]data!N137*(_xlfn.XLOOKUP([1]data!$C137,[2]data!$B$2:$B$218,[2]data!M$2:M$218)/100)</f>
        <v>1.7236770620000001</v>
      </c>
      <c r="R136">
        <f>[1]data!O137*(_xlfn.XLOOKUP([1]data!$C137,[2]data!$B$2:$B$218,[2]data!N$2:N$218)/100)</f>
        <v>2.4049100549999998</v>
      </c>
      <c r="S136">
        <f>[1]data!P137*(_xlfn.XLOOKUP([1]data!$C137,[2]data!$B$2:$B$218,[2]data!O$2:O$218)/100)</f>
        <v>3.2640123340000002</v>
      </c>
      <c r="T136">
        <f>[1]data!Q137*(_xlfn.XLOOKUP([1]data!$C137,[2]data!$B$2:$B$218,[2]data!P$2:P$218)/100)</f>
        <v>3.9494090769999999</v>
      </c>
      <c r="U136">
        <f>[1]data!R137*(_xlfn.XLOOKUP([1]data!$C137,[2]data!$B$2:$B$218,[2]data!Q$2:Q$218)/100)</f>
        <v>4.5520196400000001</v>
      </c>
      <c r="V136">
        <f>[1]data!S137*(_xlfn.XLOOKUP([1]data!$C137,[2]data!$B$2:$B$218,[2]data!R$2:R$218)/100)</f>
        <v>5.1182494200000015</v>
      </c>
      <c r="W136">
        <f>[1]data!T137*(_xlfn.XLOOKUP([1]data!$C137,[2]data!$B$2:$B$218,[2]data!S$2:S$218)/100)</f>
        <v>5.9738399380000002</v>
      </c>
      <c r="X136">
        <f>[1]data!U137*(_xlfn.XLOOKUP([1]data!$C137,[2]data!$B$2:$B$218,[2]data!T$2:T$218)/100)</f>
        <v>6.9247043632200009</v>
      </c>
      <c r="Y136">
        <f>[1]data!V137*(_xlfn.XLOOKUP([1]data!$C137,[2]data!$B$2:$B$218,[2]data!U$2:U$218)/100)</f>
        <v>7.9155801368000001</v>
      </c>
      <c r="Z136">
        <f>[1]data!W137*(_xlfn.XLOOKUP([1]data!$C137,[2]data!$B$2:$B$218,[2]data!V$2:V$218)/100)</f>
        <v>8.9137152000000022</v>
      </c>
      <c r="AA136">
        <f>[1]data!X137*(_xlfn.XLOOKUP([1]data!$C137,[2]data!$B$2:$B$218,[2]data!W$2:W$218)/100)</f>
        <v>9.9149012235599994</v>
      </c>
      <c r="AB136">
        <f>[1]data!Y137*(_xlfn.XLOOKUP([1]data!$C137,[2]data!$B$2:$B$218,[2]data!X$2:X$218)/100)</f>
        <v>10.91987470155</v>
      </c>
      <c r="AC136">
        <f>[1]data!Z137*(_xlfn.XLOOKUP([1]data!$C137,[2]data!$B$2:$B$218,[2]data!Y$2:Y$218)/100)</f>
        <v>11.918768332799999</v>
      </c>
      <c r="AD136">
        <f>[1]data!AA137*(_xlfn.XLOOKUP([1]data!$C137,[2]data!$B$2:$B$218,[2]data!Z$2:Z$218)/100)</f>
        <v>12.897137280720003</v>
      </c>
      <c r="AE136">
        <f>[1]data!AB137*(_xlfn.XLOOKUP([1]data!$C137,[2]data!$B$2:$B$218,[2]data!AA$2:AA$218)/100)</f>
        <v>13.82460136704</v>
      </c>
      <c r="AF136">
        <f>[1]data!AC137*(_xlfn.XLOOKUP([1]data!$C137,[2]data!$B$2:$B$218,[2]data!AB$2:AB$218)/100)</f>
        <v>14.705133529099959</v>
      </c>
      <c r="AG136">
        <f>[1]data!AD137*(_xlfn.XLOOKUP([1]data!$C137,[2]data!$B$2:$B$218,[2]data!AC$2:AC$218)/100)</f>
        <v>15.530623716879999</v>
      </c>
      <c r="AH136">
        <f>[1]data!AE137*(_xlfn.XLOOKUP([1]data!$C137,[2]data!$B$2:$B$218,[2]data!AD$2:AD$218)/100)</f>
        <v>16.291543728459999</v>
      </c>
      <c r="AI136">
        <f>[1]data!AF137*(_xlfn.XLOOKUP([1]data!$C137,[2]data!$B$2:$B$218,[2]data!AE$2:AE$218)/100)</f>
        <v>16.979054068160004</v>
      </c>
      <c r="AJ136">
        <f>[1]data!AG137*(_xlfn.XLOOKUP([1]data!$C137,[2]data!$B$2:$B$218,[2]data!AF$2:AF$218)/100)</f>
        <v>17.57737051866</v>
      </c>
      <c r="AK136">
        <f>[1]data!AH137*(_xlfn.XLOOKUP([1]data!$C137,[2]data!$B$2:$B$218,[2]data!AG$2:AG$218)/100)</f>
        <v>18.09310318388</v>
      </c>
      <c r="AL136">
        <f>[1]data!AI137*(_xlfn.XLOOKUP([1]data!$C137,[2]data!$B$2:$B$218,[2]data!AH$2:AH$218)/100)</f>
        <v>18.548432210489999</v>
      </c>
      <c r="AM136">
        <f>[1]data!AJ137*(_xlfn.XLOOKUP([1]data!$C137,[2]data!$B$2:$B$218,[2]data!AI$2:AI$218)/100)</f>
        <v>18.979619313900002</v>
      </c>
    </row>
    <row r="137" spans="1:39" x14ac:dyDescent="0.25">
      <c r="A137" t="s">
        <v>30</v>
      </c>
      <c r="B137" t="s">
        <v>31</v>
      </c>
      <c r="C137" t="s">
        <v>168</v>
      </c>
      <c r="D137" t="s">
        <v>395</v>
      </c>
      <c r="E137" t="str">
        <f>_xlfn.XLOOKUP(D137,[6]Feuil1!$C$2:$C$248,[6]Feuil1!$B$2:$B$248)</f>
        <v>NZ</v>
      </c>
      <c r="F137" t="s">
        <v>33</v>
      </c>
      <c r="G137" t="str">
        <f>_xlfn.XLOOKUP(C137,[3]Sheet1!$B$2:$B$172,[3]Sheet1!$D$2:$D$172)</f>
        <v>Oceania</v>
      </c>
      <c r="H137" t="s">
        <v>34</v>
      </c>
      <c r="I137">
        <f>[1]data!F138*(_xlfn.XLOOKUP([1]data!$C138,[2]data!$B$2:$B$218,[2]data!E$2:E$218)/100)</f>
        <v>1.3721988000000001</v>
      </c>
      <c r="J137">
        <f>[1]data!G138*(_xlfn.XLOOKUP([1]data!$C138,[2]data!$B$2:$B$218,[2]data!F$2:F$218)/100)</f>
        <v>1.5595184960000001</v>
      </c>
      <c r="K137">
        <f>[1]data!H138*(_xlfn.XLOOKUP([1]data!$C138,[2]data!$B$2:$B$218,[2]data!G$2:G$218)/100)</f>
        <v>1.7919941200000002</v>
      </c>
      <c r="L137">
        <f>[1]data!I138*(_xlfn.XLOOKUP([1]data!$C138,[2]data!$B$2:$B$218,[2]data!H$2:H$218)/100)</f>
        <v>2.0633320470000003</v>
      </c>
      <c r="M137">
        <f>[1]data!J138*(_xlfn.XLOOKUP([1]data!$C138,[2]data!$B$2:$B$218,[2]data!I$2:I$218)/100)</f>
        <v>2.2732800379999998</v>
      </c>
      <c r="N137">
        <f>[1]data!K138*(_xlfn.XLOOKUP([1]data!$C138,[2]data!$B$2:$B$218,[2]data!J$2:J$218)/100)</f>
        <v>2.5447718880000001</v>
      </c>
      <c r="O137">
        <f>[1]data!L138*(_xlfn.XLOOKUP([1]data!$C138,[2]data!$B$2:$B$218,[2]data!K$2:K$218)/100)</f>
        <v>2.6209817760000007</v>
      </c>
      <c r="P137">
        <f>[1]data!M138*(_xlfn.XLOOKUP([1]data!$C138,[2]data!$B$2:$B$218,[2]data!L$2:L$218)/100)</f>
        <v>2.7310414410000003</v>
      </c>
      <c r="Q137">
        <f>[1]data!N138*(_xlfn.XLOOKUP([1]data!$C138,[2]data!$B$2:$B$218,[2]data!M$2:M$218)/100)</f>
        <v>2.8331159009999998</v>
      </c>
      <c r="R137">
        <f>[1]data!O138*(_xlfn.XLOOKUP([1]data!$C138,[2]data!$B$2:$B$218,[2]data!N$2:N$218)/100)</f>
        <v>3.1210770079999999</v>
      </c>
      <c r="S137">
        <f>[1]data!P138*(_xlfn.XLOOKUP([1]data!$C138,[2]data!$B$2:$B$218,[2]data!O$2:O$218)/100)</f>
        <v>3.3052861600000005</v>
      </c>
      <c r="T137">
        <f>[1]data!Q138*(_xlfn.XLOOKUP([1]data!$C138,[2]data!$B$2:$B$218,[2]data!P$2:P$218)/100)</f>
        <v>3.5453084230000003</v>
      </c>
      <c r="U137">
        <f>[1]data!R138*(_xlfn.XLOOKUP([1]data!$C138,[2]data!$B$2:$B$218,[2]data!Q$2:Q$218)/100)</f>
        <v>3.7288128780000003</v>
      </c>
      <c r="V137">
        <f>[1]data!S138*(_xlfn.XLOOKUP([1]data!$C138,[2]data!$B$2:$B$218,[2]data!R$2:R$218)/100)</f>
        <v>3.9284113829999998</v>
      </c>
      <c r="W137">
        <f>[1]data!T138*(_xlfn.XLOOKUP([1]data!$C138,[2]data!$B$2:$B$218,[2]data!S$2:S$218)/100)</f>
        <v>4.3579624949999998</v>
      </c>
      <c r="X137">
        <f>[1]data!U138*(_xlfn.XLOOKUP([1]data!$C138,[2]data!$B$2:$B$218,[2]data!T$2:T$218)/100)</f>
        <v>4.5414418116600004</v>
      </c>
      <c r="Y137">
        <f>[1]data!V138*(_xlfn.XLOOKUP([1]data!$C138,[2]data!$B$2:$B$218,[2]data!U$2:U$218)/100)</f>
        <v>4.7134801748999999</v>
      </c>
      <c r="Z137">
        <f>[1]data!W138*(_xlfn.XLOOKUP([1]data!$C138,[2]data!$B$2:$B$218,[2]data!V$2:V$218)/100)</f>
        <v>4.8721816704000016</v>
      </c>
      <c r="AA137">
        <f>[1]data!X138*(_xlfn.XLOOKUP([1]data!$C138,[2]data!$B$2:$B$218,[2]data!W$2:W$218)/100)</f>
        <v>5.0194876131600008</v>
      </c>
      <c r="AB137">
        <f>[1]data!Y138*(_xlfn.XLOOKUP([1]data!$C138,[2]data!$B$2:$B$218,[2]data!X$2:X$218)/100)</f>
        <v>5.1582544638400005</v>
      </c>
      <c r="AC137">
        <f>[1]data!Z138*(_xlfn.XLOOKUP([1]data!$C138,[2]data!$B$2:$B$218,[2]data!Y$2:Y$218)/100)</f>
        <v>5.2886349946800006</v>
      </c>
      <c r="AD137">
        <f>[1]data!AA138*(_xlfn.XLOOKUP([1]data!$C138,[2]data!$B$2:$B$218,[2]data!Z$2:Z$218)/100)</f>
        <v>5.40219162</v>
      </c>
      <c r="AE137">
        <f>[1]data!AB138*(_xlfn.XLOOKUP([1]data!$C138,[2]data!$B$2:$B$218,[2]data!AA$2:AA$218)/100)</f>
        <v>5.5033498556800007</v>
      </c>
      <c r="AF137">
        <f>[1]data!AC138*(_xlfn.XLOOKUP([1]data!$C138,[2]data!$B$2:$B$218,[2]data!AB$2:AB$218)/100)</f>
        <v>5.5920955711500104</v>
      </c>
      <c r="AG137">
        <f>[1]data!AD138*(_xlfn.XLOOKUP([1]data!$C138,[2]data!$B$2:$B$218,[2]data!AC$2:AC$218)/100)</f>
        <v>5.6706843291399993</v>
      </c>
      <c r="AH137">
        <f>[1]data!AE138*(_xlfn.XLOOKUP([1]data!$C138,[2]data!$B$2:$B$218,[2]data!AD$2:AD$218)/100)</f>
        <v>5.7366592372800005</v>
      </c>
      <c r="AI137">
        <f>[1]data!AF138*(_xlfn.XLOOKUP([1]data!$C138,[2]data!$B$2:$B$218,[2]data!AE$2:AE$218)/100)</f>
        <v>5.7862639988000009</v>
      </c>
      <c r="AJ137">
        <f>[1]data!AG138*(_xlfn.XLOOKUP([1]data!$C138,[2]data!$B$2:$B$218,[2]data!AF$2:AF$218)/100)</f>
        <v>5.8160635560999996</v>
      </c>
      <c r="AK137">
        <f>[1]data!AH138*(_xlfn.XLOOKUP([1]data!$C138,[2]data!$B$2:$B$218,[2]data!AG$2:AG$218)/100)</f>
        <v>5.8246739196600004</v>
      </c>
      <c r="AL137">
        <f>[1]data!AI138*(_xlfn.XLOOKUP([1]data!$C138,[2]data!$B$2:$B$218,[2]data!AH$2:AH$218)/100)</f>
        <v>5.8148176031599998</v>
      </c>
      <c r="AM137">
        <f>[1]data!AJ138*(_xlfn.XLOOKUP([1]data!$C138,[2]data!$B$2:$B$218,[2]data!AI$2:AI$218)/100)</f>
        <v>5.7911017148999999</v>
      </c>
    </row>
    <row r="138" spans="1:39" x14ac:dyDescent="0.25">
      <c r="A138" t="s">
        <v>30</v>
      </c>
      <c r="B138" t="s">
        <v>31</v>
      </c>
      <c r="C138" t="s">
        <v>169</v>
      </c>
      <c r="D138" t="s">
        <v>396</v>
      </c>
      <c r="E138" t="str">
        <f>_xlfn.XLOOKUP(D138,[6]Feuil1!$C$2:$C$248,[6]Feuil1!$B$2:$B$248)</f>
        <v>OM</v>
      </c>
      <c r="F138" t="s">
        <v>33</v>
      </c>
      <c r="G138" t="str">
        <f>_xlfn.XLOOKUP(C138,[3]Sheet1!$B$2:$B$172,[3]Sheet1!$D$2:$D$172)</f>
        <v>Middle East</v>
      </c>
      <c r="H138" t="s">
        <v>34</v>
      </c>
      <c r="I138">
        <f>[1]data!F139*(_xlfn.XLOOKUP([1]data!$C139,[2]data!$B$2:$B$218,[2]data!E$2:E$218)/100)</f>
        <v>3.9059652E-2</v>
      </c>
      <c r="J138">
        <f>[1]data!G139*(_xlfn.XLOOKUP([1]data!$C139,[2]data!$B$2:$B$218,[2]data!F$2:F$218)/100)</f>
        <v>5.8618440000000008E-2</v>
      </c>
      <c r="K138">
        <f>[1]data!H139*(_xlfn.XLOOKUP([1]data!$C139,[2]data!$B$2:$B$218,[2]data!G$2:G$218)/100)</f>
        <v>8.721683999999999E-2</v>
      </c>
      <c r="L138">
        <f>[1]data!I139*(_xlfn.XLOOKUP([1]data!$C139,[2]data!$B$2:$B$218,[2]data!H$2:H$218)/100)</f>
        <v>0.13093043600000001</v>
      </c>
      <c r="M138">
        <f>[1]data!J139*(_xlfn.XLOOKUP([1]data!$C139,[2]data!$B$2:$B$218,[2]data!I$2:I$218)/100)</f>
        <v>0.19659023999999997</v>
      </c>
      <c r="N138">
        <f>[1]data!K139*(_xlfn.XLOOKUP([1]data!$C139,[2]data!$B$2:$B$218,[2]data!J$2:J$218)/100)</f>
        <v>0.29418049200000002</v>
      </c>
      <c r="O138">
        <f>[1]data!L139*(_xlfn.XLOOKUP([1]data!$C139,[2]data!$B$2:$B$218,[2]data!K$2:K$218)/100)</f>
        <v>0.47103579600000006</v>
      </c>
      <c r="P138">
        <f>[1]data!M139*(_xlfn.XLOOKUP([1]data!$C139,[2]data!$B$2:$B$218,[2]data!L$2:L$218)/100)</f>
        <v>0.74690682800000008</v>
      </c>
      <c r="Q138">
        <f>[1]data!N139*(_xlfn.XLOOKUP([1]data!$C139,[2]data!$B$2:$B$218,[2]data!M$2:M$218)/100)</f>
        <v>1.1627842689999999</v>
      </c>
      <c r="R138">
        <f>[1]data!O139*(_xlfn.XLOOKUP([1]data!$C139,[2]data!$B$2:$B$218,[2]data!N$2:N$218)/100)</f>
        <v>1.5441412380000004</v>
      </c>
      <c r="S138">
        <f>[1]data!P139*(_xlfn.XLOOKUP([1]data!$C139,[2]data!$B$2:$B$218,[2]data!O$2:O$218)/100)</f>
        <v>1.667375692</v>
      </c>
      <c r="T138">
        <f>[1]data!Q139*(_xlfn.XLOOKUP([1]data!$C139,[2]data!$B$2:$B$218,[2]data!P$2:P$218)/100)</f>
        <v>1.8044179600000003</v>
      </c>
      <c r="U138">
        <f>[1]data!R139*(_xlfn.XLOOKUP([1]data!$C139,[2]data!$B$2:$B$218,[2]data!Q$2:Q$218)/100)</f>
        <v>2.0463521760000001</v>
      </c>
      <c r="V138">
        <f>[1]data!S139*(_xlfn.XLOOKUP([1]data!$C139,[2]data!$B$2:$B$218,[2]data!R$2:R$218)/100)</f>
        <v>3.3253593119999998</v>
      </c>
      <c r="W138">
        <f>[1]data!T139*(_xlfn.XLOOKUP([1]data!$C139,[2]data!$B$2:$B$218,[2]data!S$2:S$218)/100)</f>
        <v>3.9604235050000005</v>
      </c>
      <c r="X138">
        <f>[1]data!U139*(_xlfn.XLOOKUP([1]data!$C139,[2]data!$B$2:$B$218,[2]data!T$2:T$218)/100)</f>
        <v>4.3733104993900085</v>
      </c>
      <c r="Y138">
        <f>[1]data!V139*(_xlfn.XLOOKUP([1]data!$C139,[2]data!$B$2:$B$218,[2]data!U$2:U$218)/100)</f>
        <v>4.7580106648999996</v>
      </c>
      <c r="Z138">
        <f>[1]data!W139*(_xlfn.XLOOKUP([1]data!$C139,[2]data!$B$2:$B$218,[2]data!V$2:V$218)/100)</f>
        <v>5.0994636922799996</v>
      </c>
      <c r="AA138">
        <f>[1]data!X139*(_xlfn.XLOOKUP([1]data!$C139,[2]data!$B$2:$B$218,[2]data!W$2:W$218)/100)</f>
        <v>5.41126629675</v>
      </c>
      <c r="AB138">
        <f>[1]data!Y139*(_xlfn.XLOOKUP([1]data!$C139,[2]data!$B$2:$B$218,[2]data!X$2:X$218)/100)</f>
        <v>5.7138649135900001</v>
      </c>
      <c r="AC138">
        <f>[1]data!Z139*(_xlfn.XLOOKUP([1]data!$C139,[2]data!$B$2:$B$218,[2]data!Y$2:Y$218)/100)</f>
        <v>5.9979900953699996</v>
      </c>
      <c r="AD138">
        <f>[1]data!AA139*(_xlfn.XLOOKUP([1]data!$C139,[2]data!$B$2:$B$218,[2]data!Z$2:Z$218)/100)</f>
        <v>6.2349094261999998</v>
      </c>
      <c r="AE138">
        <f>[1]data!AB139*(_xlfn.XLOOKUP([1]data!$C139,[2]data!$B$2:$B$218,[2]data!AA$2:AA$218)/100)</f>
        <v>6.4019618023199998</v>
      </c>
      <c r="AF138">
        <f>[1]data!AC139*(_xlfn.XLOOKUP([1]data!$C139,[2]data!$B$2:$B$218,[2]data!AB$2:AB$218)/100)</f>
        <v>6.4905944356800012</v>
      </c>
      <c r="AG138">
        <f>[1]data!AD139*(_xlfn.XLOOKUP([1]data!$C139,[2]data!$B$2:$B$218,[2]data!AC$2:AC$218)/100)</f>
        <v>6.5092882530799994</v>
      </c>
      <c r="AH138">
        <f>[1]data!AE139*(_xlfn.XLOOKUP([1]data!$C139,[2]data!$B$2:$B$218,[2]data!AD$2:AD$218)/100)</f>
        <v>6.4733631410000001</v>
      </c>
      <c r="AI138">
        <f>[1]data!AF139*(_xlfn.XLOOKUP([1]data!$C139,[2]data!$B$2:$B$218,[2]data!AE$2:AE$218)/100)</f>
        <v>6.4081359748200004</v>
      </c>
      <c r="AJ138">
        <f>[1]data!AG139*(_xlfn.XLOOKUP([1]data!$C139,[2]data!$B$2:$B$218,[2]data!AF$2:AF$218)/100)</f>
        <v>6.3338486181800002</v>
      </c>
      <c r="AK138">
        <f>[1]data!AH139*(_xlfn.XLOOKUP([1]data!$C139,[2]data!$B$2:$B$218,[2]data!AG$2:AG$218)/100)</f>
        <v>6.2719736523000007</v>
      </c>
      <c r="AL138">
        <f>[1]data!AI139*(_xlfn.XLOOKUP([1]data!$C139,[2]data!$B$2:$B$218,[2]data!AH$2:AH$218)/100)</f>
        <v>6.223867566960001</v>
      </c>
      <c r="AM138">
        <f>[1]data!AJ139*(_xlfn.XLOOKUP([1]data!$C139,[2]data!$B$2:$B$218,[2]data!AI$2:AI$218)/100)</f>
        <v>6.1745118412800002</v>
      </c>
    </row>
    <row r="139" spans="1:39" x14ac:dyDescent="0.25">
      <c r="A139" t="s">
        <v>30</v>
      </c>
      <c r="B139" t="s">
        <v>31</v>
      </c>
      <c r="C139" t="s">
        <v>170</v>
      </c>
      <c r="D139" t="s">
        <v>397</v>
      </c>
      <c r="E139" t="str">
        <f>_xlfn.XLOOKUP(D139,[6]Feuil1!$C$2:$C$248,[6]Feuil1!$B$2:$B$248)</f>
        <v>PK</v>
      </c>
      <c r="F139" t="s">
        <v>33</v>
      </c>
      <c r="G139" t="str">
        <f>_xlfn.XLOOKUP(C139,[3]Sheet1!$B$2:$B$172,[3]Sheet1!$D$2:$D$172)</f>
        <v>Rest of South Asia</v>
      </c>
      <c r="H139" t="s">
        <v>34</v>
      </c>
      <c r="I139">
        <f>[1]data!F140*(_xlfn.XLOOKUP([1]data!$C140,[2]data!$B$2:$B$218,[2]data!E$2:E$218)/100)</f>
        <v>6.5553249999999998</v>
      </c>
      <c r="J139">
        <f>[1]data!G140*(_xlfn.XLOOKUP([1]data!$C140,[2]data!$B$2:$B$218,[2]data!F$2:F$218)/100)</f>
        <v>7.9996254919999989</v>
      </c>
      <c r="K139">
        <f>[1]data!H140*(_xlfn.XLOOKUP([1]data!$C140,[2]data!$B$2:$B$218,[2]data!G$2:G$218)/100)</f>
        <v>10.029719466</v>
      </c>
      <c r="L139">
        <f>[1]data!I140*(_xlfn.XLOOKUP([1]data!$C140,[2]data!$B$2:$B$218,[2]data!H$2:H$218)/100)</f>
        <v>12.02777987</v>
      </c>
      <c r="M139">
        <f>[1]data!J140*(_xlfn.XLOOKUP([1]data!$C140,[2]data!$B$2:$B$218,[2]data!I$2:I$218)/100)</f>
        <v>14.499590568</v>
      </c>
      <c r="N139">
        <f>[1]data!K140*(_xlfn.XLOOKUP([1]data!$C140,[2]data!$B$2:$B$218,[2]data!J$2:J$218)/100)</f>
        <v>17.648434056000003</v>
      </c>
      <c r="O139">
        <f>[1]data!L140*(_xlfn.XLOOKUP([1]data!$C140,[2]data!$B$2:$B$218,[2]data!K$2:K$218)/100)</f>
        <v>22.150126232000002</v>
      </c>
      <c r="P139">
        <f>[1]data!M140*(_xlfn.XLOOKUP([1]data!$C140,[2]data!$B$2:$B$218,[2]data!L$2:L$218)/100)</f>
        <v>27.947812031999998</v>
      </c>
      <c r="Q139">
        <f>[1]data!N140*(_xlfn.XLOOKUP([1]data!$C140,[2]data!$B$2:$B$218,[2]data!M$2:M$218)/100)</f>
        <v>34.739664695999998</v>
      </c>
      <c r="R139">
        <f>[1]data!O140*(_xlfn.XLOOKUP([1]data!$C140,[2]data!$B$2:$B$218,[2]data!N$2:N$218)/100)</f>
        <v>41.670748937999996</v>
      </c>
      <c r="S139">
        <f>[1]data!P140*(_xlfn.XLOOKUP([1]data!$C140,[2]data!$B$2:$B$218,[2]data!O$2:O$218)/100)</f>
        <v>50.101421699999996</v>
      </c>
      <c r="T139">
        <f>[1]data!Q140*(_xlfn.XLOOKUP([1]data!$C140,[2]data!$B$2:$B$218,[2]data!P$2:P$218)/100)</f>
        <v>58.667474980000009</v>
      </c>
      <c r="U139">
        <f>[1]data!R140*(_xlfn.XLOOKUP([1]data!$C140,[2]data!$B$2:$B$218,[2]data!Q$2:Q$218)/100)</f>
        <v>67.299541749999989</v>
      </c>
      <c r="V139">
        <f>[1]data!S140*(_xlfn.XLOOKUP([1]data!$C140,[2]data!$B$2:$B$218,[2]data!R$2:R$218)/100)</f>
        <v>75.477228120000007</v>
      </c>
      <c r="W139">
        <f>[1]data!T140*(_xlfn.XLOOKUP([1]data!$C140,[2]data!$B$2:$B$218,[2]data!S$2:S$218)/100)</f>
        <v>83.741983548000022</v>
      </c>
      <c r="X139">
        <f>[1]data!U140*(_xlfn.XLOOKUP([1]data!$C140,[2]data!$B$2:$B$218,[2]data!T$2:T$218)/100)</f>
        <v>101.82097681542001</v>
      </c>
      <c r="Y139">
        <f>[1]data!V140*(_xlfn.XLOOKUP([1]data!$C140,[2]data!$B$2:$B$218,[2]data!U$2:U$218)/100)</f>
        <v>121.72487118390001</v>
      </c>
      <c r="Z139">
        <f>[1]data!W140*(_xlfn.XLOOKUP([1]data!$C140,[2]data!$B$2:$B$218,[2]data!V$2:V$218)/100)</f>
        <v>142.8781239109</v>
      </c>
      <c r="AA139">
        <f>[1]data!X140*(_xlfn.XLOOKUP([1]data!$C140,[2]data!$B$2:$B$218,[2]data!W$2:W$218)/100)</f>
        <v>164.67414852500002</v>
      </c>
      <c r="AB139">
        <f>[1]data!Y140*(_xlfn.XLOOKUP([1]data!$C140,[2]data!$B$2:$B$218,[2]data!X$2:X$218)/100)</f>
        <v>186.62658832224</v>
      </c>
      <c r="AC139">
        <f>[1]data!Z140*(_xlfn.XLOOKUP([1]data!$C140,[2]data!$B$2:$B$218,[2]data!Y$2:Y$218)/100)</f>
        <v>208.5457886577</v>
      </c>
      <c r="AD139">
        <f>[1]data!AA140*(_xlfn.XLOOKUP([1]data!$C140,[2]data!$B$2:$B$218,[2]data!Z$2:Z$218)/100)</f>
        <v>229.88327338484996</v>
      </c>
      <c r="AE139">
        <f>[1]data!AB140*(_xlfn.XLOOKUP([1]data!$C140,[2]data!$B$2:$B$218,[2]data!AA$2:AA$218)/100)</f>
        <v>250.41863572465002</v>
      </c>
      <c r="AF139">
        <f>[1]data!AC140*(_xlfn.XLOOKUP([1]data!$C140,[2]data!$B$2:$B$218,[2]data!AB$2:AB$218)/100)</f>
        <v>269.53970185527004</v>
      </c>
      <c r="AG139">
        <f>[1]data!AD140*(_xlfn.XLOOKUP([1]data!$C140,[2]data!$B$2:$B$218,[2]data!AC$2:AC$218)/100)</f>
        <v>286.97392933704003</v>
      </c>
      <c r="AH139">
        <f>[1]data!AE140*(_xlfn.XLOOKUP([1]data!$C140,[2]data!$B$2:$B$218,[2]data!AD$2:AD$218)/100)</f>
        <v>302.46704808410999</v>
      </c>
      <c r="AI139">
        <f>[1]data!AF140*(_xlfn.XLOOKUP([1]data!$C140,[2]data!$B$2:$B$218,[2]data!AE$2:AE$218)/100)</f>
        <v>315.89371174334997</v>
      </c>
      <c r="AJ139">
        <f>[1]data!AG140*(_xlfn.XLOOKUP([1]data!$C140,[2]data!$B$2:$B$218,[2]data!AF$2:AF$218)/100)</f>
        <v>327.56624878879995</v>
      </c>
      <c r="AK139">
        <f>[1]data!AH140*(_xlfn.XLOOKUP([1]data!$C140,[2]data!$B$2:$B$218,[2]data!AG$2:AG$218)/100)</f>
        <v>337.75258768217998</v>
      </c>
      <c r="AL139">
        <f>[1]data!AI140*(_xlfn.XLOOKUP([1]data!$C140,[2]data!$B$2:$B$218,[2]data!AH$2:AH$218)/100)</f>
        <v>346.52548699251008</v>
      </c>
      <c r="AM139">
        <f>[1]data!AJ140*(_xlfn.XLOOKUP([1]data!$C140,[2]data!$B$2:$B$218,[2]data!AI$2:AI$218)/100)</f>
        <v>354.01221384904005</v>
      </c>
    </row>
    <row r="140" spans="1:39" x14ac:dyDescent="0.25">
      <c r="A140" t="s">
        <v>30</v>
      </c>
      <c r="B140" t="s">
        <v>31</v>
      </c>
      <c r="C140" t="s">
        <v>171</v>
      </c>
      <c r="D140" t="s">
        <v>398</v>
      </c>
      <c r="E140" t="str">
        <f>_xlfn.XLOOKUP(D140,[6]Feuil1!$C$2:$C$248,[6]Feuil1!$B$2:$B$248)</f>
        <v>PA</v>
      </c>
      <c r="F140" t="s">
        <v>33</v>
      </c>
      <c r="G140" t="str">
        <f>_xlfn.XLOOKUP(C140,[3]Sheet1!$B$2:$B$172,[3]Sheet1!$D$2:$D$172)</f>
        <v>Central America</v>
      </c>
      <c r="H140" t="s">
        <v>34</v>
      </c>
      <c r="I140">
        <f>[1]data!F141*(_xlfn.XLOOKUP([1]data!$C141,[2]data!$B$2:$B$218,[2]data!E$2:E$218)/100)</f>
        <v>0.30451479999999997</v>
      </c>
      <c r="J140">
        <f>[1]data!G141*(_xlfn.XLOOKUP([1]data!$C141,[2]data!$B$2:$B$218,[2]data!F$2:F$218)/100)</f>
        <v>0.37225457499999998</v>
      </c>
      <c r="K140">
        <f>[1]data!H141*(_xlfn.XLOOKUP([1]data!$C141,[2]data!$B$2:$B$218,[2]data!G$2:G$218)/100)</f>
        <v>0.45751569999999997</v>
      </c>
      <c r="L140">
        <f>[1]data!I141*(_xlfn.XLOOKUP([1]data!$C141,[2]data!$B$2:$B$218,[2]data!H$2:H$218)/100)</f>
        <v>0.57311786400000009</v>
      </c>
      <c r="M140">
        <f>[1]data!J141*(_xlfn.XLOOKUP([1]data!$C141,[2]data!$B$2:$B$218,[2]data!I$2:I$218)/100)</f>
        <v>0.71159429600000002</v>
      </c>
      <c r="N140">
        <f>[1]data!K141*(_xlfn.XLOOKUP([1]data!$C141,[2]data!$B$2:$B$218,[2]data!J$2:J$218)/100)</f>
        <v>0.83925779</v>
      </c>
      <c r="O140">
        <f>[1]data!L141*(_xlfn.XLOOKUP([1]data!$C141,[2]data!$B$2:$B$218,[2]data!K$2:K$218)/100)</f>
        <v>0.97483680000000006</v>
      </c>
      <c r="P140">
        <f>[1]data!M141*(_xlfn.XLOOKUP([1]data!$C141,[2]data!$B$2:$B$218,[2]data!L$2:L$218)/100)</f>
        <v>1.1317354770000001</v>
      </c>
      <c r="Q140">
        <f>[1]data!N141*(_xlfn.XLOOKUP([1]data!$C141,[2]data!$B$2:$B$218,[2]data!M$2:M$218)/100)</f>
        <v>1.3064616180000002</v>
      </c>
      <c r="R140">
        <f>[1]data!O141*(_xlfn.XLOOKUP([1]data!$C141,[2]data!$B$2:$B$218,[2]data!N$2:N$218)/100)</f>
        <v>1.56203012</v>
      </c>
      <c r="S140">
        <f>[1]data!P141*(_xlfn.XLOOKUP([1]data!$C141,[2]data!$B$2:$B$218,[2]data!O$2:O$218)/100)</f>
        <v>1.8487538060000002</v>
      </c>
      <c r="T140">
        <f>[1]data!Q141*(_xlfn.XLOOKUP([1]data!$C141,[2]data!$B$2:$B$218,[2]data!P$2:P$218)/100)</f>
        <v>2.0858749730000001</v>
      </c>
      <c r="U140">
        <f>[1]data!R141*(_xlfn.XLOOKUP([1]data!$C141,[2]data!$B$2:$B$218,[2]data!Q$2:Q$218)/100)</f>
        <v>2.3380144199999999</v>
      </c>
      <c r="V140">
        <f>[1]data!S141*(_xlfn.XLOOKUP([1]data!$C141,[2]data!$B$2:$B$218,[2]data!R$2:R$218)/100)</f>
        <v>2.6164168880000003</v>
      </c>
      <c r="W140">
        <f>[1]data!T141*(_xlfn.XLOOKUP([1]data!$C141,[2]data!$B$2:$B$218,[2]data!S$2:S$218)/100)</f>
        <v>2.9176307280000007</v>
      </c>
      <c r="X140">
        <f>[1]data!U141*(_xlfn.XLOOKUP([1]data!$C141,[2]data!$B$2:$B$218,[2]data!T$2:T$218)/100)</f>
        <v>3.1798882005499935</v>
      </c>
      <c r="Y140">
        <f>[1]data!V141*(_xlfn.XLOOKUP([1]data!$C141,[2]data!$B$2:$B$218,[2]data!U$2:U$218)/100)</f>
        <v>3.4378352656200004</v>
      </c>
      <c r="Z140">
        <f>[1]data!W141*(_xlfn.XLOOKUP([1]data!$C141,[2]data!$B$2:$B$218,[2]data!V$2:V$218)/100)</f>
        <v>3.6843895047699999</v>
      </c>
      <c r="AA140">
        <f>[1]data!X141*(_xlfn.XLOOKUP([1]data!$C141,[2]data!$B$2:$B$218,[2]data!W$2:W$218)/100)</f>
        <v>3.9110433172199999</v>
      </c>
      <c r="AB140">
        <f>[1]data!Y141*(_xlfn.XLOOKUP([1]data!$C141,[2]data!$B$2:$B$218,[2]data!X$2:X$218)/100)</f>
        <v>4.1175309398300008</v>
      </c>
      <c r="AC140">
        <f>[1]data!Z141*(_xlfn.XLOOKUP([1]data!$C141,[2]data!$B$2:$B$218,[2]data!Y$2:Y$218)/100)</f>
        <v>4.2964463665599997</v>
      </c>
      <c r="AD140">
        <f>[1]data!AA141*(_xlfn.XLOOKUP([1]data!$C141,[2]data!$B$2:$B$218,[2]data!Z$2:Z$218)/100)</f>
        <v>4.4527867290399996</v>
      </c>
      <c r="AE140">
        <f>[1]data!AB141*(_xlfn.XLOOKUP([1]data!$C141,[2]data!$B$2:$B$218,[2]data!AA$2:AA$218)/100)</f>
        <v>4.5895983127999997</v>
      </c>
      <c r="AF140">
        <f>[1]data!AC141*(_xlfn.XLOOKUP([1]data!$C141,[2]data!$B$2:$B$218,[2]data!AB$2:AB$218)/100)</f>
        <v>4.7058553637000005</v>
      </c>
      <c r="AG140">
        <f>[1]data!AD141*(_xlfn.XLOOKUP([1]data!$C141,[2]data!$B$2:$B$218,[2]data!AC$2:AC$218)/100)</f>
        <v>4.8022717427000003</v>
      </c>
      <c r="AH140">
        <f>[1]data!AE141*(_xlfn.XLOOKUP([1]data!$C141,[2]data!$B$2:$B$218,[2]data!AD$2:AD$218)/100)</f>
        <v>4.8757562380600001</v>
      </c>
      <c r="AI140">
        <f>[1]data!AF141*(_xlfn.XLOOKUP([1]data!$C141,[2]data!$B$2:$B$218,[2]data!AE$2:AE$218)/100)</f>
        <v>4.929084306450001</v>
      </c>
      <c r="AJ140">
        <f>[1]data!AG141*(_xlfn.XLOOKUP([1]data!$C141,[2]data!$B$2:$B$218,[2]data!AF$2:AF$218)/100)</f>
        <v>4.9618878432000004</v>
      </c>
      <c r="AK140">
        <f>[1]data!AH141*(_xlfn.XLOOKUP([1]data!$C141,[2]data!$B$2:$B$218,[2]data!AG$2:AG$218)/100)</f>
        <v>4.9778452265999995</v>
      </c>
      <c r="AL140">
        <f>[1]data!AI141*(_xlfn.XLOOKUP([1]data!$C141,[2]data!$B$2:$B$218,[2]data!AH$2:AH$218)/100)</f>
        <v>4.9768706786399992</v>
      </c>
      <c r="AM140">
        <f>[1]data!AJ141*(_xlfn.XLOOKUP([1]data!$C141,[2]data!$B$2:$B$218,[2]data!AI$2:AI$218)/100)</f>
        <v>4.9597409270600004</v>
      </c>
    </row>
    <row r="141" spans="1:39" x14ac:dyDescent="0.25">
      <c r="A141" t="s">
        <v>30</v>
      </c>
      <c r="B141" t="s">
        <v>31</v>
      </c>
      <c r="C141" t="s">
        <v>172</v>
      </c>
      <c r="D141" t="s">
        <v>399</v>
      </c>
      <c r="E141" t="str">
        <f>_xlfn.XLOOKUP(D141,[6]Feuil1!$C$2:$C$248,[6]Feuil1!$B$2:$B$248)</f>
        <v>PE</v>
      </c>
      <c r="F141" t="s">
        <v>33</v>
      </c>
      <c r="G141" t="str">
        <f>_xlfn.XLOOKUP(C141,[3]Sheet1!$B$2:$B$172,[3]Sheet1!$D$2:$D$172)</f>
        <v>Rest of South America</v>
      </c>
      <c r="H141" t="s">
        <v>34</v>
      </c>
      <c r="I141">
        <f>[1]data!F142*(_xlfn.XLOOKUP([1]data!$C142,[2]data!$B$2:$B$218,[2]data!E$2:E$218)/100)</f>
        <v>3.1041862599999996</v>
      </c>
      <c r="J141">
        <f>[1]data!G142*(_xlfn.XLOOKUP([1]data!$C142,[2]data!$B$2:$B$218,[2]data!F$2:F$218)/100)</f>
        <v>3.8204286690000004</v>
      </c>
      <c r="K141">
        <f>[1]data!H142*(_xlfn.XLOOKUP([1]data!$C142,[2]data!$B$2:$B$218,[2]data!G$2:G$218)/100)</f>
        <v>4.6904579279999998</v>
      </c>
      <c r="L141">
        <f>[1]data!I142*(_xlfn.XLOOKUP([1]data!$C142,[2]data!$B$2:$B$218,[2]data!H$2:H$218)/100)</f>
        <v>6.0252448650000003</v>
      </c>
      <c r="M141">
        <f>[1]data!J142*(_xlfn.XLOOKUP([1]data!$C142,[2]data!$B$2:$B$218,[2]data!I$2:I$218)/100)</f>
        <v>7.6927927719999989</v>
      </c>
      <c r="N141">
        <f>[1]data!K142*(_xlfn.XLOOKUP([1]data!$C142,[2]data!$B$2:$B$218,[2]data!J$2:J$218)/100)</f>
        <v>9.37775493</v>
      </c>
      <c r="O141">
        <f>[1]data!L142*(_xlfn.XLOOKUP([1]data!$C142,[2]data!$B$2:$B$218,[2]data!K$2:K$218)/100)</f>
        <v>11.157470395999999</v>
      </c>
      <c r="P141">
        <f>[1]data!M142*(_xlfn.XLOOKUP([1]data!$C142,[2]data!$B$2:$B$218,[2]data!L$2:L$218)/100)</f>
        <v>13.055348349000003</v>
      </c>
      <c r="Q141">
        <f>[1]data!N142*(_xlfn.XLOOKUP([1]data!$C142,[2]data!$B$2:$B$218,[2]data!M$2:M$218)/100)</f>
        <v>15.065240619000001</v>
      </c>
      <c r="R141">
        <f>[1]data!O142*(_xlfn.XLOOKUP([1]data!$C142,[2]data!$B$2:$B$218,[2]data!N$2:N$218)/100)</f>
        <v>17.196242599999998</v>
      </c>
      <c r="S141">
        <f>[1]data!P142*(_xlfn.XLOOKUP([1]data!$C142,[2]data!$B$2:$B$218,[2]data!O$2:O$218)/100)</f>
        <v>19.317437389999998</v>
      </c>
      <c r="T141">
        <f>[1]data!Q142*(_xlfn.XLOOKUP([1]data!$C142,[2]data!$B$2:$B$218,[2]data!P$2:P$218)/100)</f>
        <v>21.020223000000001</v>
      </c>
      <c r="U141">
        <f>[1]data!R142*(_xlfn.XLOOKUP([1]data!$C142,[2]data!$B$2:$B$218,[2]data!Q$2:Q$218)/100)</f>
        <v>22.241927080000004</v>
      </c>
      <c r="V141">
        <f>[1]data!S142*(_xlfn.XLOOKUP([1]data!$C142,[2]data!$B$2:$B$218,[2]data!R$2:R$218)/100)</f>
        <v>23.623017156</v>
      </c>
      <c r="W141">
        <f>[1]data!T142*(_xlfn.XLOOKUP([1]data!$C142,[2]data!$B$2:$B$218,[2]data!S$2:S$218)/100)</f>
        <v>25.909685325000002</v>
      </c>
      <c r="X141">
        <f>[1]data!U142*(_xlfn.XLOOKUP([1]data!$C142,[2]data!$B$2:$B$218,[2]data!T$2:T$218)/100)</f>
        <v>27.469447930339999</v>
      </c>
      <c r="Y141">
        <f>[1]data!V142*(_xlfn.XLOOKUP([1]data!$C142,[2]data!$B$2:$B$218,[2]data!U$2:U$218)/100)</f>
        <v>29.044351850669997</v>
      </c>
      <c r="Z141">
        <f>[1]data!W142*(_xlfn.XLOOKUP([1]data!$C142,[2]data!$B$2:$B$218,[2]data!V$2:V$218)/100)</f>
        <v>30.454171276759919</v>
      </c>
      <c r="AA141">
        <f>[1]data!X142*(_xlfn.XLOOKUP([1]data!$C142,[2]data!$B$2:$B$218,[2]data!W$2:W$218)/100)</f>
        <v>31.652287815420006</v>
      </c>
      <c r="AB141">
        <f>[1]data!Y142*(_xlfn.XLOOKUP([1]data!$C142,[2]data!$B$2:$B$218,[2]data!X$2:X$218)/100)</f>
        <v>32.658899899600002</v>
      </c>
      <c r="AC141">
        <f>[1]data!Z142*(_xlfn.XLOOKUP([1]data!$C142,[2]data!$B$2:$B$218,[2]data!Y$2:Y$218)/100)</f>
        <v>33.474702294430003</v>
      </c>
      <c r="AD141">
        <f>[1]data!AA142*(_xlfn.XLOOKUP([1]data!$C142,[2]data!$B$2:$B$218,[2]data!Z$2:Z$218)/100)</f>
        <v>34.120224202770004</v>
      </c>
      <c r="AE141">
        <f>[1]data!AB142*(_xlfn.XLOOKUP([1]data!$C142,[2]data!$B$2:$B$218,[2]data!AA$2:AA$218)/100)</f>
        <v>34.58990472808</v>
      </c>
      <c r="AF141">
        <f>[1]data!AC142*(_xlfn.XLOOKUP([1]data!$C142,[2]data!$B$2:$B$218,[2]data!AB$2:AB$218)/100)</f>
        <v>34.890952922280007</v>
      </c>
      <c r="AG141">
        <f>[1]data!AD142*(_xlfn.XLOOKUP([1]data!$C142,[2]data!$B$2:$B$218,[2]data!AC$2:AC$218)/100)</f>
        <v>35.038148402879919</v>
      </c>
      <c r="AH141">
        <f>[1]data!AE142*(_xlfn.XLOOKUP([1]data!$C142,[2]data!$B$2:$B$218,[2]data!AD$2:AD$218)/100)</f>
        <v>35.047954105860008</v>
      </c>
      <c r="AI141">
        <f>[1]data!AF142*(_xlfn.XLOOKUP([1]data!$C142,[2]data!$B$2:$B$218,[2]data!AE$2:AE$218)/100)</f>
        <v>34.933661469119997</v>
      </c>
      <c r="AJ141">
        <f>[1]data!AG142*(_xlfn.XLOOKUP([1]data!$C142,[2]data!$B$2:$B$218,[2]data!AF$2:AF$218)/100)</f>
        <v>34.722979014080003</v>
      </c>
      <c r="AK141">
        <f>[1]data!AH142*(_xlfn.XLOOKUP([1]data!$C142,[2]data!$B$2:$B$218,[2]data!AG$2:AG$218)/100)</f>
        <v>34.442145920520005</v>
      </c>
      <c r="AL141">
        <f>[1]data!AI142*(_xlfn.XLOOKUP([1]data!$C142,[2]data!$B$2:$B$218,[2]data!AH$2:AH$218)/100)</f>
        <v>34.097332469360005</v>
      </c>
      <c r="AM141">
        <f>[1]data!AJ142*(_xlfn.XLOOKUP([1]data!$C142,[2]data!$B$2:$B$218,[2]data!AI$2:AI$218)/100)</f>
        <v>33.697498437000007</v>
      </c>
    </row>
    <row r="142" spans="1:39" x14ac:dyDescent="0.25">
      <c r="A142" t="s">
        <v>30</v>
      </c>
      <c r="B142" t="s">
        <v>31</v>
      </c>
      <c r="C142" t="s">
        <v>173</v>
      </c>
      <c r="D142" t="s">
        <v>400</v>
      </c>
      <c r="E142" t="str">
        <f>_xlfn.XLOOKUP(D142,[6]Feuil1!$C$2:$C$248,[6]Feuil1!$B$2:$B$248)</f>
        <v>PH</v>
      </c>
      <c r="F142" t="s">
        <v>33</v>
      </c>
      <c r="G142" t="str">
        <f>_xlfn.XLOOKUP(C142,[3]Sheet1!$B$2:$B$172,[3]Sheet1!$D$2:$D$172)</f>
        <v>Southeastern Asia</v>
      </c>
      <c r="H142" t="s">
        <v>34</v>
      </c>
      <c r="I142">
        <f>[1]data!F143*(_xlfn.XLOOKUP([1]data!$C143,[2]data!$B$2:$B$218,[2]data!E$2:E$218)/100)</f>
        <v>4.894817176000001</v>
      </c>
      <c r="J142">
        <f>[1]data!G143*(_xlfn.XLOOKUP([1]data!$C143,[2]data!$B$2:$B$218,[2]data!F$2:F$218)/100)</f>
        <v>6.4616339479999994</v>
      </c>
      <c r="K142">
        <f>[1]data!H143*(_xlfn.XLOOKUP([1]data!$C143,[2]data!$B$2:$B$218,[2]data!G$2:G$218)/100)</f>
        <v>8.4991409099999995</v>
      </c>
      <c r="L142">
        <f>[1]data!I143*(_xlfn.XLOOKUP([1]data!$C143,[2]data!$B$2:$B$218,[2]data!H$2:H$218)/100)</f>
        <v>10.22472668</v>
      </c>
      <c r="M142">
        <f>[1]data!J143*(_xlfn.XLOOKUP([1]data!$C143,[2]data!$B$2:$B$218,[2]data!I$2:I$218)/100)</f>
        <v>12.191175810000001</v>
      </c>
      <c r="N142">
        <f>[1]data!K143*(_xlfn.XLOOKUP([1]data!$C143,[2]data!$B$2:$B$218,[2]data!J$2:J$218)/100)</f>
        <v>14.907094516000001</v>
      </c>
      <c r="O142">
        <f>[1]data!L143*(_xlfn.XLOOKUP([1]data!$C143,[2]data!$B$2:$B$218,[2]data!K$2:K$218)/100)</f>
        <v>17.919857999999998</v>
      </c>
      <c r="P142">
        <f>[1]data!M143*(_xlfn.XLOOKUP([1]data!$C143,[2]data!$B$2:$B$218,[2]data!L$2:L$218)/100)</f>
        <v>22.856253014000004</v>
      </c>
      <c r="Q142">
        <f>[1]data!N143*(_xlfn.XLOOKUP([1]data!$C143,[2]data!$B$2:$B$218,[2]data!M$2:M$218)/100)</f>
        <v>28.584035589999999</v>
      </c>
      <c r="R142">
        <f>[1]data!O143*(_xlfn.XLOOKUP([1]data!$C143,[2]data!$B$2:$B$218,[2]data!N$2:N$218)/100)</f>
        <v>31.894052618</v>
      </c>
      <c r="S142">
        <f>[1]data!P143*(_xlfn.XLOOKUP([1]data!$C143,[2]data!$B$2:$B$218,[2]data!O$2:O$218)/100)</f>
        <v>35.552685112000006</v>
      </c>
      <c r="T142">
        <f>[1]data!Q143*(_xlfn.XLOOKUP([1]data!$C143,[2]data!$B$2:$B$218,[2]data!P$2:P$218)/100)</f>
        <v>39.047888348999997</v>
      </c>
      <c r="U142">
        <f>[1]data!R143*(_xlfn.XLOOKUP([1]data!$C143,[2]data!$B$2:$B$218,[2]data!Q$2:Q$218)/100)</f>
        <v>42.485455733999999</v>
      </c>
      <c r="V142">
        <f>[1]data!S143*(_xlfn.XLOOKUP([1]data!$C143,[2]data!$B$2:$B$218,[2]data!R$2:R$218)/100)</f>
        <v>47.284112981999996</v>
      </c>
      <c r="W142">
        <f>[1]data!T143*(_xlfn.XLOOKUP([1]data!$C143,[2]data!$B$2:$B$218,[2]data!S$2:S$218)/100)</f>
        <v>52.750333775999998</v>
      </c>
      <c r="X142">
        <f>[1]data!U143*(_xlfn.XLOOKUP([1]data!$C143,[2]data!$B$2:$B$218,[2]data!T$2:T$218)/100)</f>
        <v>59.880617121469996</v>
      </c>
      <c r="Y142">
        <f>[1]data!V143*(_xlfn.XLOOKUP([1]data!$C143,[2]data!$B$2:$B$218,[2]data!U$2:U$218)/100)</f>
        <v>67.239695468700006</v>
      </c>
      <c r="Z142">
        <f>[1]data!W143*(_xlfn.XLOOKUP([1]data!$C143,[2]data!$B$2:$B$218,[2]data!V$2:V$218)/100)</f>
        <v>74.534156395140002</v>
      </c>
      <c r="AA142">
        <f>[1]data!X143*(_xlfn.XLOOKUP([1]data!$C143,[2]data!$B$2:$B$218,[2]data!W$2:W$218)/100)</f>
        <v>81.571054700100007</v>
      </c>
      <c r="AB142">
        <f>[1]data!Y143*(_xlfn.XLOOKUP([1]data!$C143,[2]data!$B$2:$B$218,[2]data!X$2:X$218)/100)</f>
        <v>88.259320369120019</v>
      </c>
      <c r="AC142">
        <f>[1]data!Z143*(_xlfn.XLOOKUP([1]data!$C143,[2]data!$B$2:$B$218,[2]data!Y$2:Y$218)/100)</f>
        <v>94.475287928840004</v>
      </c>
      <c r="AD142">
        <f>[1]data!AA143*(_xlfn.XLOOKUP([1]data!$C143,[2]data!$B$2:$B$218,[2]data!Z$2:Z$218)/100)</f>
        <v>100.06411987880001</v>
      </c>
      <c r="AE142">
        <f>[1]data!AB143*(_xlfn.XLOOKUP([1]data!$C143,[2]data!$B$2:$B$218,[2]data!AA$2:AA$218)/100)</f>
        <v>104.92564476088002</v>
      </c>
      <c r="AF142">
        <f>[1]data!AC143*(_xlfn.XLOOKUP([1]data!$C143,[2]data!$B$2:$B$218,[2]data!AB$2:AB$218)/100)</f>
        <v>109.22552976518999</v>
      </c>
      <c r="AG142">
        <f>[1]data!AD143*(_xlfn.XLOOKUP([1]data!$C143,[2]data!$B$2:$B$218,[2]data!AC$2:AC$218)/100)</f>
        <v>113.01199168776</v>
      </c>
      <c r="AH142">
        <f>[1]data!AE143*(_xlfn.XLOOKUP([1]data!$C143,[2]data!$B$2:$B$218,[2]data!AD$2:AD$218)/100)</f>
        <v>116.20876848262999</v>
      </c>
      <c r="AI142">
        <f>[1]data!AF143*(_xlfn.XLOOKUP([1]data!$C143,[2]data!$B$2:$B$218,[2]data!AE$2:AE$218)/100)</f>
        <v>118.81969587225001</v>
      </c>
      <c r="AJ142">
        <f>[1]data!AG143*(_xlfn.XLOOKUP([1]data!$C143,[2]data!$B$2:$B$218,[2]data!AF$2:AF$218)/100)</f>
        <v>120.72599198990999</v>
      </c>
      <c r="AK142">
        <f>[1]data!AH143*(_xlfn.XLOOKUP([1]data!$C143,[2]data!$B$2:$B$218,[2]data!AG$2:AG$218)/100)</f>
        <v>121.99922746205998</v>
      </c>
      <c r="AL142">
        <f>[1]data!AI143*(_xlfn.XLOOKUP([1]data!$C143,[2]data!$B$2:$B$218,[2]data!AH$2:AH$218)/100)</f>
        <v>122.77637574356</v>
      </c>
      <c r="AM142">
        <f>[1]data!AJ143*(_xlfn.XLOOKUP([1]data!$C143,[2]data!$B$2:$B$218,[2]data!AI$2:AI$218)/100)</f>
        <v>123.17931881205999</v>
      </c>
    </row>
    <row r="143" spans="1:39" x14ac:dyDescent="0.25">
      <c r="A143" t="s">
        <v>30</v>
      </c>
      <c r="B143" t="s">
        <v>31</v>
      </c>
      <c r="C143" t="s">
        <v>174</v>
      </c>
      <c r="D143" t="s">
        <v>401</v>
      </c>
      <c r="E143" t="str">
        <f>_xlfn.XLOOKUP(D143,[6]Feuil1!$C$2:$C$248,[6]Feuil1!$B$2:$B$248)</f>
        <v>PG</v>
      </c>
      <c r="F143" t="s">
        <v>33</v>
      </c>
      <c r="G143" t="str">
        <f>_xlfn.XLOOKUP(C143,[3]Sheet1!$B$2:$B$172,[3]Sheet1!$D$2:$D$172)</f>
        <v>Oceania</v>
      </c>
      <c r="H143" t="s">
        <v>34</v>
      </c>
      <c r="I143">
        <f>[1]data!F144*(_xlfn.XLOOKUP([1]data!$C144,[2]data!$B$2:$B$218,[2]data!E$2:E$218)/100)</f>
        <v>2.5958337000000001E-2</v>
      </c>
      <c r="J143">
        <f>[1]data!G144*(_xlfn.XLOOKUP([1]data!$C144,[2]data!$B$2:$B$218,[2]data!F$2:F$218)/100)</f>
        <v>4.2797750000000002E-2</v>
      </c>
      <c r="K143">
        <f>[1]data!H144*(_xlfn.XLOOKUP([1]data!$C144,[2]data!$B$2:$B$218,[2]data!G$2:G$218)/100)</f>
        <v>7.2484406000000015E-2</v>
      </c>
      <c r="L143">
        <f>[1]data!I144*(_xlfn.XLOOKUP([1]data!$C144,[2]data!$B$2:$B$218,[2]data!H$2:H$218)/100)</f>
        <v>0.120914695</v>
      </c>
      <c r="M143">
        <f>[1]data!J144*(_xlfn.XLOOKUP([1]data!$C144,[2]data!$B$2:$B$218,[2]data!I$2:I$218)/100)</f>
        <v>0.241016692</v>
      </c>
      <c r="N143">
        <f>[1]data!K144*(_xlfn.XLOOKUP([1]data!$C144,[2]data!$B$2:$B$218,[2]data!J$2:J$218)/100)</f>
        <v>0.32890088700000003</v>
      </c>
      <c r="O143">
        <f>[1]data!L144*(_xlfn.XLOOKUP([1]data!$C144,[2]data!$B$2:$B$218,[2]data!K$2:K$218)/100)</f>
        <v>0.39950456000000001</v>
      </c>
      <c r="P143">
        <f>[1]data!M144*(_xlfn.XLOOKUP([1]data!$C144,[2]data!$B$2:$B$218,[2]data!L$2:L$218)/100)</f>
        <v>0.47745866000000003</v>
      </c>
      <c r="Q143">
        <f>[1]data!N144*(_xlfn.XLOOKUP([1]data!$C144,[2]data!$B$2:$B$218,[2]data!M$2:M$218)/100)</f>
        <v>0.57127739999999994</v>
      </c>
      <c r="R143">
        <f>[1]data!O144*(_xlfn.XLOOKUP([1]data!$C144,[2]data!$B$2:$B$218,[2]data!N$2:N$218)/100)</f>
        <v>0.63914383499999994</v>
      </c>
      <c r="S143">
        <f>[1]data!P144*(_xlfn.XLOOKUP([1]data!$C144,[2]data!$B$2:$B$218,[2]data!O$2:O$218)/100)</f>
        <v>0.71466766800000003</v>
      </c>
      <c r="T143">
        <f>[1]data!Q144*(_xlfn.XLOOKUP([1]data!$C144,[2]data!$B$2:$B$218,[2]data!P$2:P$218)/100)</f>
        <v>0.83774919200000009</v>
      </c>
      <c r="U143">
        <f>[1]data!R144*(_xlfn.XLOOKUP([1]data!$C144,[2]data!$B$2:$B$218,[2]data!Q$2:Q$218)/100)</f>
        <v>0.97111378000000004</v>
      </c>
      <c r="V143">
        <f>[1]data!S144*(_xlfn.XLOOKUP([1]data!$C144,[2]data!$B$2:$B$218,[2]data!R$2:R$218)/100)</f>
        <v>1.1145290000000001</v>
      </c>
      <c r="W143">
        <f>[1]data!T144*(_xlfn.XLOOKUP([1]data!$C144,[2]data!$B$2:$B$218,[2]data!S$2:S$218)/100)</f>
        <v>1.283292528</v>
      </c>
      <c r="X143">
        <f>[1]data!U144*(_xlfn.XLOOKUP([1]data!$C144,[2]data!$B$2:$B$218,[2]data!T$2:T$218)/100)</f>
        <v>1.6220821827000003</v>
      </c>
      <c r="Y143">
        <f>[1]data!V144*(_xlfn.XLOOKUP([1]data!$C144,[2]data!$B$2:$B$218,[2]data!U$2:U$218)/100)</f>
        <v>2.0151130230000001</v>
      </c>
      <c r="Z143">
        <f>[1]data!W144*(_xlfn.XLOOKUP([1]data!$C144,[2]data!$B$2:$B$218,[2]data!V$2:V$218)/100)</f>
        <v>2.46185424472</v>
      </c>
      <c r="AA143">
        <f>[1]data!X144*(_xlfn.XLOOKUP([1]data!$C144,[2]data!$B$2:$B$218,[2]data!W$2:W$218)/100)</f>
        <v>2.9611315763000001</v>
      </c>
      <c r="AB143">
        <f>[1]data!Y144*(_xlfn.XLOOKUP([1]data!$C144,[2]data!$B$2:$B$218,[2]data!X$2:X$218)/100)</f>
        <v>3.5054422936099998</v>
      </c>
      <c r="AC143">
        <f>[1]data!Z144*(_xlfn.XLOOKUP([1]data!$C144,[2]data!$B$2:$B$218,[2]data!Y$2:Y$218)/100)</f>
        <v>4.0862063260000001</v>
      </c>
      <c r="AD143">
        <f>[1]data!AA144*(_xlfn.XLOOKUP([1]data!$C144,[2]data!$B$2:$B$218,[2]data!Z$2:Z$218)/100)</f>
        <v>4.6872482131199993</v>
      </c>
      <c r="AE143">
        <f>[1]data!AB144*(_xlfn.XLOOKUP([1]data!$C144,[2]data!$B$2:$B$218,[2]data!AA$2:AA$218)/100)</f>
        <v>5.297862575249999</v>
      </c>
      <c r="AF143">
        <f>[1]data!AC144*(_xlfn.XLOOKUP([1]data!$C144,[2]data!$B$2:$B$218,[2]data!AB$2:AB$218)/100)</f>
        <v>5.8966666909700001</v>
      </c>
      <c r="AG143">
        <f>[1]data!AD144*(_xlfn.XLOOKUP([1]data!$C144,[2]data!$B$2:$B$218,[2]data!AC$2:AC$218)/100)</f>
        <v>6.4791745946999999</v>
      </c>
      <c r="AH143">
        <f>[1]data!AE144*(_xlfn.XLOOKUP([1]data!$C144,[2]data!$B$2:$B$218,[2]data!AD$2:AD$218)/100)</f>
        <v>7.036293552440001</v>
      </c>
      <c r="AI143">
        <f>[1]data!AF144*(_xlfn.XLOOKUP([1]data!$C144,[2]data!$B$2:$B$218,[2]data!AE$2:AE$218)/100)</f>
        <v>7.5569921815000018</v>
      </c>
      <c r="AJ143">
        <f>[1]data!AG144*(_xlfn.XLOOKUP([1]data!$C144,[2]data!$B$2:$B$218,[2]data!AF$2:AF$218)/100)</f>
        <v>8.0238374925800002</v>
      </c>
      <c r="AK143">
        <f>[1]data!AH144*(_xlfn.XLOOKUP([1]data!$C144,[2]data!$B$2:$B$218,[2]data!AG$2:AG$218)/100)</f>
        <v>8.4281601702</v>
      </c>
      <c r="AL143">
        <f>[1]data!AI144*(_xlfn.XLOOKUP([1]data!$C144,[2]data!$B$2:$B$218,[2]data!AH$2:AH$218)/100)</f>
        <v>8.7627861928000002</v>
      </c>
      <c r="AM143">
        <f>[1]data!AJ144*(_xlfn.XLOOKUP([1]data!$C144,[2]data!$B$2:$B$218,[2]data!AI$2:AI$218)/100)</f>
        <v>9.0278187465599995</v>
      </c>
    </row>
    <row r="144" spans="1:39" x14ac:dyDescent="0.25">
      <c r="A144" t="s">
        <v>30</v>
      </c>
      <c r="B144" t="s">
        <v>31</v>
      </c>
      <c r="C144" t="s">
        <v>175</v>
      </c>
      <c r="D144" t="s">
        <v>402</v>
      </c>
      <c r="E144" t="str">
        <f>_xlfn.XLOOKUP(D144,[6]Feuil1!$C$2:$C$248,[6]Feuil1!$B$2:$B$248)</f>
        <v>PL</v>
      </c>
      <c r="F144" t="s">
        <v>33</v>
      </c>
      <c r="G144" t="str">
        <f>_xlfn.XLOOKUP(C144,[3]Sheet1!$B$2:$B$172,[3]Sheet1!$D$2:$D$172)</f>
        <v>Central Europe</v>
      </c>
      <c r="H144" t="s">
        <v>34</v>
      </c>
      <c r="I144">
        <f>[1]data!F145*(_xlfn.XLOOKUP([1]data!$C145,[2]data!$B$2:$B$218,[2]data!E$2:E$218)/100)</f>
        <v>9.407857267999999</v>
      </c>
      <c r="J144">
        <f>[1]data!G145*(_xlfn.XLOOKUP([1]data!$C145,[2]data!$B$2:$B$218,[2]data!F$2:F$218)/100)</f>
        <v>11.602567440000001</v>
      </c>
      <c r="K144">
        <f>[1]data!H145*(_xlfn.XLOOKUP([1]data!$C145,[2]data!$B$2:$B$218,[2]data!G$2:G$218)/100)</f>
        <v>14.033254856999999</v>
      </c>
      <c r="L144">
        <f>[1]data!I145*(_xlfn.XLOOKUP([1]data!$C145,[2]data!$B$2:$B$218,[2]data!H$2:H$218)/100)</f>
        <v>15.570732807000001</v>
      </c>
      <c r="M144">
        <f>[1]data!J145*(_xlfn.XLOOKUP([1]data!$C145,[2]data!$B$2:$B$218,[2]data!I$2:I$218)/100)</f>
        <v>16.870756811000003</v>
      </c>
      <c r="N144">
        <f>[1]data!K145*(_xlfn.XLOOKUP([1]data!$C145,[2]data!$B$2:$B$218,[2]data!J$2:J$218)/100)</f>
        <v>18.657696308999999</v>
      </c>
      <c r="O144">
        <f>[1]data!L145*(_xlfn.XLOOKUP([1]data!$C145,[2]data!$B$2:$B$218,[2]data!K$2:K$218)/100)</f>
        <v>20.543900873999995</v>
      </c>
      <c r="P144">
        <f>[1]data!M145*(_xlfn.XLOOKUP([1]data!$C145,[2]data!$B$2:$B$218,[2]data!L$2:L$218)/100)</f>
        <v>22.186505359000002</v>
      </c>
      <c r="Q144">
        <f>[1]data!N145*(_xlfn.XLOOKUP([1]data!$C145,[2]data!$B$2:$B$218,[2]data!M$2:M$218)/100)</f>
        <v>23.299013726999998</v>
      </c>
      <c r="R144">
        <f>[1]data!O145*(_xlfn.XLOOKUP([1]data!$C145,[2]data!$B$2:$B$218,[2]data!N$2:N$218)/100)</f>
        <v>23.617503674999998</v>
      </c>
      <c r="S144">
        <f>[1]data!P145*(_xlfn.XLOOKUP([1]data!$C145,[2]data!$B$2:$B$218,[2]data!O$2:O$218)/100)</f>
        <v>23.656325427999995</v>
      </c>
      <c r="T144">
        <f>[1]data!Q145*(_xlfn.XLOOKUP([1]data!$C145,[2]data!$B$2:$B$218,[2]data!P$2:P$218)/100)</f>
        <v>23.730530835000003</v>
      </c>
      <c r="U144">
        <f>[1]data!R145*(_xlfn.XLOOKUP([1]data!$C145,[2]data!$B$2:$B$218,[2]data!Q$2:Q$218)/100)</f>
        <v>23.495089064999998</v>
      </c>
      <c r="V144">
        <f>[1]data!S145*(_xlfn.XLOOKUP([1]data!$C145,[2]data!$B$2:$B$218,[2]data!R$2:R$218)/100)</f>
        <v>23.260130442000001</v>
      </c>
      <c r="W144">
        <f>[1]data!T145*(_xlfn.XLOOKUP([1]data!$C145,[2]data!$B$2:$B$218,[2]data!S$2:S$218)/100)</f>
        <v>23.0867766</v>
      </c>
      <c r="X144">
        <f>[1]data!U145*(_xlfn.XLOOKUP([1]data!$C145,[2]data!$B$2:$B$218,[2]data!T$2:T$218)/100)</f>
        <v>24.015360615780004</v>
      </c>
      <c r="Y144">
        <f>[1]data!V145*(_xlfn.XLOOKUP([1]data!$C145,[2]data!$B$2:$B$218,[2]data!U$2:U$218)/100)</f>
        <v>24.101245582400001</v>
      </c>
      <c r="Z144">
        <f>[1]data!W145*(_xlfn.XLOOKUP([1]data!$C145,[2]data!$B$2:$B$218,[2]data!V$2:V$218)/100)</f>
        <v>24.128418934640003</v>
      </c>
      <c r="AA144">
        <f>[1]data!X145*(_xlfn.XLOOKUP([1]data!$C145,[2]data!$B$2:$B$218,[2]data!W$2:W$218)/100)</f>
        <v>24.128563846139997</v>
      </c>
      <c r="AB144">
        <f>[1]data!Y145*(_xlfn.XLOOKUP([1]data!$C145,[2]data!$B$2:$B$218,[2]data!X$2:X$218)/100)</f>
        <v>24.113027303789998</v>
      </c>
      <c r="AC144">
        <f>[1]data!Z145*(_xlfn.XLOOKUP([1]data!$C145,[2]data!$B$2:$B$218,[2]data!Y$2:Y$218)/100)</f>
        <v>24.110030602319998</v>
      </c>
      <c r="AD144">
        <f>[1]data!AA145*(_xlfn.XLOOKUP([1]data!$C145,[2]data!$B$2:$B$218,[2]data!Z$2:Z$218)/100)</f>
        <v>24.058789997060003</v>
      </c>
      <c r="AE144">
        <f>[1]data!AB145*(_xlfn.XLOOKUP([1]data!$C145,[2]data!$B$2:$B$218,[2]data!AA$2:AA$218)/100)</f>
        <v>23.951484554689998</v>
      </c>
      <c r="AF144">
        <f>[1]data!AC145*(_xlfn.XLOOKUP([1]data!$C145,[2]data!$B$2:$B$218,[2]data!AB$2:AB$218)/100)</f>
        <v>23.776945310300004</v>
      </c>
      <c r="AG144">
        <f>[1]data!AD145*(_xlfn.XLOOKUP([1]data!$C145,[2]data!$B$2:$B$218,[2]data!AC$2:AC$218)/100)</f>
        <v>23.525324866600002</v>
      </c>
      <c r="AH144">
        <f>[1]data!AE145*(_xlfn.XLOOKUP([1]data!$C145,[2]data!$B$2:$B$218,[2]data!AD$2:AD$218)/100)</f>
        <v>23.216886817279999</v>
      </c>
      <c r="AI144">
        <f>[1]data!AF145*(_xlfn.XLOOKUP([1]data!$C145,[2]data!$B$2:$B$218,[2]data!AE$2:AE$218)/100)</f>
        <v>22.894046857360003</v>
      </c>
      <c r="AJ144">
        <f>[1]data!AG145*(_xlfn.XLOOKUP([1]data!$C145,[2]data!$B$2:$B$218,[2]data!AF$2:AF$218)/100)</f>
        <v>22.598145469019997</v>
      </c>
      <c r="AK144">
        <f>[1]data!AH145*(_xlfn.XLOOKUP([1]data!$C145,[2]data!$B$2:$B$218,[2]data!AG$2:AG$218)/100)</f>
        <v>22.358149971480003</v>
      </c>
      <c r="AL144">
        <f>[1]data!AI145*(_xlfn.XLOOKUP([1]data!$C145,[2]data!$B$2:$B$218,[2]data!AH$2:AH$218)/100)</f>
        <v>22.176980416060001</v>
      </c>
      <c r="AM144">
        <f>[1]data!AJ145*(_xlfn.XLOOKUP([1]data!$C145,[2]data!$B$2:$B$218,[2]data!AI$2:AI$218)/100)</f>
        <v>22.031264061400002</v>
      </c>
    </row>
    <row r="145" spans="1:39" x14ac:dyDescent="0.25">
      <c r="A145" t="s">
        <v>30</v>
      </c>
      <c r="B145" t="s">
        <v>31</v>
      </c>
      <c r="C145" t="s">
        <v>176</v>
      </c>
      <c r="D145" t="s">
        <v>403</v>
      </c>
      <c r="E145" t="str">
        <f>_xlfn.XLOOKUP(D145,[6]Feuil1!$C$2:$C$248,[6]Feuil1!$B$2:$B$248)</f>
        <v>PR</v>
      </c>
      <c r="F145" t="s">
        <v>33</v>
      </c>
      <c r="G145" t="s">
        <v>238</v>
      </c>
      <c r="H145" t="s">
        <v>34</v>
      </c>
      <c r="I145">
        <f>[1]data!F146*(_xlfn.XLOOKUP([1]data!$C146,[2]data!$B$2:$B$218,[2]data!E$2:E$218)/100)</f>
        <v>0.90107477600000008</v>
      </c>
      <c r="J145">
        <f>[1]data!G146*(_xlfn.XLOOKUP([1]data!$C146,[2]data!$B$2:$B$218,[2]data!F$2:F$218)/100)</f>
        <v>0.97693670399999999</v>
      </c>
      <c r="K145">
        <f>[1]data!H146*(_xlfn.XLOOKUP([1]data!$C146,[2]data!$B$2:$B$218,[2]data!G$2:G$218)/100)</f>
        <v>1.044572085</v>
      </c>
      <c r="L145">
        <f>[1]data!I146*(_xlfn.XLOOKUP([1]data!$C146,[2]data!$B$2:$B$218,[2]data!H$2:H$218)/100)</f>
        <v>1.3109294100000002</v>
      </c>
      <c r="M145">
        <f>[1]data!J146*(_xlfn.XLOOKUP([1]data!$C146,[2]data!$B$2:$B$218,[2]data!I$2:I$218)/100)</f>
        <v>1.5838267720000001</v>
      </c>
      <c r="N145">
        <f>[1]data!K146*(_xlfn.XLOOKUP([1]data!$C146,[2]data!$B$2:$B$218,[2]data!J$2:J$218)/100)</f>
        <v>1.8514928360000003</v>
      </c>
      <c r="O145">
        <f>[1]data!L146*(_xlfn.XLOOKUP([1]data!$C146,[2]data!$B$2:$B$218,[2]data!K$2:K$218)/100)</f>
        <v>2.1636356339999998</v>
      </c>
      <c r="P145">
        <f>[1]data!M146*(_xlfn.XLOOKUP([1]data!$C146,[2]data!$B$2:$B$218,[2]data!L$2:L$218)/100)</f>
        <v>2.8588793879999996</v>
      </c>
      <c r="Q145">
        <f>[1]data!N146*(_xlfn.XLOOKUP([1]data!$C146,[2]data!$B$2:$B$218,[2]data!M$2:M$218)/100)</f>
        <v>3.2762755010000002</v>
      </c>
      <c r="R145">
        <f>[1]data!O146*(_xlfn.XLOOKUP([1]data!$C146,[2]data!$B$2:$B$218,[2]data!N$2:N$218)/100)</f>
        <v>3.4581896480000003</v>
      </c>
      <c r="S145">
        <f>[1]data!P146*(_xlfn.XLOOKUP([1]data!$C146,[2]data!$B$2:$B$218,[2]data!O$2:O$218)/100)</f>
        <v>3.608302176</v>
      </c>
      <c r="T145">
        <f>[1]data!Q146*(_xlfn.XLOOKUP([1]data!$C146,[2]data!$B$2:$B$218,[2]data!P$2:P$218)/100)</f>
        <v>3.587059065</v>
      </c>
      <c r="U145">
        <f>[1]data!R146*(_xlfn.XLOOKUP([1]data!$C146,[2]data!$B$2:$B$218,[2]data!Q$2:Q$218)/100)</f>
        <v>3.4983225899999999</v>
      </c>
      <c r="V145">
        <f>[1]data!S146*(_xlfn.XLOOKUP([1]data!$C146,[2]data!$B$2:$B$218,[2]data!R$2:R$218)/100)</f>
        <v>3.3031645919999999</v>
      </c>
      <c r="W145">
        <f>[1]data!T146*(_xlfn.XLOOKUP([1]data!$C146,[2]data!$B$2:$B$218,[2]data!S$2:S$218)/100)</f>
        <v>3.0702849839999988</v>
      </c>
      <c r="X145">
        <f>[1]data!U146*(_xlfn.XLOOKUP([1]data!$C146,[2]data!$B$2:$B$218,[2]data!T$2:T$218)/100)</f>
        <v>2.92791021162</v>
      </c>
      <c r="Y145">
        <f>[1]data!V146*(_xlfn.XLOOKUP([1]data!$C146,[2]data!$B$2:$B$218,[2]data!U$2:U$218)/100)</f>
        <v>2.79151373952</v>
      </c>
      <c r="Z145">
        <f>[1]data!W146*(_xlfn.XLOOKUP([1]data!$C146,[2]data!$B$2:$B$218,[2]data!V$2:V$218)/100)</f>
        <v>2.6571509235599997</v>
      </c>
      <c r="AA145">
        <f>[1]data!X146*(_xlfn.XLOOKUP([1]data!$C146,[2]data!$B$2:$B$218,[2]data!W$2:W$218)/100)</f>
        <v>2.52672917112</v>
      </c>
      <c r="AB145">
        <f>[1]data!Y146*(_xlfn.XLOOKUP([1]data!$C146,[2]data!$B$2:$B$218,[2]data!X$2:X$218)/100)</f>
        <v>2.4020733162899996</v>
      </c>
      <c r="AC145">
        <f>[1]data!Z146*(_xlfn.XLOOKUP([1]data!$C146,[2]data!$B$2:$B$218,[2]data!Y$2:Y$218)/100)</f>
        <v>2.2890007032000002</v>
      </c>
      <c r="AD145">
        <f>[1]data!AA146*(_xlfn.XLOOKUP([1]data!$C146,[2]data!$B$2:$B$218,[2]data!Z$2:Z$218)/100)</f>
        <v>2.1839274235799992</v>
      </c>
      <c r="AE145">
        <f>[1]data!AB146*(_xlfn.XLOOKUP([1]data!$C146,[2]data!$B$2:$B$218,[2]data!AA$2:AA$218)/100)</f>
        <v>2.0901341382699998</v>
      </c>
      <c r="AF145">
        <f>[1]data!AC146*(_xlfn.XLOOKUP([1]data!$C146,[2]data!$B$2:$B$218,[2]data!AB$2:AB$218)/100)</f>
        <v>2.0097290370000001</v>
      </c>
      <c r="AG145">
        <f>[1]data!AD146*(_xlfn.XLOOKUP([1]data!$C146,[2]data!$B$2:$B$218,[2]data!AC$2:AC$218)/100)</f>
        <v>1.94076402975</v>
      </c>
      <c r="AH145">
        <f>[1]data!AE146*(_xlfn.XLOOKUP([1]data!$C146,[2]data!$B$2:$B$218,[2]data!AD$2:AD$218)/100)</f>
        <v>1.8805244105000001</v>
      </c>
      <c r="AI145">
        <f>[1]data!AF146*(_xlfn.XLOOKUP([1]data!$C146,[2]data!$B$2:$B$218,[2]data!AE$2:AE$218)/100)</f>
        <v>1.8262243993599998</v>
      </c>
      <c r="AJ145">
        <f>[1]data!AG146*(_xlfn.XLOOKUP([1]data!$C146,[2]data!$B$2:$B$218,[2]data!AF$2:AF$218)/100)</f>
        <v>1.7754656926400001</v>
      </c>
      <c r="AK145">
        <f>[1]data!AH146*(_xlfn.XLOOKUP([1]data!$C146,[2]data!$B$2:$B$218,[2]data!AG$2:AG$218)/100)</f>
        <v>1.7264347372</v>
      </c>
      <c r="AL145">
        <f>[1]data!AI146*(_xlfn.XLOOKUP([1]data!$C146,[2]data!$B$2:$B$218,[2]data!AH$2:AH$218)/100)</f>
        <v>1.6774733802499999</v>
      </c>
      <c r="AM145">
        <f>[1]data!AJ146*(_xlfn.XLOOKUP([1]data!$C146,[2]data!$B$2:$B$218,[2]data!AI$2:AI$218)/100)</f>
        <v>1.6278797464000001</v>
      </c>
    </row>
    <row r="146" spans="1:39" x14ac:dyDescent="0.25">
      <c r="A146" t="s">
        <v>30</v>
      </c>
      <c r="B146" t="s">
        <v>31</v>
      </c>
      <c r="C146" t="s">
        <v>177</v>
      </c>
      <c r="D146" t="s">
        <v>266</v>
      </c>
      <c r="E146" t="str">
        <f>_xlfn.XLOOKUP(D146,[6]Feuil1!$C$2:$C$248,[6]Feuil1!$B$2:$B$248)</f>
        <v>KP</v>
      </c>
      <c r="F146" t="s">
        <v>33</v>
      </c>
      <c r="G146" t="str">
        <f>_xlfn.XLOOKUP(C146,[3]Sheet1!$B$2:$B$172,[3]Sheet1!$D$2:$D$172)</f>
        <v>Korea region</v>
      </c>
      <c r="H146" t="s">
        <v>34</v>
      </c>
      <c r="I146">
        <f>[1]data!F147*(_xlfn.XLOOKUP([1]data!$C147,[2]data!$B$2:$B$218,[2]data!E$2:E$218)/100)</f>
        <v>3.53237033</v>
      </c>
      <c r="J146">
        <f>[1]data!G147*(_xlfn.XLOOKUP([1]data!$C147,[2]data!$B$2:$B$218,[2]data!F$2:F$218)/100)</f>
        <v>3.6456689499999997</v>
      </c>
      <c r="K146">
        <f>[1]data!H147*(_xlfn.XLOOKUP([1]data!$C147,[2]data!$B$2:$B$218,[2]data!G$2:G$218)/100)</f>
        <v>4.6310130660000013</v>
      </c>
      <c r="L146">
        <f>[1]data!I147*(_xlfn.XLOOKUP([1]data!$C147,[2]data!$B$2:$B$218,[2]data!H$2:H$218)/100)</f>
        <v>5.8377237050000002</v>
      </c>
      <c r="M146">
        <f>[1]data!J147*(_xlfn.XLOOKUP([1]data!$C147,[2]data!$B$2:$B$218,[2]data!I$2:I$218)/100)</f>
        <v>8.0221479620000018</v>
      </c>
      <c r="N146">
        <f>[1]data!K147*(_xlfn.XLOOKUP([1]data!$C147,[2]data!$B$2:$B$218,[2]data!J$2:J$218)/100)</f>
        <v>9.4031177939999999</v>
      </c>
      <c r="O146">
        <f>[1]data!L147*(_xlfn.XLOOKUP([1]data!$C147,[2]data!$B$2:$B$218,[2]data!K$2:K$218)/100)</f>
        <v>10.153870435000002</v>
      </c>
      <c r="P146">
        <f>[1]data!M147*(_xlfn.XLOOKUP([1]data!$C147,[2]data!$B$2:$B$218,[2]data!L$2:L$218)/100)</f>
        <v>11.049716736000001</v>
      </c>
      <c r="Q146">
        <f>[1]data!N147*(_xlfn.XLOOKUP([1]data!$C147,[2]data!$B$2:$B$218,[2]data!M$2:M$218)/100)</f>
        <v>12.056184767999998</v>
      </c>
      <c r="R146">
        <f>[1]data!O147*(_xlfn.XLOOKUP([1]data!$C147,[2]data!$B$2:$B$218,[2]data!N$2:N$218)/100)</f>
        <v>13.138253339999999</v>
      </c>
      <c r="S146">
        <f>[1]data!P147*(_xlfn.XLOOKUP([1]data!$C147,[2]data!$B$2:$B$218,[2]data!O$2:O$218)/100)</f>
        <v>13.834628873999998</v>
      </c>
      <c r="T146">
        <f>[1]data!Q147*(_xlfn.XLOOKUP([1]data!$C147,[2]data!$B$2:$B$218,[2]data!P$2:P$218)/100)</f>
        <v>14.369773756000001</v>
      </c>
      <c r="U146">
        <f>[1]data!R147*(_xlfn.XLOOKUP([1]data!$C147,[2]data!$B$2:$B$218,[2]data!Q$2:Q$218)/100)</f>
        <v>14.881748224000001</v>
      </c>
      <c r="V146">
        <f>[1]data!S147*(_xlfn.XLOOKUP([1]data!$C147,[2]data!$B$2:$B$218,[2]data!R$2:R$218)/100)</f>
        <v>15.441960399999999</v>
      </c>
      <c r="W146">
        <f>[1]data!T147*(_xlfn.XLOOKUP([1]data!$C147,[2]data!$B$2:$B$218,[2]data!S$2:S$218)/100)</f>
        <v>16.107460511999999</v>
      </c>
      <c r="X146">
        <f>[1]data!U147*(_xlfn.XLOOKUP([1]data!$C147,[2]data!$B$2:$B$218,[2]data!T$2:T$218)/100)</f>
        <v>16.827601351680002</v>
      </c>
      <c r="Y146">
        <f>[1]data!V147*(_xlfn.XLOOKUP([1]data!$C147,[2]data!$B$2:$B$218,[2]data!U$2:U$218)/100)</f>
        <v>17.264621452250001</v>
      </c>
      <c r="Z146">
        <f>[1]data!W147*(_xlfn.XLOOKUP([1]data!$C147,[2]data!$B$2:$B$218,[2]data!V$2:V$218)/100)</f>
        <v>17.508444322990005</v>
      </c>
      <c r="AA146">
        <f>[1]data!X147*(_xlfn.XLOOKUP([1]data!$C147,[2]data!$B$2:$B$218,[2]data!W$2:W$218)/100)</f>
        <v>17.645917411940001</v>
      </c>
      <c r="AB146">
        <f>[1]data!Y147*(_xlfn.XLOOKUP([1]data!$C147,[2]data!$B$2:$B$218,[2]data!X$2:X$218)/100)</f>
        <v>17.696396748640002</v>
      </c>
      <c r="AC146">
        <f>[1]data!Z147*(_xlfn.XLOOKUP([1]data!$C147,[2]data!$B$2:$B$218,[2]data!Y$2:Y$218)/100)</f>
        <v>17.691234139680002</v>
      </c>
      <c r="AD146">
        <f>[1]data!AA147*(_xlfn.XLOOKUP([1]data!$C147,[2]data!$B$2:$B$218,[2]data!Z$2:Z$218)/100)</f>
        <v>17.620275995280004</v>
      </c>
      <c r="AE146">
        <f>[1]data!AB147*(_xlfn.XLOOKUP([1]data!$C147,[2]data!$B$2:$B$218,[2]data!AA$2:AA$218)/100)</f>
        <v>17.432524408319999</v>
      </c>
      <c r="AF146">
        <f>[1]data!AC147*(_xlfn.XLOOKUP([1]data!$C147,[2]data!$B$2:$B$218,[2]data!AB$2:AB$218)/100)</f>
        <v>17.1487117683</v>
      </c>
      <c r="AG146">
        <f>[1]data!AD147*(_xlfn.XLOOKUP([1]data!$C147,[2]data!$B$2:$B$218,[2]data!AC$2:AC$218)/100)</f>
        <v>16.833994932</v>
      </c>
      <c r="AH146">
        <f>[1]data!AE147*(_xlfn.XLOOKUP([1]data!$C147,[2]data!$B$2:$B$218,[2]data!AD$2:AD$218)/100)</f>
        <v>16.5105023628</v>
      </c>
      <c r="AI146">
        <f>[1]data!AF147*(_xlfn.XLOOKUP([1]data!$C147,[2]data!$B$2:$B$218,[2]data!AE$2:AE$218)/100)</f>
        <v>16.176333016800001</v>
      </c>
      <c r="AJ146">
        <f>[1]data!AG147*(_xlfn.XLOOKUP([1]data!$C147,[2]data!$B$2:$B$218,[2]data!AF$2:AF$218)/100)</f>
        <v>15.817460879619997</v>
      </c>
      <c r="AK146">
        <f>[1]data!AH147*(_xlfn.XLOOKUP([1]data!$C147,[2]data!$B$2:$B$218,[2]data!AG$2:AG$218)/100)</f>
        <v>15.415589429100002</v>
      </c>
      <c r="AL146">
        <f>[1]data!AI147*(_xlfn.XLOOKUP([1]data!$C147,[2]data!$B$2:$B$218,[2]data!AH$2:AH$218)/100)</f>
        <v>14.971142798699999</v>
      </c>
      <c r="AM146">
        <f>[1]data!AJ147*(_xlfn.XLOOKUP([1]data!$C147,[2]data!$B$2:$B$218,[2]data!AI$2:AI$218)/100)</f>
        <v>14.514782744</v>
      </c>
    </row>
    <row r="147" spans="1:39" x14ac:dyDescent="0.25">
      <c r="A147" t="s">
        <v>30</v>
      </c>
      <c r="B147" t="s">
        <v>31</v>
      </c>
      <c r="C147" t="s">
        <v>178</v>
      </c>
      <c r="D147" t="s">
        <v>404</v>
      </c>
      <c r="E147" t="str">
        <f>_xlfn.XLOOKUP(D147,[6]Feuil1!$C$2:$C$248,[6]Feuil1!$B$2:$B$248)</f>
        <v>PT</v>
      </c>
      <c r="F147" t="s">
        <v>33</v>
      </c>
      <c r="G147" t="str">
        <f>_xlfn.XLOOKUP(C147,[3]Sheet1!$B$2:$B$172,[3]Sheet1!$D$2:$D$172)</f>
        <v>Western Europe</v>
      </c>
      <c r="H147" t="s">
        <v>34</v>
      </c>
      <c r="I147">
        <f>[1]data!F148*(_xlfn.XLOOKUP([1]data!$C148,[2]data!$B$2:$B$218,[2]data!E$2:E$218)/100)</f>
        <v>2.6165433840000003</v>
      </c>
      <c r="J147">
        <f>[1]data!G148*(_xlfn.XLOOKUP([1]data!$C148,[2]data!$B$2:$B$218,[2]data!F$2:F$218)/100)</f>
        <v>2.8515903900000006</v>
      </c>
      <c r="K147">
        <f>[1]data!H148*(_xlfn.XLOOKUP([1]data!$C148,[2]data!$B$2:$B$218,[2]data!G$2:G$218)/100)</f>
        <v>3.1054393999999998</v>
      </c>
      <c r="L147">
        <f>[1]data!I148*(_xlfn.XLOOKUP([1]data!$C148,[2]data!$B$2:$B$218,[2]data!H$2:H$218)/100)</f>
        <v>3.2859479520000003</v>
      </c>
      <c r="M147">
        <f>[1]data!J148*(_xlfn.XLOOKUP([1]data!$C148,[2]data!$B$2:$B$218,[2]data!I$2:I$218)/100)</f>
        <v>3.3895718799999996</v>
      </c>
      <c r="N147">
        <f>[1]data!K148*(_xlfn.XLOOKUP([1]data!$C148,[2]data!$B$2:$B$218,[2]data!J$2:J$218)/100)</f>
        <v>3.7291342799999994</v>
      </c>
      <c r="O147">
        <f>[1]data!L148*(_xlfn.XLOOKUP([1]data!$C148,[2]data!$B$2:$B$218,[2]data!K$2:K$218)/100)</f>
        <v>4.1682153880000001</v>
      </c>
      <c r="P147">
        <f>[1]data!M148*(_xlfn.XLOOKUP([1]data!$C148,[2]data!$B$2:$B$218,[2]data!L$2:L$218)/100)</f>
        <v>4.5250265130000003</v>
      </c>
      <c r="Q147">
        <f>[1]data!N148*(_xlfn.XLOOKUP([1]data!$C148,[2]data!$B$2:$B$218,[2]data!M$2:M$218)/100)</f>
        <v>4.7982038329999996</v>
      </c>
      <c r="R147">
        <f>[1]data!O148*(_xlfn.XLOOKUP([1]data!$C148,[2]data!$B$2:$B$218,[2]data!N$2:N$218)/100)</f>
        <v>5.1274884639999998</v>
      </c>
      <c r="S147">
        <f>[1]data!P148*(_xlfn.XLOOKUP([1]data!$C148,[2]data!$B$2:$B$218,[2]data!O$2:O$218)/100)</f>
        <v>5.5825214719999998</v>
      </c>
      <c r="T147">
        <f>[1]data!Q148*(_xlfn.XLOOKUP([1]data!$C148,[2]data!$B$2:$B$218,[2]data!P$2:P$218)/100)</f>
        <v>6.0454401749999995</v>
      </c>
      <c r="U147">
        <f>[1]data!R148*(_xlfn.XLOOKUP([1]data!$C148,[2]data!$B$2:$B$218,[2]data!Q$2:Q$218)/100)</f>
        <v>6.421657164</v>
      </c>
      <c r="V147">
        <f>[1]data!S148*(_xlfn.XLOOKUP([1]data!$C148,[2]data!$B$2:$B$218,[2]data!R$2:R$218)/100)</f>
        <v>6.5926982699999996</v>
      </c>
      <c r="W147">
        <f>[1]data!T148*(_xlfn.XLOOKUP([1]data!$C148,[2]data!$B$2:$B$218,[2]data!S$2:S$218)/100)</f>
        <v>6.8278398629999995</v>
      </c>
      <c r="X147">
        <f>[1]data!U148*(_xlfn.XLOOKUP([1]data!$C148,[2]data!$B$2:$B$218,[2]data!T$2:T$218)/100)</f>
        <v>6.8981963828400019</v>
      </c>
      <c r="Y147">
        <f>[1]data!V148*(_xlfn.XLOOKUP([1]data!$C148,[2]data!$B$2:$B$218,[2]data!U$2:U$218)/100)</f>
        <v>6.9463028408800014</v>
      </c>
      <c r="Z147">
        <f>[1]data!W148*(_xlfn.XLOOKUP([1]data!$C148,[2]data!$B$2:$B$218,[2]data!V$2:V$218)/100)</f>
        <v>7.0018685397500082</v>
      </c>
      <c r="AA147">
        <f>[1]data!X148*(_xlfn.XLOOKUP([1]data!$C148,[2]data!$B$2:$B$218,[2]data!W$2:W$218)/100)</f>
        <v>7.0574660162599994</v>
      </c>
      <c r="AB147">
        <f>[1]data!Y148*(_xlfn.XLOOKUP([1]data!$C148,[2]data!$B$2:$B$218,[2]data!X$2:X$218)/100)</f>
        <v>7.1089380840000009</v>
      </c>
      <c r="AC147">
        <f>[1]data!Z148*(_xlfn.XLOOKUP([1]data!$C148,[2]data!$B$2:$B$218,[2]data!Y$2:Y$218)/100)</f>
        <v>7.1548585533500004</v>
      </c>
      <c r="AD147">
        <f>[1]data!AA148*(_xlfn.XLOOKUP([1]data!$C148,[2]data!$B$2:$B$218,[2]data!Z$2:Z$218)/100)</f>
        <v>7.1873028613900081</v>
      </c>
      <c r="AE147">
        <f>[1]data!AB148*(_xlfn.XLOOKUP([1]data!$C148,[2]data!$B$2:$B$218,[2]data!AA$2:AA$218)/100)</f>
        <v>7.2095368914000071</v>
      </c>
      <c r="AF147">
        <f>[1]data!AC148*(_xlfn.XLOOKUP([1]data!$C148,[2]data!$B$2:$B$218,[2]data!AB$2:AB$218)/100)</f>
        <v>7.2185010836700005</v>
      </c>
      <c r="AG147">
        <f>[1]data!AD148*(_xlfn.XLOOKUP([1]data!$C148,[2]data!$B$2:$B$218,[2]data!AC$2:AC$218)/100)</f>
        <v>7.2216965184000008</v>
      </c>
      <c r="AH147">
        <f>[1]data!AE148*(_xlfn.XLOOKUP([1]data!$C148,[2]data!$B$2:$B$218,[2]data!AD$2:AD$218)/100)</f>
        <v>7.2266202541500073</v>
      </c>
      <c r="AI147">
        <f>[1]data!AF148*(_xlfn.XLOOKUP([1]data!$C148,[2]data!$B$2:$B$218,[2]data!AE$2:AE$218)/100)</f>
        <v>7.2408967631999985</v>
      </c>
      <c r="AJ147">
        <f>[1]data!AG148*(_xlfn.XLOOKUP([1]data!$C148,[2]data!$B$2:$B$218,[2]data!AF$2:AF$218)/100)</f>
        <v>7.2638932902900013</v>
      </c>
      <c r="AK147">
        <f>[1]data!AH148*(_xlfn.XLOOKUP([1]data!$C148,[2]data!$B$2:$B$218,[2]data!AG$2:AG$218)/100)</f>
        <v>7.2835675150199917</v>
      </c>
      <c r="AL147">
        <f>[1]data!AI148*(_xlfn.XLOOKUP([1]data!$C148,[2]data!$B$2:$B$218,[2]data!AH$2:AH$218)/100)</f>
        <v>7.2871866308799991</v>
      </c>
      <c r="AM147">
        <f>[1]data!AJ148*(_xlfn.XLOOKUP([1]data!$C148,[2]data!$B$2:$B$218,[2]data!AI$2:AI$218)/100)</f>
        <v>7.2691663839399983</v>
      </c>
    </row>
    <row r="148" spans="1:39" x14ac:dyDescent="0.25">
      <c r="A148" t="s">
        <v>30</v>
      </c>
      <c r="B148" t="s">
        <v>31</v>
      </c>
      <c r="C148" t="s">
        <v>179</v>
      </c>
      <c r="D148" t="s">
        <v>405</v>
      </c>
      <c r="E148" t="str">
        <f>_xlfn.XLOOKUP(D148,[6]Feuil1!$C$2:$C$248,[6]Feuil1!$B$2:$B$248)</f>
        <v>PY</v>
      </c>
      <c r="F148" t="s">
        <v>33</v>
      </c>
      <c r="G148" t="str">
        <f>_xlfn.XLOOKUP(C148,[3]Sheet1!$B$2:$B$172,[3]Sheet1!$D$2:$D$172)</f>
        <v>Rest of South America</v>
      </c>
      <c r="H148" t="s">
        <v>34</v>
      </c>
      <c r="I148">
        <f>[1]data!F149*(_xlfn.XLOOKUP([1]data!$C149,[2]data!$B$2:$B$218,[2]data!E$2:E$218)/100)</f>
        <v>0.514788142</v>
      </c>
      <c r="J148">
        <f>[1]data!G149*(_xlfn.XLOOKUP([1]data!$C149,[2]data!$B$2:$B$218,[2]data!F$2:F$218)/100)</f>
        <v>0.58491587700000003</v>
      </c>
      <c r="K148">
        <f>[1]data!H149*(_xlfn.XLOOKUP([1]data!$C149,[2]data!$B$2:$B$218,[2]data!G$2:G$218)/100)</f>
        <v>0.66646154800000013</v>
      </c>
      <c r="L148">
        <f>[1]data!I149*(_xlfn.XLOOKUP([1]data!$C149,[2]data!$B$2:$B$218,[2]data!H$2:H$218)/100)</f>
        <v>0.76628449600000015</v>
      </c>
      <c r="M148">
        <f>[1]data!J149*(_xlfn.XLOOKUP([1]data!$C149,[2]data!$B$2:$B$218,[2]data!I$2:I$218)/100)</f>
        <v>0.88365670399999996</v>
      </c>
      <c r="N148">
        <f>[1]data!K149*(_xlfn.XLOOKUP([1]data!$C149,[2]data!$B$2:$B$218,[2]data!J$2:J$218)/100)</f>
        <v>1.0456122300000001</v>
      </c>
      <c r="O148">
        <f>[1]data!L149*(_xlfn.XLOOKUP([1]data!$C149,[2]data!$B$2:$B$218,[2]data!K$2:K$218)/100)</f>
        <v>1.266834741</v>
      </c>
      <c r="P148">
        <f>[1]data!M149*(_xlfn.XLOOKUP([1]data!$C149,[2]data!$B$2:$B$218,[2]data!L$2:L$218)/100)</f>
        <v>1.5686289000000002</v>
      </c>
      <c r="Q148">
        <f>[1]data!N149*(_xlfn.XLOOKUP([1]data!$C149,[2]data!$B$2:$B$218,[2]data!M$2:M$218)/100)</f>
        <v>1.950387761</v>
      </c>
      <c r="R148">
        <f>[1]data!O149*(_xlfn.XLOOKUP([1]data!$C149,[2]data!$B$2:$B$218,[2]data!N$2:N$218)/100)</f>
        <v>2.3704442370000001</v>
      </c>
      <c r="S148">
        <f>[1]data!P149*(_xlfn.XLOOKUP([1]data!$C149,[2]data!$B$2:$B$218,[2]data!O$2:O$218)/100)</f>
        <v>2.8072862509999998</v>
      </c>
      <c r="T148">
        <f>[1]data!Q149*(_xlfn.XLOOKUP([1]data!$C149,[2]data!$B$2:$B$218,[2]data!P$2:P$218)/100)</f>
        <v>3.1376177280000004</v>
      </c>
      <c r="U148">
        <f>[1]data!R149*(_xlfn.XLOOKUP([1]data!$C149,[2]data!$B$2:$B$218,[2]data!Q$2:Q$218)/100)</f>
        <v>3.399250935</v>
      </c>
      <c r="V148">
        <f>[1]data!S149*(_xlfn.XLOOKUP([1]data!$C149,[2]data!$B$2:$B$218,[2]data!R$2:R$218)/100)</f>
        <v>3.7293716800000003</v>
      </c>
      <c r="W148">
        <f>[1]data!T149*(_xlfn.XLOOKUP([1]data!$C149,[2]data!$B$2:$B$218,[2]data!S$2:S$218)/100)</f>
        <v>4.088428392</v>
      </c>
      <c r="X148">
        <f>[1]data!U149*(_xlfn.XLOOKUP([1]data!$C149,[2]data!$B$2:$B$218,[2]data!T$2:T$218)/100)</f>
        <v>4.47500833475</v>
      </c>
      <c r="Y148">
        <f>[1]data!V149*(_xlfn.XLOOKUP([1]data!$C149,[2]data!$B$2:$B$218,[2]data!U$2:U$218)/100)</f>
        <v>4.8690313092500066</v>
      </c>
      <c r="Z148">
        <f>[1]data!W149*(_xlfn.XLOOKUP([1]data!$C149,[2]data!$B$2:$B$218,[2]data!V$2:V$218)/100)</f>
        <v>5.2356430009800006</v>
      </c>
      <c r="AA148">
        <f>[1]data!X149*(_xlfn.XLOOKUP([1]data!$C149,[2]data!$B$2:$B$218,[2]data!W$2:W$218)/100)</f>
        <v>5.5803591223199991</v>
      </c>
      <c r="AB148">
        <f>[1]data!Y149*(_xlfn.XLOOKUP([1]data!$C149,[2]data!$B$2:$B$218,[2]data!X$2:X$218)/100)</f>
        <v>5.8909372482300064</v>
      </c>
      <c r="AC148">
        <f>[1]data!Z149*(_xlfn.XLOOKUP([1]data!$C149,[2]data!$B$2:$B$218,[2]data!Y$2:Y$218)/100)</f>
        <v>6.1684500798900004</v>
      </c>
      <c r="AD148">
        <f>[1]data!AA149*(_xlfn.XLOOKUP([1]data!$C149,[2]data!$B$2:$B$218,[2]data!Z$2:Z$218)/100)</f>
        <v>6.4034659349299998</v>
      </c>
      <c r="AE148">
        <f>[1]data!AB149*(_xlfn.XLOOKUP([1]data!$C149,[2]data!$B$2:$B$218,[2]data!AA$2:AA$218)/100)</f>
        <v>6.6011979963000007</v>
      </c>
      <c r="AF148">
        <f>[1]data!AC149*(_xlfn.XLOOKUP([1]data!$C149,[2]data!$B$2:$B$218,[2]data!AB$2:AB$218)/100)</f>
        <v>6.7711173102000073</v>
      </c>
      <c r="AG148">
        <f>[1]data!AD149*(_xlfn.XLOOKUP([1]data!$C149,[2]data!$B$2:$B$218,[2]data!AC$2:AC$218)/100)</f>
        <v>6.91172560464</v>
      </c>
      <c r="AH148">
        <f>[1]data!AE149*(_xlfn.XLOOKUP([1]data!$C149,[2]data!$B$2:$B$218,[2]data!AD$2:AD$218)/100)</f>
        <v>7.0209732979400004</v>
      </c>
      <c r="AI148">
        <f>[1]data!AF149*(_xlfn.XLOOKUP([1]data!$C149,[2]data!$B$2:$B$218,[2]data!AE$2:AE$218)/100)</f>
        <v>7.0952166404000003</v>
      </c>
      <c r="AJ148">
        <f>[1]data!AG149*(_xlfn.XLOOKUP([1]data!$C149,[2]data!$B$2:$B$218,[2]data!AF$2:AF$218)/100)</f>
        <v>7.1414822984400006</v>
      </c>
      <c r="AK148">
        <f>[1]data!AH149*(_xlfn.XLOOKUP([1]data!$C149,[2]data!$B$2:$B$218,[2]data!AG$2:AG$218)/100)</f>
        <v>7.164643335150009</v>
      </c>
      <c r="AL148">
        <f>[1]data!AI149*(_xlfn.XLOOKUP([1]data!$C149,[2]data!$B$2:$B$218,[2]data!AH$2:AH$218)/100)</f>
        <v>7.1733202594199996</v>
      </c>
      <c r="AM148">
        <f>[1]data!AJ149*(_xlfn.XLOOKUP([1]data!$C149,[2]data!$B$2:$B$218,[2]data!AI$2:AI$218)/100)</f>
        <v>7.168815651400001</v>
      </c>
    </row>
    <row r="149" spans="1:39" x14ac:dyDescent="0.25">
      <c r="A149" t="s">
        <v>30</v>
      </c>
      <c r="B149" t="s">
        <v>31</v>
      </c>
      <c r="C149" t="s">
        <v>180</v>
      </c>
      <c r="D149" t="s">
        <v>269</v>
      </c>
      <c r="E149" t="str">
        <f>_xlfn.XLOOKUP(D149,[6]Feuil1!$C$2:$C$248,[6]Feuil1!$B$2:$B$248)</f>
        <v>PS</v>
      </c>
      <c r="F149" t="s">
        <v>33</v>
      </c>
      <c r="G149" t="str">
        <f>_xlfn.XLOOKUP(C149,[3]Sheet1!$B$2:$B$172,[3]Sheet1!$D$2:$D$172)</f>
        <v>Middle East</v>
      </c>
      <c r="H149" t="s">
        <v>34</v>
      </c>
      <c r="I149">
        <f>[1]data!F150*(_xlfn.XLOOKUP([1]data!$C150,[2]data!$B$2:$B$218,[2]data!E$2:E$218)/100)</f>
        <v>0.35089266299999999</v>
      </c>
      <c r="J149">
        <f>[1]data!G150*(_xlfn.XLOOKUP([1]data!$C150,[2]data!$B$2:$B$218,[2]data!F$2:F$218)/100)</f>
        <v>0.40221526800000007</v>
      </c>
      <c r="K149">
        <f>[1]data!H150*(_xlfn.XLOOKUP([1]data!$C150,[2]data!$B$2:$B$218,[2]data!G$2:G$218)/100)</f>
        <v>0.46861936000000004</v>
      </c>
      <c r="L149">
        <f>[1]data!I150*(_xlfn.XLOOKUP([1]data!$C150,[2]data!$B$2:$B$218,[2]data!H$2:H$218)/100)</f>
        <v>0.56050157999999994</v>
      </c>
      <c r="M149">
        <f>[1]data!J150*(_xlfn.XLOOKUP([1]data!$C150,[2]data!$B$2:$B$218,[2]data!I$2:I$218)/100)</f>
        <v>0.60436171499999991</v>
      </c>
      <c r="N149">
        <f>[1]data!K150*(_xlfn.XLOOKUP([1]data!$C150,[2]data!$B$2:$B$218,[2]data!J$2:J$218)/100)</f>
        <v>0.74190914399999996</v>
      </c>
      <c r="O149">
        <f>[1]data!L150*(_xlfn.XLOOKUP([1]data!$C150,[2]data!$B$2:$B$218,[2]data!K$2:K$218)/100)</f>
        <v>0.89383257599999999</v>
      </c>
      <c r="P149">
        <f>[1]data!M150*(_xlfn.XLOOKUP([1]data!$C150,[2]data!$B$2:$B$218,[2]data!L$2:L$218)/100)</f>
        <v>1.114561476</v>
      </c>
      <c r="Q149">
        <f>[1]data!N150*(_xlfn.XLOOKUP([1]data!$C150,[2]data!$B$2:$B$218,[2]data!M$2:M$218)/100)</f>
        <v>1.4090678570000001</v>
      </c>
      <c r="R149">
        <f>[1]data!O150*(_xlfn.XLOOKUP([1]data!$C150,[2]data!$B$2:$B$218,[2]data!N$2:N$218)/100)</f>
        <v>1.8029943360000003</v>
      </c>
      <c r="S149">
        <f>[1]data!P150*(_xlfn.XLOOKUP([1]data!$C150,[2]data!$B$2:$B$218,[2]data!O$2:O$218)/100)</f>
        <v>2.2258677599999999</v>
      </c>
      <c r="T149">
        <f>[1]data!Q150*(_xlfn.XLOOKUP([1]data!$C150,[2]data!$B$2:$B$218,[2]data!P$2:P$218)/100)</f>
        <v>2.5578494100000002</v>
      </c>
      <c r="U149">
        <f>[1]data!R150*(_xlfn.XLOOKUP([1]data!$C150,[2]data!$B$2:$B$218,[2]data!Q$2:Q$218)/100)</f>
        <v>2.9231375549999998</v>
      </c>
      <c r="V149">
        <f>[1]data!S150*(_xlfn.XLOOKUP([1]data!$C150,[2]data!$B$2:$B$218,[2]data!R$2:R$218)/100)</f>
        <v>3.3401408300000002</v>
      </c>
      <c r="W149">
        <f>[1]data!T150*(_xlfn.XLOOKUP([1]data!$C150,[2]data!$B$2:$B$218,[2]data!S$2:S$218)/100)</f>
        <v>3.8058417280000003</v>
      </c>
      <c r="X149">
        <f>[1]data!U150*(_xlfn.XLOOKUP([1]data!$C150,[2]data!$B$2:$B$218,[2]data!T$2:T$218)/100)</f>
        <v>4.3596334713399996</v>
      </c>
      <c r="Y149">
        <f>[1]data!V150*(_xlfn.XLOOKUP([1]data!$C150,[2]data!$B$2:$B$218,[2]data!U$2:U$218)/100)</f>
        <v>4.9198149000000004</v>
      </c>
      <c r="Z149">
        <f>[1]data!W150*(_xlfn.XLOOKUP([1]data!$C150,[2]data!$B$2:$B$218,[2]data!V$2:V$218)/100)</f>
        <v>5.4720822579600004</v>
      </c>
      <c r="AA149">
        <f>[1]data!X150*(_xlfn.XLOOKUP([1]data!$C150,[2]data!$B$2:$B$218,[2]data!W$2:W$218)/100)</f>
        <v>6.0075315193399996</v>
      </c>
      <c r="AB149">
        <f>[1]data!Y150*(_xlfn.XLOOKUP([1]data!$C150,[2]data!$B$2:$B$218,[2]data!X$2:X$218)/100)</f>
        <v>6.51815734854</v>
      </c>
      <c r="AC149">
        <f>[1]data!Z150*(_xlfn.XLOOKUP([1]data!$C150,[2]data!$B$2:$B$218,[2]data!Y$2:Y$218)/100)</f>
        <v>7.00005536862</v>
      </c>
      <c r="AD149">
        <f>[1]data!AA150*(_xlfn.XLOOKUP([1]data!$C150,[2]data!$B$2:$B$218,[2]data!Z$2:Z$218)/100)</f>
        <v>7.4297879265000084</v>
      </c>
      <c r="AE149">
        <f>[1]data!AB150*(_xlfn.XLOOKUP([1]data!$C150,[2]data!$B$2:$B$218,[2]data!AA$2:AA$218)/100)</f>
        <v>7.803911738930001</v>
      </c>
      <c r="AF149">
        <f>[1]data!AC150*(_xlfn.XLOOKUP([1]data!$C150,[2]data!$B$2:$B$218,[2]data!AB$2:AB$218)/100)</f>
        <v>8.1276096512399914</v>
      </c>
      <c r="AG149">
        <f>[1]data!AD150*(_xlfn.XLOOKUP([1]data!$C150,[2]data!$B$2:$B$218,[2]data!AC$2:AC$218)/100)</f>
        <v>8.4053846188900092</v>
      </c>
      <c r="AH149">
        <f>[1]data!AE150*(_xlfn.XLOOKUP([1]data!$C150,[2]data!$B$2:$B$218,[2]data!AD$2:AD$218)/100)</f>
        <v>8.6519479344600008</v>
      </c>
      <c r="AI149">
        <f>[1]data!AF150*(_xlfn.XLOOKUP([1]data!$C150,[2]data!$B$2:$B$218,[2]data!AE$2:AE$218)/100)</f>
        <v>8.8736233209699993</v>
      </c>
      <c r="AJ149">
        <f>[1]data!AG150*(_xlfn.XLOOKUP([1]data!$C150,[2]data!$B$2:$B$218,[2]data!AF$2:AF$218)/100)</f>
        <v>9.0674454296999905</v>
      </c>
      <c r="AK149">
        <f>[1]data!AH150*(_xlfn.XLOOKUP([1]data!$C150,[2]data!$B$2:$B$218,[2]data!AG$2:AG$218)/100)</f>
        <v>9.2414759656000012</v>
      </c>
      <c r="AL149">
        <f>[1]data!AI150*(_xlfn.XLOOKUP([1]data!$C150,[2]data!$B$2:$B$218,[2]data!AH$2:AH$218)/100)</f>
        <v>9.3894773859600011</v>
      </c>
      <c r="AM149">
        <f>[1]data!AJ150*(_xlfn.XLOOKUP([1]data!$C150,[2]data!$B$2:$B$218,[2]data!AI$2:AI$218)/100)</f>
        <v>9.5191443821099977</v>
      </c>
    </row>
    <row r="150" spans="1:39" x14ac:dyDescent="0.25">
      <c r="A150" t="s">
        <v>30</v>
      </c>
      <c r="B150" t="s">
        <v>31</v>
      </c>
      <c r="C150" t="s">
        <v>181</v>
      </c>
      <c r="D150" t="s">
        <v>406</v>
      </c>
      <c r="E150" t="str">
        <f>_xlfn.XLOOKUP(D150,[6]Feuil1!$C$2:$C$248,[6]Feuil1!$B$2:$B$248)</f>
        <v>PF</v>
      </c>
      <c r="F150" t="s">
        <v>33</v>
      </c>
      <c r="G150" t="s">
        <v>250</v>
      </c>
      <c r="H150" t="s">
        <v>34</v>
      </c>
      <c r="I150">
        <f>[1]data!F151*(_xlfn.XLOOKUP([1]data!$C151,[2]data!$B$2:$B$218,[2]data!E$2:E$218)/100)</f>
        <v>2.1176135999999995E-2</v>
      </c>
      <c r="J150">
        <f>[1]data!G151*(_xlfn.XLOOKUP([1]data!$C151,[2]data!$B$2:$B$218,[2]data!F$2:F$218)/100)</f>
        <v>2.7642771E-2</v>
      </c>
      <c r="K150">
        <f>[1]data!H151*(_xlfn.XLOOKUP([1]data!$C151,[2]data!$B$2:$B$218,[2]data!G$2:G$218)/100)</f>
        <v>3.5461358999999998E-2</v>
      </c>
      <c r="L150">
        <f>[1]data!I151*(_xlfn.XLOOKUP([1]data!$C151,[2]data!$B$2:$B$218,[2]data!H$2:H$218)/100)</f>
        <v>4.6706282000000002E-2</v>
      </c>
      <c r="M150">
        <f>[1]data!J151*(_xlfn.XLOOKUP([1]data!$C151,[2]data!$B$2:$B$218,[2]data!I$2:I$218)/100)</f>
        <v>6.3932088000000012E-2</v>
      </c>
      <c r="N150">
        <f>[1]data!K151*(_xlfn.XLOOKUP([1]data!$C151,[2]data!$B$2:$B$218,[2]data!J$2:J$218)/100)</f>
        <v>8.0216718999999992E-2</v>
      </c>
      <c r="O150">
        <f>[1]data!L151*(_xlfn.XLOOKUP([1]data!$C151,[2]data!$B$2:$B$218,[2]data!K$2:K$218)/100)</f>
        <v>9.4996489999999989E-2</v>
      </c>
      <c r="P150">
        <f>[1]data!M151*(_xlfn.XLOOKUP([1]data!$C151,[2]data!$B$2:$B$218,[2]data!L$2:L$218)/100)</f>
        <v>0.108575252</v>
      </c>
      <c r="Q150">
        <f>[1]data!N151*(_xlfn.XLOOKUP([1]data!$C151,[2]data!$B$2:$B$218,[2]data!M$2:M$218)/100)</f>
        <v>0.12092762399999998</v>
      </c>
      <c r="R150">
        <f>[1]data!O151*(_xlfn.XLOOKUP([1]data!$C151,[2]data!$B$2:$B$218,[2]data!N$2:N$218)/100)</f>
        <v>0.12996095800000002</v>
      </c>
      <c r="S150">
        <f>[1]data!P151*(_xlfn.XLOOKUP([1]data!$C151,[2]data!$B$2:$B$218,[2]data!O$2:O$218)/100)</f>
        <v>0.13935656000000002</v>
      </c>
      <c r="T150">
        <f>[1]data!Q151*(_xlfn.XLOOKUP([1]data!$C151,[2]data!$B$2:$B$218,[2]data!P$2:P$218)/100)</f>
        <v>0.15446282599999997</v>
      </c>
      <c r="U150">
        <f>[1]data!R151*(_xlfn.XLOOKUP([1]data!$C151,[2]data!$B$2:$B$218,[2]data!Q$2:Q$218)/100)</f>
        <v>0.17066166300000002</v>
      </c>
      <c r="V150">
        <f>[1]data!S151*(_xlfn.XLOOKUP([1]data!$C151,[2]data!$B$2:$B$218,[2]data!R$2:R$218)/100)</f>
        <v>0.17946925800000002</v>
      </c>
      <c r="W150">
        <f>[1]data!T151*(_xlfn.XLOOKUP([1]data!$C151,[2]data!$B$2:$B$218,[2]data!S$2:S$218)/100)</f>
        <v>0.62596688</v>
      </c>
      <c r="X150">
        <f>[1]data!U151*(_xlfn.XLOOKUP([1]data!$C151,[2]data!$B$2:$B$218,[2]data!T$2:T$218)/100)</f>
        <v>0.67118070518999995</v>
      </c>
      <c r="Y150">
        <f>[1]data!V151*(_xlfn.XLOOKUP([1]data!$C151,[2]data!$B$2:$B$218,[2]data!U$2:U$218)/100)</f>
        <v>0.71438433837999982</v>
      </c>
      <c r="Z150">
        <f>[1]data!W151*(_xlfn.XLOOKUP([1]data!$C151,[2]data!$B$2:$B$218,[2]data!V$2:V$218)/100)</f>
        <v>0.75410566392000011</v>
      </c>
      <c r="AA150">
        <f>[1]data!X151*(_xlfn.XLOOKUP([1]data!$C151,[2]data!$B$2:$B$218,[2]data!W$2:W$218)/100)</f>
        <v>0.78989516999999987</v>
      </c>
      <c r="AB150">
        <f>[1]data!Y151*(_xlfn.XLOOKUP([1]data!$C151,[2]data!$B$2:$B$218,[2]data!X$2:X$218)/100)</f>
        <v>0.82075102777999986</v>
      </c>
      <c r="AC150">
        <f>[1]data!Z151*(_xlfn.XLOOKUP([1]data!$C151,[2]data!$B$2:$B$218,[2]data!Y$2:Y$218)/100)</f>
        <v>0.84595328641999989</v>
      </c>
      <c r="AD150">
        <f>[1]data!AA151*(_xlfn.XLOOKUP([1]data!$C151,[2]data!$B$2:$B$218,[2]data!Z$2:Z$218)/100)</f>
        <v>0.86399530088999998</v>
      </c>
      <c r="AE150">
        <f>[1]data!AB151*(_xlfn.XLOOKUP([1]data!$C151,[2]data!$B$2:$B$218,[2]data!AA$2:AA$218)/100)</f>
        <v>0.87591356815999932</v>
      </c>
      <c r="AF150">
        <f>[1]data!AC151*(_xlfn.XLOOKUP([1]data!$C151,[2]data!$B$2:$B$218,[2]data!AB$2:AB$218)/100)</f>
        <v>0.88543154534000001</v>
      </c>
      <c r="AG150">
        <f>[1]data!AD151*(_xlfn.XLOOKUP([1]data!$C151,[2]data!$B$2:$B$218,[2]data!AC$2:AC$218)/100)</f>
        <v>0.89335586654999999</v>
      </c>
      <c r="AH150">
        <f>[1]data!AE151*(_xlfn.XLOOKUP([1]data!$C151,[2]data!$B$2:$B$218,[2]data!AD$2:AD$218)/100)</f>
        <v>0.90006996497999991</v>
      </c>
      <c r="AI150">
        <f>[1]data!AF151*(_xlfn.XLOOKUP([1]data!$C151,[2]data!$B$2:$B$218,[2]data!AE$2:AE$218)/100)</f>
        <v>0.90572893505000007</v>
      </c>
      <c r="AJ150">
        <f>[1]data!AG151*(_xlfn.XLOOKUP([1]data!$C151,[2]data!$B$2:$B$218,[2]data!AF$2:AF$218)/100)</f>
        <v>0.91081609631999916</v>
      </c>
      <c r="AK150">
        <f>[1]data!AH151*(_xlfn.XLOOKUP([1]data!$C151,[2]data!$B$2:$B$218,[2]data!AG$2:AG$218)/100)</f>
        <v>0.91570355848000007</v>
      </c>
      <c r="AL150">
        <f>[1]data!AI151*(_xlfn.XLOOKUP([1]data!$C151,[2]data!$B$2:$B$218,[2]data!AH$2:AH$218)/100)</f>
        <v>0.92090219966999998</v>
      </c>
      <c r="AM150">
        <f>[1]data!AJ151*(_xlfn.XLOOKUP([1]data!$C151,[2]data!$B$2:$B$218,[2]data!AI$2:AI$218)/100)</f>
        <v>0.92648773235000004</v>
      </c>
    </row>
    <row r="151" spans="1:39" x14ac:dyDescent="0.25">
      <c r="A151" t="s">
        <v>30</v>
      </c>
      <c r="B151" t="s">
        <v>31</v>
      </c>
      <c r="C151" t="s">
        <v>182</v>
      </c>
      <c r="D151" t="s">
        <v>407</v>
      </c>
      <c r="E151" t="str">
        <f>_xlfn.XLOOKUP(D151,[6]Feuil1!$C$2:$C$248,[6]Feuil1!$B$2:$B$248)</f>
        <v>QA</v>
      </c>
      <c r="F151" t="s">
        <v>33</v>
      </c>
      <c r="G151" t="str">
        <f>_xlfn.XLOOKUP(C151,[3]Sheet1!$B$2:$B$172,[3]Sheet1!$D$2:$D$172)</f>
        <v>Middle East</v>
      </c>
      <c r="H151" t="s">
        <v>34</v>
      </c>
      <c r="I151">
        <f>[1]data!F152*(_xlfn.XLOOKUP([1]data!$C152,[2]data!$B$2:$B$218,[2]data!E$2:E$218)/100)</f>
        <v>1.92395E-2</v>
      </c>
      <c r="J151">
        <f>[1]data!G152*(_xlfn.XLOOKUP([1]data!$C152,[2]data!$B$2:$B$218,[2]data!F$2:F$218)/100)</f>
        <v>2.3383589999999999E-2</v>
      </c>
      <c r="K151">
        <f>[1]data!H152*(_xlfn.XLOOKUP([1]data!$C152,[2]data!$B$2:$B$218,[2]data!G$2:G$218)/100)</f>
        <v>2.9814055999999995E-2</v>
      </c>
      <c r="L151">
        <f>[1]data!I152*(_xlfn.XLOOKUP([1]data!$C152,[2]data!$B$2:$B$218,[2]data!H$2:H$218)/100)</f>
        <v>5.3132742000000004E-2</v>
      </c>
      <c r="M151">
        <f>[1]data!J152*(_xlfn.XLOOKUP([1]data!$C152,[2]data!$B$2:$B$218,[2]data!I$2:I$218)/100)</f>
        <v>9.7684652000000011E-2</v>
      </c>
      <c r="N151">
        <f>[1]data!K152*(_xlfn.XLOOKUP([1]data!$C152,[2]data!$B$2:$B$218,[2]data!J$2:J$218)/100)</f>
        <v>0.16635412500000002</v>
      </c>
      <c r="O151">
        <f>[1]data!L152*(_xlfn.XLOOKUP([1]data!$C152,[2]data!$B$2:$B$218,[2]data!K$2:K$218)/100)</f>
        <v>0.240326868</v>
      </c>
      <c r="P151">
        <f>[1]data!M152*(_xlfn.XLOOKUP([1]data!$C152,[2]data!$B$2:$B$218,[2]data!L$2:L$218)/100)</f>
        <v>0.32174259500000002</v>
      </c>
      <c r="Q151">
        <f>[1]data!N152*(_xlfn.XLOOKUP([1]data!$C152,[2]data!$B$2:$B$218,[2]data!M$2:M$218)/100)</f>
        <v>0.40300627199999994</v>
      </c>
      <c r="R151">
        <f>[1]data!O152*(_xlfn.XLOOKUP([1]data!$C152,[2]data!$B$2:$B$218,[2]data!N$2:N$218)/100)</f>
        <v>0.48257434999999999</v>
      </c>
      <c r="S151">
        <f>[1]data!P152*(_xlfn.XLOOKUP([1]data!$C152,[2]data!$B$2:$B$218,[2]data!O$2:O$218)/100)</f>
        <v>0.60625857599999999</v>
      </c>
      <c r="T151">
        <f>[1]data!Q152*(_xlfn.XLOOKUP([1]data!$C152,[2]data!$B$2:$B$218,[2]data!P$2:P$218)/100)</f>
        <v>0.76933045800000011</v>
      </c>
      <c r="U151">
        <f>[1]data!R152*(_xlfn.XLOOKUP([1]data!$C152,[2]data!$B$2:$B$218,[2]data!Q$2:Q$218)/100)</f>
        <v>1.6481157899999999</v>
      </c>
      <c r="V151">
        <f>[1]data!S152*(_xlfn.XLOOKUP([1]data!$C152,[2]data!$B$2:$B$218,[2]data!R$2:R$218)/100)</f>
        <v>2.2892363220000003</v>
      </c>
      <c r="W151">
        <f>[1]data!T152*(_xlfn.XLOOKUP([1]data!$C152,[2]data!$B$2:$B$218,[2]data!S$2:S$218)/100)</f>
        <v>2.8059999679999996</v>
      </c>
      <c r="X151">
        <f>[1]data!U152*(_xlfn.XLOOKUP([1]data!$C152,[2]data!$B$2:$B$218,[2]data!T$2:T$218)/100)</f>
        <v>3.0991642332599998</v>
      </c>
      <c r="Y151">
        <f>[1]data!V152*(_xlfn.XLOOKUP([1]data!$C152,[2]data!$B$2:$B$218,[2]data!U$2:U$218)/100)</f>
        <v>3.37718459351</v>
      </c>
      <c r="Z151">
        <f>[1]data!W152*(_xlfn.XLOOKUP([1]data!$C152,[2]data!$B$2:$B$218,[2]data!V$2:V$218)/100)</f>
        <v>3.6464215871999994</v>
      </c>
      <c r="AA151">
        <f>[1]data!X152*(_xlfn.XLOOKUP([1]data!$C152,[2]data!$B$2:$B$218,[2]data!W$2:W$218)/100)</f>
        <v>3.9139031194</v>
      </c>
      <c r="AB151">
        <f>[1]data!Y152*(_xlfn.XLOOKUP([1]data!$C152,[2]data!$B$2:$B$218,[2]data!X$2:X$218)/100)</f>
        <v>4.1765035881600001</v>
      </c>
      <c r="AC151">
        <f>[1]data!Z152*(_xlfn.XLOOKUP([1]data!$C152,[2]data!$B$2:$B$218,[2]data!Y$2:Y$218)/100)</f>
        <v>4.4198096555199999</v>
      </c>
      <c r="AD151">
        <f>[1]data!AA152*(_xlfn.XLOOKUP([1]data!$C152,[2]data!$B$2:$B$218,[2]data!Z$2:Z$218)/100)</f>
        <v>4.6326148515900005</v>
      </c>
      <c r="AE151">
        <f>[1]data!AB152*(_xlfn.XLOOKUP([1]data!$C152,[2]data!$B$2:$B$218,[2]data!AA$2:AA$218)/100)</f>
        <v>4.8057034554199998</v>
      </c>
      <c r="AF151">
        <f>[1]data!AC152*(_xlfn.XLOOKUP([1]data!$C152,[2]data!$B$2:$B$218,[2]data!AB$2:AB$218)/100)</f>
        <v>4.9103937674000004</v>
      </c>
      <c r="AG151">
        <f>[1]data!AD152*(_xlfn.XLOOKUP([1]data!$C152,[2]data!$B$2:$B$218,[2]data!AC$2:AC$218)/100)</f>
        <v>4.9463643201299998</v>
      </c>
      <c r="AH151">
        <f>[1]data!AE152*(_xlfn.XLOOKUP([1]data!$C152,[2]data!$B$2:$B$218,[2]data!AD$2:AD$218)/100)</f>
        <v>4.9161211087000005</v>
      </c>
      <c r="AI151">
        <f>[1]data!AF152*(_xlfn.XLOOKUP([1]data!$C152,[2]data!$B$2:$B$218,[2]data!AE$2:AE$218)/100)</f>
        <v>4.8287643393599993</v>
      </c>
      <c r="AJ151">
        <f>[1]data!AG152*(_xlfn.XLOOKUP([1]data!$C152,[2]data!$B$2:$B$218,[2]data!AF$2:AF$218)/100)</f>
        <v>4.6972165406200004</v>
      </c>
      <c r="AK151">
        <f>[1]data!AH152*(_xlfn.XLOOKUP([1]data!$C152,[2]data!$B$2:$B$218,[2]data!AG$2:AG$218)/100)</f>
        <v>4.5476651617800004</v>
      </c>
      <c r="AL151">
        <f>[1]data!AI152*(_xlfn.XLOOKUP([1]data!$C152,[2]data!$B$2:$B$218,[2]data!AH$2:AH$218)/100)</f>
        <v>4.4003157175999998</v>
      </c>
      <c r="AM151">
        <f>[1]data!AJ152*(_xlfn.XLOOKUP([1]data!$C152,[2]data!$B$2:$B$218,[2]data!AI$2:AI$218)/100)</f>
        <v>4.2564677880600108</v>
      </c>
    </row>
    <row r="152" spans="1:39" x14ac:dyDescent="0.25">
      <c r="A152" t="s">
        <v>30</v>
      </c>
      <c r="B152" t="s">
        <v>31</v>
      </c>
      <c r="C152" t="s">
        <v>241</v>
      </c>
      <c r="D152" t="e">
        <v>#N/A</v>
      </c>
      <c r="E152" t="e">
        <f>_xlfn.XLOOKUP(D152,[6]Feuil1!$C$2:$C$248,[6]Feuil1!$B$2:$B$248)</f>
        <v>#N/A</v>
      </c>
      <c r="F152" t="s">
        <v>33</v>
      </c>
      <c r="G152" t="e">
        <f>_xlfn.XLOOKUP(C152,[3]Sheet1!$B$2:$B$172,[3]Sheet1!$D$2:$D$172)</f>
        <v>#N/A</v>
      </c>
      <c r="H152" t="s">
        <v>34</v>
      </c>
      <c r="I152">
        <f>[1]data!F153*(_xlfn.XLOOKUP([1]data!$C153,[2]data!$B$2:$B$218,[2]data!E$2:E$218)/100)</f>
        <v>5.7463609999999998E-2</v>
      </c>
      <c r="J152">
        <f>[1]data!G153*(_xlfn.XLOOKUP([1]data!$C153,[2]data!$B$2:$B$218,[2]data!F$2:F$218)/100)</f>
        <v>8.2397069999999989E-2</v>
      </c>
      <c r="K152">
        <f>[1]data!H153*(_xlfn.XLOOKUP([1]data!$C153,[2]data!$B$2:$B$218,[2]data!G$2:G$218)/100)</f>
        <v>0.117752656</v>
      </c>
      <c r="L152">
        <f>[1]data!I153*(_xlfn.XLOOKUP([1]data!$C153,[2]data!$B$2:$B$218,[2]data!H$2:H$218)/100)</f>
        <v>0.16153557600000001</v>
      </c>
      <c r="M152">
        <f>[1]data!J153*(_xlfn.XLOOKUP([1]data!$C153,[2]data!$B$2:$B$218,[2]data!I$2:I$218)/100)</f>
        <v>0.19566223800000002</v>
      </c>
      <c r="N152">
        <f>[1]data!K153*(_xlfn.XLOOKUP([1]data!$C153,[2]data!$B$2:$B$218,[2]data!J$2:J$218)/100)</f>
        <v>0.227765685</v>
      </c>
      <c r="O152">
        <f>[1]data!L153*(_xlfn.XLOOKUP([1]data!$C153,[2]data!$B$2:$B$218,[2]data!K$2:K$218)/100)</f>
        <v>0.293175185</v>
      </c>
      <c r="P152">
        <f>[1]data!M153*(_xlfn.XLOOKUP([1]data!$C153,[2]data!$B$2:$B$218,[2]data!L$2:L$218)/100)</f>
        <v>0.40295594500000009</v>
      </c>
      <c r="Q152">
        <f>[1]data!N153*(_xlfn.XLOOKUP([1]data!$C153,[2]data!$B$2:$B$218,[2]data!M$2:M$218)/100)</f>
        <v>0.52969196000000007</v>
      </c>
      <c r="R152">
        <f>[1]data!O153*(_xlfn.XLOOKUP([1]data!$C153,[2]data!$B$2:$B$218,[2]data!N$2:N$218)/100)</f>
        <v>0.61962467700000012</v>
      </c>
      <c r="S152">
        <f>[1]data!P153*(_xlfn.XLOOKUP([1]data!$C153,[2]data!$B$2:$B$218,[2]data!O$2:O$218)/100)</f>
        <v>0.71161171199999995</v>
      </c>
      <c r="T152">
        <f>[1]data!Q153*(_xlfn.XLOOKUP([1]data!$C153,[2]data!$B$2:$B$218,[2]data!P$2:P$218)/100)</f>
        <v>0.79844159700000006</v>
      </c>
      <c r="U152">
        <f>[1]data!R153*(_xlfn.XLOOKUP([1]data!$C153,[2]data!$B$2:$B$218,[2]data!Q$2:Q$218)/100)</f>
        <v>0.87361718500000007</v>
      </c>
      <c r="V152">
        <f>[1]data!S153*(_xlfn.XLOOKUP([1]data!$C153,[2]data!$B$2:$B$218,[2]data!R$2:R$218)/100)</f>
        <v>0.91371888000000001</v>
      </c>
      <c r="W152">
        <f>[1]data!T153*(_xlfn.XLOOKUP([1]data!$C153,[2]data!$B$2:$B$218,[2]data!S$2:S$218)/100)</f>
        <v>0.95065944000000002</v>
      </c>
      <c r="X152">
        <f>[1]data!U153*(_xlfn.XLOOKUP([1]data!$C153,[2]data!$B$2:$B$218,[2]data!T$2:T$218)/100)</f>
        <v>0.99778471433999993</v>
      </c>
      <c r="Y152">
        <f>[1]data!V153*(_xlfn.XLOOKUP([1]data!$C153,[2]data!$B$2:$B$218,[2]data!U$2:U$218)/100)</f>
        <v>1.0364051332799999</v>
      </c>
      <c r="Z152">
        <f>[1]data!W153*(_xlfn.XLOOKUP([1]data!$C153,[2]data!$B$2:$B$218,[2]data!V$2:V$218)/100)</f>
        <v>1.0692162351399999</v>
      </c>
      <c r="AA152">
        <f>[1]data!X153*(_xlfn.XLOOKUP([1]data!$C153,[2]data!$B$2:$B$218,[2]data!W$2:W$218)/100)</f>
        <v>1.0993524897599989</v>
      </c>
      <c r="AB152">
        <f>[1]data!Y153*(_xlfn.XLOOKUP([1]data!$C153,[2]data!$B$2:$B$218,[2]data!X$2:X$218)/100)</f>
        <v>1.1252183760999999</v>
      </c>
      <c r="AC152">
        <f>[1]data!Z153*(_xlfn.XLOOKUP([1]data!$C153,[2]data!$B$2:$B$218,[2]data!Y$2:Y$218)/100)</f>
        <v>1.14607330236</v>
      </c>
      <c r="AD152">
        <f>[1]data!AA153*(_xlfn.XLOOKUP([1]data!$C153,[2]data!$B$2:$B$218,[2]data!Z$2:Z$218)/100)</f>
        <v>1.1628520942399998</v>
      </c>
      <c r="AE152">
        <f>[1]data!AB153*(_xlfn.XLOOKUP([1]data!$C153,[2]data!$B$2:$B$218,[2]data!AA$2:AA$218)/100)</f>
        <v>1.17639202333</v>
      </c>
      <c r="AF152">
        <f>[1]data!AC153*(_xlfn.XLOOKUP([1]data!$C153,[2]data!$B$2:$B$218,[2]data!AB$2:AB$218)/100)</f>
        <v>1.18826635941</v>
      </c>
      <c r="AG152">
        <f>[1]data!AD153*(_xlfn.XLOOKUP([1]data!$C153,[2]data!$B$2:$B$218,[2]data!AC$2:AC$218)/100)</f>
        <v>1.19999404833</v>
      </c>
      <c r="AH152">
        <f>[1]data!AE153*(_xlfn.XLOOKUP([1]data!$C153,[2]data!$B$2:$B$218,[2]data!AD$2:AD$218)/100)</f>
        <v>1.2122273130699999</v>
      </c>
      <c r="AI152">
        <f>[1]data!AF153*(_xlfn.XLOOKUP([1]data!$C153,[2]data!$B$2:$B$218,[2]data!AE$2:AE$218)/100)</f>
        <v>1.2242182018499999</v>
      </c>
      <c r="AJ152">
        <f>[1]data!AG153*(_xlfn.XLOOKUP([1]data!$C153,[2]data!$B$2:$B$218,[2]data!AF$2:AF$218)/100)</f>
        <v>1.2352439935999999</v>
      </c>
      <c r="AK152">
        <f>[1]data!AH153*(_xlfn.XLOOKUP([1]data!$C153,[2]data!$B$2:$B$218,[2]data!AG$2:AG$218)/100)</f>
        <v>1.244239079</v>
      </c>
      <c r="AL152">
        <f>[1]data!AI153*(_xlfn.XLOOKUP([1]data!$C153,[2]data!$B$2:$B$218,[2]data!AH$2:AH$218)/100)</f>
        <v>1.2505862670800001</v>
      </c>
      <c r="AM152">
        <f>[1]data!AJ153*(_xlfn.XLOOKUP([1]data!$C153,[2]data!$B$2:$B$218,[2]data!AI$2:AI$218)/100)</f>
        <v>1.2537260246000002</v>
      </c>
    </row>
    <row r="153" spans="1:39" x14ac:dyDescent="0.25">
      <c r="A153" t="s">
        <v>30</v>
      </c>
      <c r="B153" t="s">
        <v>31</v>
      </c>
      <c r="C153" t="s">
        <v>184</v>
      </c>
      <c r="D153" t="s">
        <v>408</v>
      </c>
      <c r="E153" t="str">
        <f>_xlfn.XLOOKUP(D153,[6]Feuil1!$C$2:$C$248,[6]Feuil1!$B$2:$B$248)</f>
        <v>RO</v>
      </c>
      <c r="F153" t="s">
        <v>33</v>
      </c>
      <c r="G153" t="str">
        <f>_xlfn.XLOOKUP(C153,[3]Sheet1!$B$2:$B$172,[3]Sheet1!$D$2:$D$172)</f>
        <v>Central Europe</v>
      </c>
      <c r="H153" t="s">
        <v>34</v>
      </c>
      <c r="I153">
        <f>[1]data!F154*(_xlfn.XLOOKUP([1]data!$C154,[2]data!$B$2:$B$218,[2]data!E$2:E$218)/100)</f>
        <v>4.1681807360000001</v>
      </c>
      <c r="J153">
        <f>[1]data!G154*(_xlfn.XLOOKUP([1]data!$C154,[2]data!$B$2:$B$218,[2]data!F$2:F$218)/100)</f>
        <v>5.3107621920000003</v>
      </c>
      <c r="K153">
        <f>[1]data!H154*(_xlfn.XLOOKUP([1]data!$C154,[2]data!$B$2:$B$218,[2]data!G$2:G$218)/100)</f>
        <v>6.2839394640000013</v>
      </c>
      <c r="L153">
        <f>[1]data!I154*(_xlfn.XLOOKUP([1]data!$C154,[2]data!$B$2:$B$218,[2]data!H$2:H$218)/100)</f>
        <v>7.1881002830000007</v>
      </c>
      <c r="M153">
        <f>[1]data!J154*(_xlfn.XLOOKUP([1]data!$C154,[2]data!$B$2:$B$218,[2]data!I$2:I$218)/100)</f>
        <v>7.9852511569999995</v>
      </c>
      <c r="N153">
        <f>[1]data!K154*(_xlfn.XLOOKUP([1]data!$C154,[2]data!$B$2:$B$218,[2]data!J$2:J$218)/100)</f>
        <v>8.9997203519999989</v>
      </c>
      <c r="O153">
        <f>[1]data!L154*(_xlfn.XLOOKUP([1]data!$C154,[2]data!$B$2:$B$218,[2]data!K$2:K$218)/100)</f>
        <v>10.171601732000001</v>
      </c>
      <c r="P153">
        <f>[1]data!M154*(_xlfn.XLOOKUP([1]data!$C154,[2]data!$B$2:$B$218,[2]data!L$2:L$218)/100)</f>
        <v>11.158002608000002</v>
      </c>
      <c r="Q153">
        <f>[1]data!N154*(_xlfn.XLOOKUP([1]data!$C154,[2]data!$B$2:$B$218,[2]data!M$2:M$218)/100)</f>
        <v>12.143228775999999</v>
      </c>
      <c r="R153">
        <f>[1]data!O154*(_xlfn.XLOOKUP([1]data!$C154,[2]data!$B$2:$B$218,[2]data!N$2:N$218)/100)</f>
        <v>12.151295437999998</v>
      </c>
      <c r="S153">
        <f>[1]data!P154*(_xlfn.XLOOKUP([1]data!$C154,[2]data!$B$2:$B$218,[2]data!O$2:O$218)/100)</f>
        <v>11.64891293</v>
      </c>
      <c r="T153">
        <f>[1]data!Q154*(_xlfn.XLOOKUP([1]data!$C154,[2]data!$B$2:$B$218,[2]data!P$2:P$218)/100)</f>
        <v>11.272275084000002</v>
      </c>
      <c r="U153">
        <f>[1]data!R154*(_xlfn.XLOOKUP([1]data!$C154,[2]data!$B$2:$B$218,[2]data!Q$2:Q$218)/100)</f>
        <v>10.976984545999999</v>
      </c>
      <c r="V153">
        <f>[1]data!S154*(_xlfn.XLOOKUP([1]data!$C154,[2]data!$B$2:$B$218,[2]data!R$2:R$218)/100)</f>
        <v>10.758089650000001</v>
      </c>
      <c r="W153">
        <f>[1]data!T154*(_xlfn.XLOOKUP([1]data!$C154,[2]data!$B$2:$B$218,[2]data!S$2:S$218)/100)</f>
        <v>10.563430950000001</v>
      </c>
      <c r="X153">
        <f>[1]data!U154*(_xlfn.XLOOKUP([1]data!$C154,[2]data!$B$2:$B$218,[2]data!T$2:T$218)/100)</f>
        <v>10.629858195539999</v>
      </c>
      <c r="Y153">
        <f>[1]data!V154*(_xlfn.XLOOKUP([1]data!$C154,[2]data!$B$2:$B$218,[2]data!U$2:U$218)/100)</f>
        <v>10.670009609059999</v>
      </c>
      <c r="Z153">
        <f>[1]data!W154*(_xlfn.XLOOKUP([1]data!$C154,[2]data!$B$2:$B$218,[2]data!V$2:V$218)/100)</f>
        <v>10.650603695160001</v>
      </c>
      <c r="AA153">
        <f>[1]data!X154*(_xlfn.XLOOKUP([1]data!$C154,[2]data!$B$2:$B$218,[2]data!W$2:W$218)/100)</f>
        <v>10.59930747668</v>
      </c>
      <c r="AB153">
        <f>[1]data!Y154*(_xlfn.XLOOKUP([1]data!$C154,[2]data!$B$2:$B$218,[2]data!X$2:X$218)/100)</f>
        <v>10.515092098</v>
      </c>
      <c r="AC153">
        <f>[1]data!Z154*(_xlfn.XLOOKUP([1]data!$C154,[2]data!$B$2:$B$218,[2]data!Y$2:Y$218)/100)</f>
        <v>10.40125445392</v>
      </c>
      <c r="AD153">
        <f>[1]data!AA154*(_xlfn.XLOOKUP([1]data!$C154,[2]data!$B$2:$B$218,[2]data!Z$2:Z$218)/100)</f>
        <v>10.25849053428</v>
      </c>
      <c r="AE153">
        <f>[1]data!AB154*(_xlfn.XLOOKUP([1]data!$C154,[2]data!$B$2:$B$218,[2]data!AA$2:AA$218)/100)</f>
        <v>10.07476831308</v>
      </c>
      <c r="AF153">
        <f>[1]data!AC154*(_xlfn.XLOOKUP([1]data!$C154,[2]data!$B$2:$B$218,[2]data!AB$2:AB$218)/100)</f>
        <v>9.8597974267200001</v>
      </c>
      <c r="AG153">
        <f>[1]data!AD154*(_xlfn.XLOOKUP([1]data!$C154,[2]data!$B$2:$B$218,[2]data!AC$2:AC$218)/100)</f>
        <v>9.6379594808900002</v>
      </c>
      <c r="AH153">
        <f>[1]data!AE154*(_xlfn.XLOOKUP([1]data!$C154,[2]data!$B$2:$B$218,[2]data!AD$2:AD$218)/100)</f>
        <v>9.4327992532899998</v>
      </c>
      <c r="AI153">
        <f>[1]data!AF154*(_xlfn.XLOOKUP([1]data!$C154,[2]data!$B$2:$B$218,[2]data!AE$2:AE$218)/100)</f>
        <v>9.2500814902499986</v>
      </c>
      <c r="AJ153">
        <f>[1]data!AG154*(_xlfn.XLOOKUP([1]data!$C154,[2]data!$B$2:$B$218,[2]data!AF$2:AF$218)/100)</f>
        <v>9.0903215806199995</v>
      </c>
      <c r="AK153">
        <f>[1]data!AH154*(_xlfn.XLOOKUP([1]data!$C154,[2]data!$B$2:$B$218,[2]data!AG$2:AG$218)/100)</f>
        <v>8.9504861165999987</v>
      </c>
      <c r="AL153">
        <f>[1]data!AI154*(_xlfn.XLOOKUP([1]data!$C154,[2]data!$B$2:$B$218,[2]data!AH$2:AH$218)/100)</f>
        <v>8.8223484217199992</v>
      </c>
      <c r="AM153">
        <f>[1]data!AJ154*(_xlfn.XLOOKUP([1]data!$C154,[2]data!$B$2:$B$218,[2]data!AI$2:AI$218)/100)</f>
        <v>8.6901152618999991</v>
      </c>
    </row>
    <row r="154" spans="1:39" x14ac:dyDescent="0.25">
      <c r="A154" t="s">
        <v>30</v>
      </c>
      <c r="B154" t="s">
        <v>31</v>
      </c>
      <c r="C154" t="s">
        <v>240</v>
      </c>
      <c r="D154" t="s">
        <v>409</v>
      </c>
      <c r="E154" t="str">
        <f>_xlfn.XLOOKUP(D154,[6]Feuil1!$C$2:$C$248,[6]Feuil1!$B$2:$B$248)</f>
        <v>RU</v>
      </c>
      <c r="F154" t="s">
        <v>33</v>
      </c>
      <c r="G154" t="str">
        <f>_xlfn.XLOOKUP(C154,[3]Sheet1!$B$2:$B$172,[3]Sheet1!$D$2:$D$172)</f>
        <v>Russia region</v>
      </c>
      <c r="H154" t="s">
        <v>34</v>
      </c>
      <c r="I154">
        <f>[1]data!F155*(_xlfn.XLOOKUP([1]data!$C155,[2]data!$B$2:$B$218,[2]data!E$2:E$218)/100)</f>
        <v>44.894073861000003</v>
      </c>
      <c r="J154">
        <f>[1]data!G155*(_xlfn.XLOOKUP([1]data!$C155,[2]data!$B$2:$B$218,[2]data!F$2:F$218)/100)</f>
        <v>53.945178980000001</v>
      </c>
      <c r="K154">
        <f>[1]data!H155*(_xlfn.XLOOKUP([1]data!$C155,[2]data!$B$2:$B$218,[2]data!G$2:G$218)/100)</f>
        <v>63.834915381000009</v>
      </c>
      <c r="L154">
        <f>[1]data!I155*(_xlfn.XLOOKUP([1]data!$C155,[2]data!$B$2:$B$218,[2]data!H$2:H$218)/100)</f>
        <v>73.297807500000005</v>
      </c>
      <c r="M154">
        <f>[1]data!J155*(_xlfn.XLOOKUP([1]data!$C155,[2]data!$B$2:$B$218,[2]data!I$2:I$218)/100)</f>
        <v>81.143551875000014</v>
      </c>
      <c r="N154">
        <f>[1]data!K155*(_xlfn.XLOOKUP([1]data!$C155,[2]data!$B$2:$B$218,[2]data!J$2:J$218)/100)</f>
        <v>88.569303320000003</v>
      </c>
      <c r="O154">
        <f>[1]data!L155*(_xlfn.XLOOKUP([1]data!$C155,[2]data!$B$2:$B$218,[2]data!K$2:K$218)/100)</f>
        <v>96.249831217999997</v>
      </c>
      <c r="P154">
        <f>[1]data!M155*(_xlfn.XLOOKUP([1]data!$C155,[2]data!$B$2:$B$218,[2]data!L$2:L$218)/100)</f>
        <v>102.37712011400001</v>
      </c>
      <c r="Q154">
        <f>[1]data!N155*(_xlfn.XLOOKUP([1]data!$C155,[2]data!$B$2:$B$218,[2]data!M$2:M$218)/100)</f>
        <v>108.40439614200001</v>
      </c>
      <c r="R154">
        <f>[1]data!O155*(_xlfn.XLOOKUP([1]data!$C155,[2]data!$B$2:$B$218,[2]data!N$2:N$218)/100)</f>
        <v>109.16457425200002</v>
      </c>
      <c r="S154">
        <f>[1]data!P155*(_xlfn.XLOOKUP([1]data!$C155,[2]data!$B$2:$B$218,[2]data!O$2:O$218)/100)</f>
        <v>107.99324751000003</v>
      </c>
      <c r="T154">
        <f>[1]data!Q155*(_xlfn.XLOOKUP([1]data!$C155,[2]data!$B$2:$B$218,[2]data!P$2:P$218)/100)</f>
        <v>105.90097045500001</v>
      </c>
      <c r="U154">
        <f>[1]data!R155*(_xlfn.XLOOKUP([1]data!$C155,[2]data!$B$2:$B$218,[2]data!Q$2:Q$218)/100)</f>
        <v>105.56005453400002</v>
      </c>
      <c r="V154">
        <f>[1]data!S155*(_xlfn.XLOOKUP([1]data!$C155,[2]data!$B$2:$B$218,[2]data!R$2:R$218)/100)</f>
        <v>107.03142048300001</v>
      </c>
      <c r="W154">
        <f>[1]data!T155*(_xlfn.XLOOKUP([1]data!$C155,[2]data!$B$2:$B$218,[2]data!S$2:S$218)/100)</f>
        <v>109.029722428</v>
      </c>
      <c r="X154">
        <f>[1]data!U155*(_xlfn.XLOOKUP([1]data!$C155,[2]data!$B$2:$B$218,[2]data!T$2:T$218)/100)</f>
        <v>110.80720687104001</v>
      </c>
      <c r="Y154">
        <f>[1]data!V155*(_xlfn.XLOOKUP([1]data!$C155,[2]data!$B$2:$B$218,[2]data!U$2:U$218)/100)</f>
        <v>111.24377532055999</v>
      </c>
      <c r="Z154">
        <f>[1]data!W155*(_xlfn.XLOOKUP([1]data!$C155,[2]data!$B$2:$B$218,[2]data!V$2:V$218)/100)</f>
        <v>111.63605459469001</v>
      </c>
      <c r="AA154">
        <f>[1]data!X155*(_xlfn.XLOOKUP([1]data!$C155,[2]data!$B$2:$B$218,[2]data!W$2:W$218)/100)</f>
        <v>112.25164860082</v>
      </c>
      <c r="AB154">
        <f>[1]data!Y155*(_xlfn.XLOOKUP([1]data!$C155,[2]data!$B$2:$B$218,[2]data!X$2:X$218)/100)</f>
        <v>113.16408713103</v>
      </c>
      <c r="AC154">
        <f>[1]data!Z155*(_xlfn.XLOOKUP([1]data!$C155,[2]data!$B$2:$B$218,[2]data!Y$2:Y$218)/100)</f>
        <v>114.20346983490001</v>
      </c>
      <c r="AD154">
        <f>[1]data!AA155*(_xlfn.XLOOKUP([1]data!$C155,[2]data!$B$2:$B$218,[2]data!Z$2:Z$218)/100)</f>
        <v>114.97204041791998</v>
      </c>
      <c r="AE154">
        <f>[1]data!AB155*(_xlfn.XLOOKUP([1]data!$C155,[2]data!$B$2:$B$218,[2]data!AA$2:AA$218)/100)</f>
        <v>115.44373506708</v>
      </c>
      <c r="AF154">
        <f>[1]data!AC155*(_xlfn.XLOOKUP([1]data!$C155,[2]data!$B$2:$B$218,[2]data!AB$2:AB$218)/100)</f>
        <v>115.57254254879999</v>
      </c>
      <c r="AG154">
        <f>[1]data!AD155*(_xlfn.XLOOKUP([1]data!$C155,[2]data!$B$2:$B$218,[2]data!AC$2:AC$218)/100)</f>
        <v>115.50075811200001</v>
      </c>
      <c r="AH154">
        <f>[1]data!AE155*(_xlfn.XLOOKUP([1]data!$C155,[2]data!$B$2:$B$218,[2]data!AD$2:AD$218)/100)</f>
        <v>115.33694698056</v>
      </c>
      <c r="AI154">
        <f>[1]data!AF155*(_xlfn.XLOOKUP([1]data!$C155,[2]data!$B$2:$B$218,[2]data!AE$2:AE$218)/100)</f>
        <v>115.11461412631999</v>
      </c>
      <c r="AJ154">
        <f>[1]data!AG155*(_xlfn.XLOOKUP([1]data!$C155,[2]data!$B$2:$B$218,[2]data!AF$2:AF$218)/100)</f>
        <v>114.84388330578</v>
      </c>
      <c r="AK154">
        <f>[1]data!AH155*(_xlfn.XLOOKUP([1]data!$C155,[2]data!$B$2:$B$218,[2]data!AG$2:AG$218)/100)</f>
        <v>114.49004132708998</v>
      </c>
      <c r="AL154">
        <f>[1]data!AI155*(_xlfn.XLOOKUP([1]data!$C155,[2]data!$B$2:$B$218,[2]data!AH$2:AH$218)/100)</f>
        <v>113.97184612209999</v>
      </c>
      <c r="AM154">
        <f>[1]data!AJ155*(_xlfn.XLOOKUP([1]data!$C155,[2]data!$B$2:$B$218,[2]data!AI$2:AI$218)/100)</f>
        <v>113.13945918270001</v>
      </c>
    </row>
    <row r="155" spans="1:39" x14ac:dyDescent="0.25">
      <c r="A155" t="s">
        <v>30</v>
      </c>
      <c r="B155" t="s">
        <v>31</v>
      </c>
      <c r="C155" t="s">
        <v>186</v>
      </c>
      <c r="D155" t="s">
        <v>410</v>
      </c>
      <c r="E155" t="str">
        <f>_xlfn.XLOOKUP(D155,[6]Feuil1!$C$2:$C$248,[6]Feuil1!$B$2:$B$248)</f>
        <v>RW</v>
      </c>
      <c r="F155" t="s">
        <v>33</v>
      </c>
      <c r="G155" t="str">
        <f>_xlfn.XLOOKUP(C155,[3]Sheet1!$B$2:$B$172,[3]Sheet1!$D$2:$D$172)</f>
        <v>Eastern Africa</v>
      </c>
      <c r="H155" t="s">
        <v>34</v>
      </c>
      <c r="I155">
        <f>[1]data!F156*(_xlfn.XLOOKUP([1]data!$C156,[2]data!$B$2:$B$218,[2]data!E$2:E$218)/100)</f>
        <v>4.4477958000000005E-2</v>
      </c>
      <c r="J155">
        <f>[1]data!G156*(_xlfn.XLOOKUP([1]data!$C156,[2]data!$B$2:$B$218,[2]data!F$2:F$218)/100)</f>
        <v>5.7432495E-2</v>
      </c>
      <c r="K155">
        <f>[1]data!H156*(_xlfn.XLOOKUP([1]data!$C156,[2]data!$B$2:$B$218,[2]data!G$2:G$218)/100)</f>
        <v>7.6037130000000022E-2</v>
      </c>
      <c r="L155">
        <f>[1]data!I156*(_xlfn.XLOOKUP([1]data!$C156,[2]data!$B$2:$B$218,[2]data!H$2:H$218)/100)</f>
        <v>9.5799064000000003E-2</v>
      </c>
      <c r="M155">
        <f>[1]data!J156*(_xlfn.XLOOKUP([1]data!$C156,[2]data!$B$2:$B$218,[2]data!I$2:I$218)/100)</f>
        <v>0.12276688000000001</v>
      </c>
      <c r="N155">
        <f>[1]data!K156*(_xlfn.XLOOKUP([1]data!$C156,[2]data!$B$2:$B$218,[2]data!J$2:J$218)/100)</f>
        <v>0.17801564</v>
      </c>
      <c r="O155">
        <f>[1]data!L156*(_xlfn.XLOOKUP([1]data!$C156,[2]data!$B$2:$B$218,[2]data!K$2:K$218)/100)</f>
        <v>0.24233453800000002</v>
      </c>
      <c r="P155">
        <f>[1]data!M156*(_xlfn.XLOOKUP([1]data!$C156,[2]data!$B$2:$B$218,[2]data!L$2:L$218)/100)</f>
        <v>0.31393259099999998</v>
      </c>
      <c r="Q155">
        <f>[1]data!N156*(_xlfn.XLOOKUP([1]data!$C156,[2]data!$B$2:$B$218,[2]data!M$2:M$218)/100)</f>
        <v>0.39042064800000004</v>
      </c>
      <c r="R155">
        <f>[1]data!O156*(_xlfn.XLOOKUP([1]data!$C156,[2]data!$B$2:$B$218,[2]data!N$2:N$218)/100)</f>
        <v>0.530063968</v>
      </c>
      <c r="S155">
        <f>[1]data!P156*(_xlfn.XLOOKUP([1]data!$C156,[2]data!$B$2:$B$218,[2]data!O$2:O$218)/100)</f>
        <v>1.200538594</v>
      </c>
      <c r="T155">
        <f>[1]data!Q156*(_xlfn.XLOOKUP([1]data!$C156,[2]data!$B$2:$B$218,[2]data!P$2:P$218)/100)</f>
        <v>1.5053037869999999</v>
      </c>
      <c r="U155">
        <f>[1]data!R156*(_xlfn.XLOOKUP([1]data!$C156,[2]data!$B$2:$B$218,[2]data!Q$2:Q$218)/100)</f>
        <v>1.719602547</v>
      </c>
      <c r="V155">
        <f>[1]data!S156*(_xlfn.XLOOKUP([1]data!$C156,[2]data!$B$2:$B$218,[2]data!R$2:R$218)/100)</f>
        <v>1.95566419</v>
      </c>
      <c r="W155">
        <f>[1]data!T156*(_xlfn.XLOOKUP([1]data!$C156,[2]data!$B$2:$B$218,[2]data!S$2:S$218)/100)</f>
        <v>2.2597952459999995</v>
      </c>
      <c r="X155">
        <f>[1]data!U156*(_xlfn.XLOOKUP([1]data!$C156,[2]data!$B$2:$B$218,[2]data!T$2:T$218)/100)</f>
        <v>2.8559199947699998</v>
      </c>
      <c r="Y155">
        <f>[1]data!V156*(_xlfn.XLOOKUP([1]data!$C156,[2]data!$B$2:$B$218,[2]data!U$2:U$218)/100)</f>
        <v>3.5560696572700001</v>
      </c>
      <c r="Z155">
        <f>[1]data!W156*(_xlfn.XLOOKUP([1]data!$C156,[2]data!$B$2:$B$218,[2]data!V$2:V$218)/100)</f>
        <v>4.3576179077099999</v>
      </c>
      <c r="AA155">
        <f>[1]data!X156*(_xlfn.XLOOKUP([1]data!$C156,[2]data!$B$2:$B$218,[2]data!W$2:W$218)/100)</f>
        <v>5.2553058283200009</v>
      </c>
      <c r="AB155">
        <f>[1]data!Y156*(_xlfn.XLOOKUP([1]data!$C156,[2]data!$B$2:$B$218,[2]data!X$2:X$218)/100)</f>
        <v>6.2390787630000002</v>
      </c>
      <c r="AC155">
        <f>[1]data!Z156*(_xlfn.XLOOKUP([1]data!$C156,[2]data!$B$2:$B$218,[2]data!Y$2:Y$218)/100)</f>
        <v>7.2975766089099992</v>
      </c>
      <c r="AD155">
        <f>[1]data!AA156*(_xlfn.XLOOKUP([1]data!$C156,[2]data!$B$2:$B$218,[2]data!Z$2:Z$218)/100)</f>
        <v>8.4083594537299984</v>
      </c>
      <c r="AE155">
        <f>[1]data!AB156*(_xlfn.XLOOKUP([1]data!$C156,[2]data!$B$2:$B$218,[2]data!AA$2:AA$218)/100)</f>
        <v>9.5510365336899987</v>
      </c>
      <c r="AF155">
        <f>[1]data!AC156*(_xlfn.XLOOKUP([1]data!$C156,[2]data!$B$2:$B$218,[2]data!AB$2:AB$218)/100)</f>
        <v>10.68722184176</v>
      </c>
      <c r="AG155">
        <f>[1]data!AD156*(_xlfn.XLOOKUP([1]data!$C156,[2]data!$B$2:$B$218,[2]data!AC$2:AC$218)/100)</f>
        <v>11.798298223830001</v>
      </c>
      <c r="AH155">
        <f>[1]data!AE156*(_xlfn.XLOOKUP([1]data!$C156,[2]data!$B$2:$B$218,[2]data!AD$2:AD$218)/100)</f>
        <v>12.85374014958</v>
      </c>
      <c r="AI155">
        <f>[1]data!AF156*(_xlfn.XLOOKUP([1]data!$C156,[2]data!$B$2:$B$218,[2]data!AE$2:AE$218)/100)</f>
        <v>13.838066381600001</v>
      </c>
      <c r="AJ155">
        <f>[1]data!AG156*(_xlfn.XLOOKUP([1]data!$C156,[2]data!$B$2:$B$218,[2]data!AF$2:AF$218)/100)</f>
        <v>14.759169285600002</v>
      </c>
      <c r="AK155">
        <f>[1]data!AH156*(_xlfn.XLOOKUP([1]data!$C156,[2]data!$B$2:$B$218,[2]data!AG$2:AG$218)/100)</f>
        <v>15.61642570125</v>
      </c>
      <c r="AL155">
        <f>[1]data!AI156*(_xlfn.XLOOKUP([1]data!$C156,[2]data!$B$2:$B$218,[2]data!AH$2:AH$218)/100)</f>
        <v>16.393420008</v>
      </c>
      <c r="AM155">
        <f>[1]data!AJ156*(_xlfn.XLOOKUP([1]data!$C156,[2]data!$B$2:$B$218,[2]data!AI$2:AI$218)/100)</f>
        <v>17.084823588199999</v>
      </c>
    </row>
    <row r="156" spans="1:39" x14ac:dyDescent="0.25">
      <c r="A156" t="s">
        <v>30</v>
      </c>
      <c r="B156" t="s">
        <v>31</v>
      </c>
      <c r="C156" t="s">
        <v>187</v>
      </c>
      <c r="D156" t="s">
        <v>411</v>
      </c>
      <c r="E156" t="str">
        <f>_xlfn.XLOOKUP(D156,[6]Feuil1!$C$2:$C$248,[6]Feuil1!$B$2:$B$248)</f>
        <v>SA</v>
      </c>
      <c r="F156" t="s">
        <v>33</v>
      </c>
      <c r="G156" t="str">
        <f>_xlfn.XLOOKUP(C156,[3]Sheet1!$B$2:$B$172,[3]Sheet1!$D$2:$D$172)</f>
        <v>Middle East</v>
      </c>
      <c r="H156" t="s">
        <v>34</v>
      </c>
      <c r="I156">
        <f>[1]data!F157*(_xlfn.XLOOKUP([1]data!$C157,[2]data!$B$2:$B$218,[2]data!E$2:E$218)/100)</f>
        <v>0.64819095000000004</v>
      </c>
      <c r="J156">
        <f>[1]data!G157*(_xlfn.XLOOKUP([1]data!$C157,[2]data!$B$2:$B$218,[2]data!F$2:F$218)/100)</f>
        <v>0.9174856600000002</v>
      </c>
      <c r="K156">
        <f>[1]data!H157*(_xlfn.XLOOKUP([1]data!$C157,[2]data!$B$2:$B$218,[2]data!G$2:G$218)/100)</f>
        <v>1.282851784</v>
      </c>
      <c r="L156">
        <f>[1]data!I157*(_xlfn.XLOOKUP([1]data!$C157,[2]data!$B$2:$B$218,[2]data!H$2:H$218)/100)</f>
        <v>1.8951642719999999</v>
      </c>
      <c r="M156">
        <f>[1]data!J157*(_xlfn.XLOOKUP([1]data!$C157,[2]data!$B$2:$B$218,[2]data!I$2:I$218)/100)</f>
        <v>2.9071469870000004</v>
      </c>
      <c r="N156">
        <f>[1]data!K157*(_xlfn.XLOOKUP([1]data!$C157,[2]data!$B$2:$B$218,[2]data!J$2:J$218)/100)</f>
        <v>4.4818579739999995</v>
      </c>
      <c r="O156">
        <f>[1]data!L157*(_xlfn.XLOOKUP([1]data!$C157,[2]data!$B$2:$B$218,[2]data!K$2:K$218)/100)</f>
        <v>6.5384088670000002</v>
      </c>
      <c r="P156">
        <f>[1]data!M157*(_xlfn.XLOOKUP([1]data!$C157,[2]data!$B$2:$B$218,[2]data!L$2:L$218)/100)</f>
        <v>9.1448956500000005</v>
      </c>
      <c r="Q156">
        <f>[1]data!N157*(_xlfn.XLOOKUP([1]data!$C157,[2]data!$B$2:$B$218,[2]data!M$2:M$218)/100)</f>
        <v>12.007920941999998</v>
      </c>
      <c r="R156">
        <f>[1]data!O157*(_xlfn.XLOOKUP([1]data!$C157,[2]data!$B$2:$B$218,[2]data!N$2:N$218)/100)</f>
        <v>14.661548716000002</v>
      </c>
      <c r="S156">
        <f>[1]data!P157*(_xlfn.XLOOKUP([1]data!$C157,[2]data!$B$2:$B$218,[2]data!O$2:O$218)/100)</f>
        <v>16.980163998000002</v>
      </c>
      <c r="T156">
        <f>[1]data!Q157*(_xlfn.XLOOKUP([1]data!$C157,[2]data!$B$2:$B$218,[2]data!P$2:P$218)/100)</f>
        <v>19.369748700000002</v>
      </c>
      <c r="U156">
        <f>[1]data!R157*(_xlfn.XLOOKUP([1]data!$C157,[2]data!$B$2:$B$218,[2]data!Q$2:Q$218)/100)</f>
        <v>23.816636941999999</v>
      </c>
      <c r="V156">
        <f>[1]data!S157*(_xlfn.XLOOKUP([1]data!$C157,[2]data!$B$2:$B$218,[2]data!R$2:R$218)/100)</f>
        <v>26.991649152000001</v>
      </c>
      <c r="W156">
        <f>[1]data!T157*(_xlfn.XLOOKUP([1]data!$C157,[2]data!$B$2:$B$218,[2]data!S$2:S$218)/100)</f>
        <v>30.541863866999996</v>
      </c>
      <c r="X156">
        <f>[1]data!U157*(_xlfn.XLOOKUP([1]data!$C157,[2]data!$B$2:$B$218,[2]data!T$2:T$218)/100)</f>
        <v>33.48494183463</v>
      </c>
      <c r="Y156">
        <f>[1]data!V157*(_xlfn.XLOOKUP([1]data!$C157,[2]data!$B$2:$B$218,[2]data!U$2:U$218)/100)</f>
        <v>36.199190780640002</v>
      </c>
      <c r="Z156">
        <f>[1]data!W157*(_xlfn.XLOOKUP([1]data!$C157,[2]data!$B$2:$B$218,[2]data!V$2:V$218)/100)</f>
        <v>38.689934108499997</v>
      </c>
      <c r="AA156">
        <f>[1]data!X157*(_xlfn.XLOOKUP([1]data!$C157,[2]data!$B$2:$B$218,[2]data!W$2:W$218)/100)</f>
        <v>40.932215015520001</v>
      </c>
      <c r="AB156">
        <f>[1]data!Y157*(_xlfn.XLOOKUP([1]data!$C157,[2]data!$B$2:$B$218,[2]data!X$2:X$218)/100)</f>
        <v>42.866895005549999</v>
      </c>
      <c r="AC156">
        <f>[1]data!Z157*(_xlfn.XLOOKUP([1]data!$C157,[2]data!$B$2:$B$218,[2]data!Y$2:Y$218)/100)</f>
        <v>44.445394148320005</v>
      </c>
      <c r="AD156">
        <f>[1]data!AA157*(_xlfn.XLOOKUP([1]data!$C157,[2]data!$B$2:$B$218,[2]data!Z$2:Z$218)/100)</f>
        <v>45.662837012819999</v>
      </c>
      <c r="AE156">
        <f>[1]data!AB157*(_xlfn.XLOOKUP([1]data!$C157,[2]data!$B$2:$B$218,[2]data!AA$2:AA$218)/100)</f>
        <v>46.518757813849994</v>
      </c>
      <c r="AF156">
        <f>[1]data!AC157*(_xlfn.XLOOKUP([1]data!$C157,[2]data!$B$2:$B$218,[2]data!AB$2:AB$218)/100)</f>
        <v>46.991783093849911</v>
      </c>
      <c r="AG156">
        <f>[1]data!AD157*(_xlfn.XLOOKUP([1]data!$C157,[2]data!$B$2:$B$218,[2]data!AC$2:AC$218)/100)</f>
        <v>47.175006124399999</v>
      </c>
      <c r="AH156">
        <f>[1]data!AE157*(_xlfn.XLOOKUP([1]data!$C157,[2]data!$B$2:$B$218,[2]data!AD$2:AD$218)/100)</f>
        <v>47.155545484839998</v>
      </c>
      <c r="AI156">
        <f>[1]data!AF157*(_xlfn.XLOOKUP([1]data!$C157,[2]data!$B$2:$B$218,[2]data!AE$2:AE$218)/100)</f>
        <v>47.020428851430005</v>
      </c>
      <c r="AJ156">
        <f>[1]data!AG157*(_xlfn.XLOOKUP([1]data!$C157,[2]data!$B$2:$B$218,[2]data!AF$2:AF$218)/100)</f>
        <v>46.807795481750006</v>
      </c>
      <c r="AK156">
        <f>[1]data!AH157*(_xlfn.XLOOKUP([1]data!$C157,[2]data!$B$2:$B$218,[2]data!AG$2:AG$218)/100)</f>
        <v>46.501774886070002</v>
      </c>
      <c r="AL156">
        <f>[1]data!AI157*(_xlfn.XLOOKUP([1]data!$C157,[2]data!$B$2:$B$218,[2]data!AH$2:AH$218)/100)</f>
        <v>46.053756200400009</v>
      </c>
      <c r="AM156">
        <f>[1]data!AJ157*(_xlfn.XLOOKUP([1]data!$C157,[2]data!$B$2:$B$218,[2]data!AI$2:AI$218)/100)</f>
        <v>45.459276607439996</v>
      </c>
    </row>
    <row r="157" spans="1:39" x14ac:dyDescent="0.25">
      <c r="A157" t="s">
        <v>30</v>
      </c>
      <c r="B157" t="s">
        <v>31</v>
      </c>
      <c r="C157" t="s">
        <v>188</v>
      </c>
      <c r="D157" t="s">
        <v>412</v>
      </c>
      <c r="E157" t="str">
        <f>_xlfn.XLOOKUP(D157,[6]Feuil1!$C$2:$C$248,[6]Feuil1!$B$2:$B$248)</f>
        <v>SD</v>
      </c>
      <c r="F157" t="s">
        <v>33</v>
      </c>
      <c r="G157" t="str">
        <f>_xlfn.XLOOKUP(C157,[3]Sheet1!$B$2:$B$172,[3]Sheet1!$D$2:$D$172)</f>
        <v>Eastern Africa</v>
      </c>
      <c r="H157" t="s">
        <v>34</v>
      </c>
      <c r="I157">
        <f>[1]data!F158*(_xlfn.XLOOKUP([1]data!$C158,[2]data!$B$2:$B$218,[2]data!E$2:E$218)/100)</f>
        <v>0.41470847200000005</v>
      </c>
      <c r="J157">
        <f>[1]data!G158*(_xlfn.XLOOKUP([1]data!$C158,[2]data!$B$2:$B$218,[2]data!F$2:F$218)/100)</f>
        <v>0.60923836200000003</v>
      </c>
      <c r="K157">
        <f>[1]data!H158*(_xlfn.XLOOKUP([1]data!$C158,[2]data!$B$2:$B$218,[2]data!G$2:G$218)/100)</f>
        <v>0.87778487900000002</v>
      </c>
      <c r="L157">
        <f>[1]data!I158*(_xlfn.XLOOKUP([1]data!$C158,[2]data!$B$2:$B$218,[2]data!H$2:H$218)/100)</f>
        <v>1.281073232</v>
      </c>
      <c r="M157">
        <f>[1]data!J158*(_xlfn.XLOOKUP([1]data!$C158,[2]data!$B$2:$B$218,[2]data!I$2:I$218)/100)</f>
        <v>1.836747495</v>
      </c>
      <c r="N157">
        <f>[1]data!K158*(_xlfn.XLOOKUP([1]data!$C158,[2]data!$B$2:$B$218,[2]data!J$2:J$218)/100)</f>
        <v>2.4982074810000001</v>
      </c>
      <c r="O157">
        <f>[1]data!L158*(_xlfn.XLOOKUP([1]data!$C158,[2]data!$B$2:$B$218,[2]data!K$2:K$218)/100)</f>
        <v>3.2627874000000001</v>
      </c>
      <c r="P157">
        <f>[1]data!M158*(_xlfn.XLOOKUP([1]data!$C158,[2]data!$B$2:$B$218,[2]data!L$2:L$218)/100)</f>
        <v>4.4301220189999997</v>
      </c>
      <c r="Q157">
        <f>[1]data!N158*(_xlfn.XLOOKUP([1]data!$C158,[2]data!$B$2:$B$218,[2]data!M$2:M$218)/100)</f>
        <v>5.9787782340000009</v>
      </c>
      <c r="R157">
        <f>[1]data!O158*(_xlfn.XLOOKUP([1]data!$C158,[2]data!$B$2:$B$218,[2]data!N$2:N$218)/100)</f>
        <v>7.40935202</v>
      </c>
      <c r="S157">
        <f>[1]data!P158*(_xlfn.XLOOKUP([1]data!$C158,[2]data!$B$2:$B$218,[2]data!O$2:O$218)/100)</f>
        <v>8.4386435250000016</v>
      </c>
      <c r="T157">
        <f>[1]data!Q158*(_xlfn.XLOOKUP([1]data!$C158,[2]data!$B$2:$B$218,[2]data!P$2:P$218)/100)</f>
        <v>9.5657142639999986</v>
      </c>
      <c r="U157">
        <f>[1]data!R158*(_xlfn.XLOOKUP([1]data!$C158,[2]data!$B$2:$B$218,[2]data!Q$2:Q$218)/100)</f>
        <v>11.055270579</v>
      </c>
      <c r="V157">
        <f>[1]data!S158*(_xlfn.XLOOKUP([1]data!$C158,[2]data!$B$2:$B$218,[2]data!R$2:R$218)/100)</f>
        <v>12.741543485999998</v>
      </c>
      <c r="W157">
        <f>[1]data!T158*(_xlfn.XLOOKUP([1]data!$C158,[2]data!$B$2:$B$218,[2]data!S$2:S$218)/100)</f>
        <v>15.47130518</v>
      </c>
      <c r="X157">
        <f>[1]data!U158*(_xlfn.XLOOKUP([1]data!$C158,[2]data!$B$2:$B$218,[2]data!T$2:T$218)/100)</f>
        <v>19.405276917099961</v>
      </c>
      <c r="Y157">
        <f>[1]data!V158*(_xlfn.XLOOKUP([1]data!$C158,[2]data!$B$2:$B$218,[2]data!U$2:U$218)/100)</f>
        <v>23.69332283872</v>
      </c>
      <c r="Z157">
        <f>[1]data!W158*(_xlfn.XLOOKUP([1]data!$C158,[2]data!$B$2:$B$218,[2]data!V$2:V$218)/100)</f>
        <v>28.214921006249952</v>
      </c>
      <c r="AA157">
        <f>[1]data!X158*(_xlfn.XLOOKUP([1]data!$C158,[2]data!$B$2:$B$218,[2]data!W$2:W$218)/100)</f>
        <v>32.869007584009999</v>
      </c>
      <c r="AB157">
        <f>[1]data!Y158*(_xlfn.XLOOKUP([1]data!$C158,[2]data!$B$2:$B$218,[2]data!X$2:X$218)/100)</f>
        <v>37.639509987780052</v>
      </c>
      <c r="AC157">
        <f>[1]data!Z158*(_xlfn.XLOOKUP([1]data!$C158,[2]data!$B$2:$B$218,[2]data!Y$2:Y$218)/100)</f>
        <v>42.424670438410004</v>
      </c>
      <c r="AD157">
        <f>[1]data!AA158*(_xlfn.XLOOKUP([1]data!$C158,[2]data!$B$2:$B$218,[2]data!Z$2:Z$218)/100)</f>
        <v>47.067140731919999</v>
      </c>
      <c r="AE157">
        <f>[1]data!AB158*(_xlfn.XLOOKUP([1]data!$C158,[2]data!$B$2:$B$218,[2]data!AA$2:AA$218)/100)</f>
        <v>51.462556159780007</v>
      </c>
      <c r="AF157">
        <f>[1]data!AC158*(_xlfn.XLOOKUP([1]data!$C158,[2]data!$B$2:$B$218,[2]data!AB$2:AB$218)/100)</f>
        <v>55.525870171119998</v>
      </c>
      <c r="AG157">
        <f>[1]data!AD158*(_xlfn.XLOOKUP([1]data!$C158,[2]data!$B$2:$B$218,[2]data!AC$2:AC$218)/100)</f>
        <v>59.179752439400005</v>
      </c>
      <c r="AH157">
        <f>[1]data!AE158*(_xlfn.XLOOKUP([1]data!$C158,[2]data!$B$2:$B$218,[2]data!AD$2:AD$218)/100)</f>
        <v>62.325750236749997</v>
      </c>
      <c r="AI157">
        <f>[1]data!AF158*(_xlfn.XLOOKUP([1]data!$C158,[2]data!$B$2:$B$218,[2]data!AE$2:AE$218)/100)</f>
        <v>65.023862321040014</v>
      </c>
      <c r="AJ157">
        <f>[1]data!AG158*(_xlfn.XLOOKUP([1]data!$C158,[2]data!$B$2:$B$218,[2]data!AF$2:AF$218)/100)</f>
        <v>67.208007217319988</v>
      </c>
      <c r="AK157">
        <f>[1]data!AH158*(_xlfn.XLOOKUP([1]data!$C158,[2]data!$B$2:$B$218,[2]data!AG$2:AG$218)/100)</f>
        <v>68.980821488000018</v>
      </c>
      <c r="AL157">
        <f>[1]data!AI158*(_xlfn.XLOOKUP([1]data!$C158,[2]data!$B$2:$B$218,[2]data!AH$2:AH$218)/100)</f>
        <v>70.36081240370001</v>
      </c>
      <c r="AM157">
        <f>[1]data!AJ158*(_xlfn.XLOOKUP([1]data!$C158,[2]data!$B$2:$B$218,[2]data!AI$2:AI$218)/100)</f>
        <v>71.355335532780003</v>
      </c>
    </row>
    <row r="158" spans="1:39" x14ac:dyDescent="0.25">
      <c r="A158" t="s">
        <v>30</v>
      </c>
      <c r="B158" t="s">
        <v>31</v>
      </c>
      <c r="C158" t="s">
        <v>189</v>
      </c>
      <c r="D158" t="s">
        <v>413</v>
      </c>
      <c r="E158" t="str">
        <f>_xlfn.XLOOKUP(D158,[6]Feuil1!$C$2:$C$248,[6]Feuil1!$B$2:$B$248)</f>
        <v>SN</v>
      </c>
      <c r="F158" t="s">
        <v>33</v>
      </c>
      <c r="G158" t="str">
        <f>_xlfn.XLOOKUP(C158,[3]Sheet1!$B$2:$B$172,[3]Sheet1!$D$2:$D$172)</f>
        <v>Western Africa</v>
      </c>
      <c r="H158" t="s">
        <v>34</v>
      </c>
      <c r="I158">
        <f>[1]data!F159*(_xlfn.XLOOKUP([1]data!$C159,[2]data!$B$2:$B$218,[2]data!E$2:E$218)/100)</f>
        <v>0.423822276</v>
      </c>
      <c r="J158">
        <f>[1]data!G159*(_xlfn.XLOOKUP([1]data!$C159,[2]data!$B$2:$B$218,[2]data!F$2:F$218)/100)</f>
        <v>0.5616852</v>
      </c>
      <c r="K158">
        <f>[1]data!H159*(_xlfn.XLOOKUP([1]data!$C159,[2]data!$B$2:$B$218,[2]data!G$2:G$218)/100)</f>
        <v>0.74218907000000001</v>
      </c>
      <c r="L158">
        <f>[1]data!I159*(_xlfn.XLOOKUP([1]data!$C159,[2]data!$B$2:$B$218,[2]data!H$2:H$218)/100)</f>
        <v>0.98118002399999993</v>
      </c>
      <c r="M158">
        <f>[1]data!J159*(_xlfn.XLOOKUP([1]data!$C159,[2]data!$B$2:$B$218,[2]data!I$2:I$218)/100)</f>
        <v>1.2909908999999999</v>
      </c>
      <c r="N158">
        <f>[1]data!K159*(_xlfn.XLOOKUP([1]data!$C159,[2]data!$B$2:$B$218,[2]data!J$2:J$218)/100)</f>
        <v>1.6784692770000003</v>
      </c>
      <c r="O158">
        <f>[1]data!L159*(_xlfn.XLOOKUP([1]data!$C159,[2]data!$B$2:$B$218,[2]data!K$2:K$218)/100)</f>
        <v>2.0162280759999995</v>
      </c>
      <c r="P158">
        <f>[1]data!M159*(_xlfn.XLOOKUP([1]data!$C159,[2]data!$B$2:$B$218,[2]data!L$2:L$218)/100)</f>
        <v>2.4106488750000001</v>
      </c>
      <c r="Q158">
        <f>[1]data!N159*(_xlfn.XLOOKUP([1]data!$C159,[2]data!$B$2:$B$218,[2]data!M$2:M$218)/100)</f>
        <v>2.8892232010000001</v>
      </c>
      <c r="R158">
        <f>[1]data!O159*(_xlfn.XLOOKUP([1]data!$C159,[2]data!$B$2:$B$218,[2]data!N$2:N$218)/100)</f>
        <v>3.376308672</v>
      </c>
      <c r="S158">
        <f>[1]data!P159*(_xlfn.XLOOKUP([1]data!$C159,[2]data!$B$2:$B$218,[2]data!O$2:O$218)/100)</f>
        <v>3.8646229050000001</v>
      </c>
      <c r="T158">
        <f>[1]data!Q159*(_xlfn.XLOOKUP([1]data!$C159,[2]data!$B$2:$B$218,[2]data!P$2:P$218)/100)</f>
        <v>4.5174264690000001</v>
      </c>
      <c r="U158">
        <f>[1]data!R159*(_xlfn.XLOOKUP([1]data!$C159,[2]data!$B$2:$B$218,[2]data!Q$2:Q$218)/100)</f>
        <v>5.4137329979999995</v>
      </c>
      <c r="V158">
        <f>[1]data!S159*(_xlfn.XLOOKUP([1]data!$C159,[2]data!$B$2:$B$218,[2]data!R$2:R$218)/100)</f>
        <v>6.5001340079999999</v>
      </c>
      <c r="W158">
        <f>[1]data!T159*(_xlfn.XLOOKUP([1]data!$C159,[2]data!$B$2:$B$218,[2]data!S$2:S$218)/100)</f>
        <v>7.7996401080000011</v>
      </c>
      <c r="X158">
        <f>[1]data!U159*(_xlfn.XLOOKUP([1]data!$C159,[2]data!$B$2:$B$218,[2]data!T$2:T$218)/100)</f>
        <v>9.2641180835999997</v>
      </c>
      <c r="Y158">
        <f>[1]data!V159*(_xlfn.XLOOKUP([1]data!$C159,[2]data!$B$2:$B$218,[2]data!U$2:U$218)/100)</f>
        <v>10.869582118499999</v>
      </c>
      <c r="Z158">
        <f>[1]data!W159*(_xlfn.XLOOKUP([1]data!$C159,[2]data!$B$2:$B$218,[2]data!V$2:V$218)/100)</f>
        <v>12.5986734583</v>
      </c>
      <c r="AA158">
        <f>[1]data!X159*(_xlfn.XLOOKUP([1]data!$C159,[2]data!$B$2:$B$218,[2]data!W$2:W$218)/100)</f>
        <v>14.423354696199999</v>
      </c>
      <c r="AB158">
        <f>[1]data!Y159*(_xlfn.XLOOKUP([1]data!$C159,[2]data!$B$2:$B$218,[2]data!X$2:X$218)/100)</f>
        <v>16.322567315849998</v>
      </c>
      <c r="AC158">
        <f>[1]data!Z159*(_xlfn.XLOOKUP([1]data!$C159,[2]data!$B$2:$B$218,[2]data!Y$2:Y$218)/100)</f>
        <v>18.241746885250002</v>
      </c>
      <c r="AD158">
        <f>[1]data!AA159*(_xlfn.XLOOKUP([1]data!$C159,[2]data!$B$2:$B$218,[2]data!Z$2:Z$218)/100)</f>
        <v>20.125647005200001</v>
      </c>
      <c r="AE158">
        <f>[1]data!AB159*(_xlfn.XLOOKUP([1]data!$C159,[2]data!$B$2:$B$218,[2]data!AA$2:AA$218)/100)</f>
        <v>21.955388062380003</v>
      </c>
      <c r="AF158">
        <f>[1]data!AC159*(_xlfn.XLOOKUP([1]data!$C159,[2]data!$B$2:$B$218,[2]data!AB$2:AB$218)/100)</f>
        <v>23.717092274319999</v>
      </c>
      <c r="AG158">
        <f>[1]data!AD159*(_xlfn.XLOOKUP([1]data!$C159,[2]data!$B$2:$B$218,[2]data!AC$2:AC$218)/100)</f>
        <v>25.393007651840065</v>
      </c>
      <c r="AH158">
        <f>[1]data!AE159*(_xlfn.XLOOKUP([1]data!$C159,[2]data!$B$2:$B$218,[2]data!AD$2:AD$218)/100)</f>
        <v>26.959977429810003</v>
      </c>
      <c r="AI158">
        <f>[1]data!AF159*(_xlfn.XLOOKUP([1]data!$C159,[2]data!$B$2:$B$218,[2]data!AE$2:AE$218)/100)</f>
        <v>28.373152727440001</v>
      </c>
      <c r="AJ158">
        <f>[1]data!AG159*(_xlfn.XLOOKUP([1]data!$C159,[2]data!$B$2:$B$218,[2]data!AF$2:AF$218)/100)</f>
        <v>29.617267425329931</v>
      </c>
      <c r="AK158">
        <f>[1]data!AH159*(_xlfn.XLOOKUP([1]data!$C159,[2]data!$B$2:$B$218,[2]data!AG$2:AG$218)/100)</f>
        <v>30.725892731360002</v>
      </c>
      <c r="AL158">
        <f>[1]data!AI159*(_xlfn.XLOOKUP([1]data!$C159,[2]data!$B$2:$B$218,[2]data!AH$2:AH$218)/100)</f>
        <v>31.70836609753</v>
      </c>
      <c r="AM158">
        <f>[1]data!AJ159*(_xlfn.XLOOKUP([1]data!$C159,[2]data!$B$2:$B$218,[2]data!AI$2:AI$218)/100)</f>
        <v>32.559786864290004</v>
      </c>
    </row>
    <row r="159" spans="1:39" x14ac:dyDescent="0.25">
      <c r="A159" t="s">
        <v>30</v>
      </c>
      <c r="B159" t="s">
        <v>31</v>
      </c>
      <c r="C159" t="s">
        <v>190</v>
      </c>
      <c r="D159" t="s">
        <v>414</v>
      </c>
      <c r="E159" t="str">
        <f>_xlfn.XLOOKUP(D159,[6]Feuil1!$C$2:$C$248,[6]Feuil1!$B$2:$B$248)</f>
        <v>SG</v>
      </c>
      <c r="F159" t="s">
        <v>33</v>
      </c>
      <c r="G159" t="str">
        <f>_xlfn.XLOOKUP(C159,[3]Sheet1!$B$2:$B$172,[3]Sheet1!$D$2:$D$172)</f>
        <v>Southeastern Asia</v>
      </c>
      <c r="H159" t="s">
        <v>34</v>
      </c>
      <c r="I159" t="e">
        <f>[1]data!F160*(_xlfn.XLOOKUP([1]data!$C160,[2]data!$B$2:$B$218,[2]data!E$2:E$218)/100)</f>
        <v>#N/A</v>
      </c>
      <c r="J159" t="e">
        <f>[1]data!G160*(_xlfn.XLOOKUP([1]data!$C160,[2]data!$B$2:$B$218,[2]data!F$2:F$218)/100)</f>
        <v>#N/A</v>
      </c>
      <c r="K159" t="e">
        <f>[1]data!H160*(_xlfn.XLOOKUP([1]data!$C160,[2]data!$B$2:$B$218,[2]data!G$2:G$218)/100)</f>
        <v>#N/A</v>
      </c>
      <c r="L159" t="e">
        <f>[1]data!I160*(_xlfn.XLOOKUP([1]data!$C160,[2]data!$B$2:$B$218,[2]data!H$2:H$218)/100)</f>
        <v>#N/A</v>
      </c>
      <c r="M159" t="e">
        <f>[1]data!J160*(_xlfn.XLOOKUP([1]data!$C160,[2]data!$B$2:$B$218,[2]data!I$2:I$218)/100)</f>
        <v>#N/A</v>
      </c>
      <c r="N159" t="e">
        <f>[1]data!K160*(_xlfn.XLOOKUP([1]data!$C160,[2]data!$B$2:$B$218,[2]data!J$2:J$218)/100)</f>
        <v>#N/A</v>
      </c>
      <c r="O159" t="e">
        <f>[1]data!L160*(_xlfn.XLOOKUP([1]data!$C160,[2]data!$B$2:$B$218,[2]data!K$2:K$218)/100)</f>
        <v>#N/A</v>
      </c>
      <c r="P159" t="e">
        <f>[1]data!M160*(_xlfn.XLOOKUP([1]data!$C160,[2]data!$B$2:$B$218,[2]data!L$2:L$218)/100)</f>
        <v>#N/A</v>
      </c>
      <c r="Q159" t="e">
        <f>[1]data!N160*(_xlfn.XLOOKUP([1]data!$C160,[2]data!$B$2:$B$218,[2]data!M$2:M$218)/100)</f>
        <v>#N/A</v>
      </c>
      <c r="R159" t="e">
        <f>[1]data!O160*(_xlfn.XLOOKUP([1]data!$C160,[2]data!$B$2:$B$218,[2]data!N$2:N$218)/100)</f>
        <v>#N/A</v>
      </c>
      <c r="S159" t="e">
        <f>[1]data!P160*(_xlfn.XLOOKUP([1]data!$C160,[2]data!$B$2:$B$218,[2]data!O$2:O$218)/100)</f>
        <v>#N/A</v>
      </c>
      <c r="T159" t="e">
        <f>[1]data!Q160*(_xlfn.XLOOKUP([1]data!$C160,[2]data!$B$2:$B$218,[2]data!P$2:P$218)/100)</f>
        <v>#N/A</v>
      </c>
      <c r="U159" t="e">
        <f>[1]data!R160*(_xlfn.XLOOKUP([1]data!$C160,[2]data!$B$2:$B$218,[2]data!Q$2:Q$218)/100)</f>
        <v>#N/A</v>
      </c>
      <c r="V159" t="e">
        <f>[1]data!S160*(_xlfn.XLOOKUP([1]data!$C160,[2]data!$B$2:$B$218,[2]data!R$2:R$218)/100)</f>
        <v>#N/A</v>
      </c>
      <c r="W159" t="e">
        <f>[1]data!T160*(_xlfn.XLOOKUP([1]data!$C160,[2]data!$B$2:$B$218,[2]data!S$2:S$218)/100)</f>
        <v>#N/A</v>
      </c>
      <c r="X159" t="e">
        <f>[1]data!U160*(_xlfn.XLOOKUP([1]data!$C160,[2]data!$B$2:$B$218,[2]data!T$2:T$218)/100)</f>
        <v>#N/A</v>
      </c>
      <c r="Y159" t="e">
        <f>[1]data!V160*(_xlfn.XLOOKUP([1]data!$C160,[2]data!$B$2:$B$218,[2]data!U$2:U$218)/100)</f>
        <v>#N/A</v>
      </c>
      <c r="Z159" t="e">
        <f>[1]data!W160*(_xlfn.XLOOKUP([1]data!$C160,[2]data!$B$2:$B$218,[2]data!V$2:V$218)/100)</f>
        <v>#N/A</v>
      </c>
      <c r="AA159" t="e">
        <f>[1]data!X160*(_xlfn.XLOOKUP([1]data!$C160,[2]data!$B$2:$B$218,[2]data!W$2:W$218)/100)</f>
        <v>#N/A</v>
      </c>
      <c r="AB159" t="e">
        <f>[1]data!Y160*(_xlfn.XLOOKUP([1]data!$C160,[2]data!$B$2:$B$218,[2]data!X$2:X$218)/100)</f>
        <v>#N/A</v>
      </c>
      <c r="AC159" t="e">
        <f>[1]data!Z160*(_xlfn.XLOOKUP([1]data!$C160,[2]data!$B$2:$B$218,[2]data!Y$2:Y$218)/100)</f>
        <v>#N/A</v>
      </c>
      <c r="AD159" t="e">
        <f>[1]data!AA160*(_xlfn.XLOOKUP([1]data!$C160,[2]data!$B$2:$B$218,[2]data!Z$2:Z$218)/100)</f>
        <v>#N/A</v>
      </c>
      <c r="AE159" t="e">
        <f>[1]data!AB160*(_xlfn.XLOOKUP([1]data!$C160,[2]data!$B$2:$B$218,[2]data!AA$2:AA$218)/100)</f>
        <v>#N/A</v>
      </c>
      <c r="AF159" t="e">
        <f>[1]data!AC160*(_xlfn.XLOOKUP([1]data!$C160,[2]data!$B$2:$B$218,[2]data!AB$2:AB$218)/100)</f>
        <v>#N/A</v>
      </c>
      <c r="AG159" t="e">
        <f>[1]data!AD160*(_xlfn.XLOOKUP([1]data!$C160,[2]data!$B$2:$B$218,[2]data!AC$2:AC$218)/100)</f>
        <v>#N/A</v>
      </c>
      <c r="AH159" t="e">
        <f>[1]data!AE160*(_xlfn.XLOOKUP([1]data!$C160,[2]data!$B$2:$B$218,[2]data!AD$2:AD$218)/100)</f>
        <v>#N/A</v>
      </c>
      <c r="AI159" t="e">
        <f>[1]data!AF160*(_xlfn.XLOOKUP([1]data!$C160,[2]data!$B$2:$B$218,[2]data!AE$2:AE$218)/100)</f>
        <v>#N/A</v>
      </c>
      <c r="AJ159" t="e">
        <f>[1]data!AG160*(_xlfn.XLOOKUP([1]data!$C160,[2]data!$B$2:$B$218,[2]data!AF$2:AF$218)/100)</f>
        <v>#N/A</v>
      </c>
      <c r="AK159" t="e">
        <f>[1]data!AH160*(_xlfn.XLOOKUP([1]data!$C160,[2]data!$B$2:$B$218,[2]data!AG$2:AG$218)/100)</f>
        <v>#N/A</v>
      </c>
      <c r="AL159" t="e">
        <f>[1]data!AI160*(_xlfn.XLOOKUP([1]data!$C160,[2]data!$B$2:$B$218,[2]data!AH$2:AH$218)/100)</f>
        <v>#N/A</v>
      </c>
      <c r="AM159" t="e">
        <f>[1]data!AJ160*(_xlfn.XLOOKUP([1]data!$C160,[2]data!$B$2:$B$218,[2]data!AI$2:AI$218)/100)</f>
        <v>#N/A</v>
      </c>
    </row>
    <row r="160" spans="1:39" x14ac:dyDescent="0.25">
      <c r="A160" t="s">
        <v>30</v>
      </c>
      <c r="B160" t="s">
        <v>31</v>
      </c>
      <c r="C160" t="s">
        <v>191</v>
      </c>
      <c r="D160" t="s">
        <v>415</v>
      </c>
      <c r="E160" t="str">
        <f>_xlfn.XLOOKUP(D160,[6]Feuil1!$C$2:$C$248,[6]Feuil1!$B$2:$B$248)</f>
        <v>SB</v>
      </c>
      <c r="F160" t="s">
        <v>33</v>
      </c>
      <c r="G160" t="s">
        <v>250</v>
      </c>
      <c r="H160" t="s">
        <v>34</v>
      </c>
      <c r="I160">
        <f>[1]data!F161*(_xlfn.XLOOKUP([1]data!$C161,[2]data!$B$2:$B$218,[2]data!E$2:E$218)/100)</f>
        <v>3.9645779999999999E-3</v>
      </c>
      <c r="J160">
        <f>[1]data!G161*(_xlfn.XLOOKUP([1]data!$C161,[2]data!$B$2:$B$218,[2]data!F$2:F$218)/100)</f>
        <v>5.4445739999999998E-3</v>
      </c>
      <c r="K160">
        <f>[1]data!H161*(_xlfn.XLOOKUP([1]data!$C161,[2]data!$B$2:$B$218,[2]data!G$2:G$218)/100)</f>
        <v>7.6444579999999998E-3</v>
      </c>
      <c r="L160">
        <f>[1]data!I161*(_xlfn.XLOOKUP([1]data!$C161,[2]data!$B$2:$B$218,[2]data!H$2:H$218)/100)</f>
        <v>1.0765224000000002E-2</v>
      </c>
      <c r="M160">
        <f>[1]data!J161*(_xlfn.XLOOKUP([1]data!$C161,[2]data!$B$2:$B$218,[2]data!I$2:I$218)/100)</f>
        <v>1.5186070000000001E-2</v>
      </c>
      <c r="N160">
        <f>[1]data!K161*(_xlfn.XLOOKUP([1]data!$C161,[2]data!$B$2:$B$218,[2]data!J$2:J$218)/100)</f>
        <v>1.7739358E-2</v>
      </c>
      <c r="O160">
        <f>[1]data!L161*(_xlfn.XLOOKUP([1]data!$C161,[2]data!$B$2:$B$218,[2]data!K$2:K$218)/100)</f>
        <v>2.4343324E-2</v>
      </c>
      <c r="P160">
        <f>[1]data!M161*(_xlfn.XLOOKUP([1]data!$C161,[2]data!$B$2:$B$218,[2]data!L$2:L$218)/100)</f>
        <v>3.3785535999999998E-2</v>
      </c>
      <c r="Q160">
        <f>[1]data!N161*(_xlfn.XLOOKUP([1]data!$C161,[2]data!$B$2:$B$218,[2]data!M$2:M$218)/100)</f>
        <v>4.3747113999999997E-2</v>
      </c>
      <c r="R160">
        <f>[1]data!O161*(_xlfn.XLOOKUP([1]data!$C161,[2]data!$B$2:$B$218,[2]data!N$2:N$218)/100)</f>
        <v>5.4358100999999999E-2</v>
      </c>
      <c r="S160">
        <f>[1]data!P161*(_xlfn.XLOOKUP([1]data!$C161,[2]data!$B$2:$B$218,[2]data!O$2:O$218)/100)</f>
        <v>6.7106550000000001E-2</v>
      </c>
      <c r="T160">
        <f>[1]data!Q161*(_xlfn.XLOOKUP([1]data!$C161,[2]data!$B$2:$B$218,[2]data!P$2:P$218)/100)</f>
        <v>8.4923800000000008E-2</v>
      </c>
      <c r="U160">
        <f>[1]data!R161*(_xlfn.XLOOKUP([1]data!$C161,[2]data!$B$2:$B$218,[2]data!Q$2:Q$218)/100)</f>
        <v>0.10678320000000002</v>
      </c>
      <c r="V160">
        <f>[1]data!S161*(_xlfn.XLOOKUP([1]data!$C161,[2]data!$B$2:$B$218,[2]data!R$2:R$218)/100)</f>
        <v>0.13551440000000001</v>
      </c>
      <c r="W160">
        <f>[1]data!T161*(_xlfn.XLOOKUP([1]data!$C161,[2]data!$B$2:$B$218,[2]data!S$2:S$218)/100)</f>
        <v>0.16867555900000003</v>
      </c>
      <c r="X160">
        <f>[1]data!U161*(_xlfn.XLOOKUP([1]data!$C161,[2]data!$B$2:$B$218,[2]data!T$2:T$218)/100)</f>
        <v>0.20863435163999974</v>
      </c>
      <c r="Y160">
        <f>[1]data!V161*(_xlfn.XLOOKUP([1]data!$C161,[2]data!$B$2:$B$218,[2]data!U$2:U$218)/100)</f>
        <v>0.25381480826999975</v>
      </c>
      <c r="Z160">
        <f>[1]data!W161*(_xlfn.XLOOKUP([1]data!$C161,[2]data!$B$2:$B$218,[2]data!V$2:V$218)/100)</f>
        <v>0.30384521246999996</v>
      </c>
      <c r="AA160">
        <f>[1]data!X161*(_xlfn.XLOOKUP([1]data!$C161,[2]data!$B$2:$B$218,[2]data!W$2:W$218)/100)</f>
        <v>0.35851969439999964</v>
      </c>
      <c r="AB160">
        <f>[1]data!Y161*(_xlfn.XLOOKUP([1]data!$C161,[2]data!$B$2:$B$218,[2]data!X$2:X$218)/100)</f>
        <v>0.41670827576000002</v>
      </c>
      <c r="AC160">
        <f>[1]data!Z161*(_xlfn.XLOOKUP([1]data!$C161,[2]data!$B$2:$B$218,[2]data!Y$2:Y$218)/100)</f>
        <v>0.4772171537199999</v>
      </c>
      <c r="AD160">
        <f>[1]data!AA161*(_xlfn.XLOOKUP([1]data!$C161,[2]data!$B$2:$B$218,[2]data!Z$2:Z$218)/100)</f>
        <v>0.53884055525999996</v>
      </c>
      <c r="AE160">
        <f>[1]data!AB161*(_xlfn.XLOOKUP([1]data!$C161,[2]data!$B$2:$B$218,[2]data!AA$2:AA$218)/100)</f>
        <v>0.59997398416999992</v>
      </c>
      <c r="AF160">
        <f>[1]data!AC161*(_xlfn.XLOOKUP([1]data!$C161,[2]data!$B$2:$B$218,[2]data!AB$2:AB$218)/100)</f>
        <v>0.66019849251999996</v>
      </c>
      <c r="AG160">
        <f>[1]data!AD161*(_xlfn.XLOOKUP([1]data!$C161,[2]data!$B$2:$B$218,[2]data!AC$2:AC$218)/100)</f>
        <v>0.71730859703999994</v>
      </c>
      <c r="AH160">
        <f>[1]data!AE161*(_xlfn.XLOOKUP([1]data!$C161,[2]data!$B$2:$B$218,[2]data!AD$2:AD$218)/100)</f>
        <v>0.77096460071999995</v>
      </c>
      <c r="AI160">
        <f>[1]data!AF161*(_xlfn.XLOOKUP([1]data!$C161,[2]data!$B$2:$B$218,[2]data!AE$2:AE$218)/100)</f>
        <v>0.81962771519999988</v>
      </c>
      <c r="AJ160">
        <f>[1]data!AG161*(_xlfn.XLOOKUP([1]data!$C161,[2]data!$B$2:$B$218,[2]data!AF$2:AF$218)/100)</f>
        <v>0.86386332499999996</v>
      </c>
      <c r="AK160">
        <f>[1]data!AH161*(_xlfn.XLOOKUP([1]data!$C161,[2]data!$B$2:$B$218,[2]data!AG$2:AG$218)/100)</f>
        <v>0.90344515499999989</v>
      </c>
      <c r="AL160">
        <f>[1]data!AI161*(_xlfn.XLOOKUP([1]data!$C161,[2]data!$B$2:$B$218,[2]data!AH$2:AH$218)/100)</f>
        <v>0.93785597334000004</v>
      </c>
      <c r="AM160">
        <f>[1]data!AJ161*(_xlfn.XLOOKUP([1]data!$C161,[2]data!$B$2:$B$218,[2]data!AI$2:AI$218)/100)</f>
        <v>0.96604977920000001</v>
      </c>
    </row>
    <row r="161" spans="1:39" x14ac:dyDescent="0.25">
      <c r="A161" t="s">
        <v>30</v>
      </c>
      <c r="B161" t="s">
        <v>31</v>
      </c>
      <c r="C161" t="s">
        <v>192</v>
      </c>
      <c r="D161" t="s">
        <v>416</v>
      </c>
      <c r="E161" t="str">
        <f>_xlfn.XLOOKUP(D161,[6]Feuil1!$C$2:$C$248,[6]Feuil1!$B$2:$B$248)</f>
        <v>SL</v>
      </c>
      <c r="F161" t="s">
        <v>33</v>
      </c>
      <c r="G161" t="str">
        <f>_xlfn.XLOOKUP(C161,[3]Sheet1!$B$2:$B$172,[3]Sheet1!$D$2:$D$172)</f>
        <v>Western Africa</v>
      </c>
      <c r="H161" t="s">
        <v>34</v>
      </c>
      <c r="I161">
        <f>[1]data!F162*(_xlfn.XLOOKUP([1]data!$C162,[2]data!$B$2:$B$218,[2]data!E$2:E$218)/100)</f>
        <v>0.25048018800000005</v>
      </c>
      <c r="J161">
        <f>[1]data!G162*(_xlfn.XLOOKUP([1]data!$C162,[2]data!$B$2:$B$218,[2]data!F$2:F$218)/100)</f>
        <v>0.31387026000000001</v>
      </c>
      <c r="K161">
        <f>[1]data!H162*(_xlfn.XLOOKUP([1]data!$C162,[2]data!$B$2:$B$218,[2]data!G$2:G$218)/100)</f>
        <v>0.39707095799999992</v>
      </c>
      <c r="L161">
        <f>[1]data!I162*(_xlfn.XLOOKUP([1]data!$C162,[2]data!$B$2:$B$218,[2]data!H$2:H$218)/100)</f>
        <v>0.50921949599999994</v>
      </c>
      <c r="M161">
        <f>[1]data!J162*(_xlfn.XLOOKUP([1]data!$C162,[2]data!$B$2:$B$218,[2]data!I$2:I$218)/100)</f>
        <v>0.66032568000000003</v>
      </c>
      <c r="N161">
        <f>[1]data!K162*(_xlfn.XLOOKUP([1]data!$C162,[2]data!$B$2:$B$218,[2]data!J$2:J$218)/100)</f>
        <v>0.83855462099999989</v>
      </c>
      <c r="O161">
        <f>[1]data!L162*(_xlfn.XLOOKUP([1]data!$C162,[2]data!$B$2:$B$218,[2]data!K$2:K$218)/100)</f>
        <v>0.99321790799999998</v>
      </c>
      <c r="P161">
        <f>[1]data!M162*(_xlfn.XLOOKUP([1]data!$C162,[2]data!$B$2:$B$218,[2]data!L$2:L$218)/100)</f>
        <v>1.1862927999999999</v>
      </c>
      <c r="Q161">
        <f>[1]data!N162*(_xlfn.XLOOKUP([1]data!$C162,[2]data!$B$2:$B$218,[2]data!M$2:M$218)/100)</f>
        <v>1.4010865109999997</v>
      </c>
      <c r="R161">
        <f>[1]data!O162*(_xlfn.XLOOKUP([1]data!$C162,[2]data!$B$2:$B$218,[2]data!N$2:N$218)/100)</f>
        <v>1.489048376</v>
      </c>
      <c r="S161">
        <f>[1]data!P162*(_xlfn.XLOOKUP([1]data!$C162,[2]data!$B$2:$B$218,[2]data!O$2:O$218)/100)</f>
        <v>1.5967753439999999</v>
      </c>
      <c r="T161">
        <f>[1]data!Q162*(_xlfn.XLOOKUP([1]data!$C162,[2]data!$B$2:$B$218,[2]data!P$2:P$218)/100)</f>
        <v>2.0714505029999999</v>
      </c>
      <c r="U161">
        <f>[1]data!R162*(_xlfn.XLOOKUP([1]data!$C162,[2]data!$B$2:$B$218,[2]data!Q$2:Q$218)/100)</f>
        <v>2.4700426360000001</v>
      </c>
      <c r="V161">
        <f>[1]data!S162*(_xlfn.XLOOKUP([1]data!$C162,[2]data!$B$2:$B$218,[2]data!R$2:R$218)/100)</f>
        <v>2.9489166959999999</v>
      </c>
      <c r="W161">
        <f>[1]data!T162*(_xlfn.XLOOKUP([1]data!$C162,[2]data!$B$2:$B$218,[2]data!S$2:S$218)/100)</f>
        <v>3.4921488030000001</v>
      </c>
      <c r="X161">
        <f>[1]data!U162*(_xlfn.XLOOKUP([1]data!$C162,[2]data!$B$2:$B$218,[2]data!T$2:T$218)/100)</f>
        <v>4.1463104196600042</v>
      </c>
      <c r="Y161">
        <f>[1]data!V162*(_xlfn.XLOOKUP([1]data!$C162,[2]data!$B$2:$B$218,[2]data!U$2:U$218)/100)</f>
        <v>4.8441049391600011</v>
      </c>
      <c r="Z161">
        <f>[1]data!W162*(_xlfn.XLOOKUP([1]data!$C162,[2]data!$B$2:$B$218,[2]data!V$2:V$218)/100)</f>
        <v>5.5709260436000001</v>
      </c>
      <c r="AA161">
        <f>[1]data!X162*(_xlfn.XLOOKUP([1]data!$C162,[2]data!$B$2:$B$218,[2]data!W$2:W$218)/100)</f>
        <v>6.3133071527600002</v>
      </c>
      <c r="AB161">
        <f>[1]data!Y162*(_xlfn.XLOOKUP([1]data!$C162,[2]data!$B$2:$B$218,[2]data!X$2:X$218)/100)</f>
        <v>7.0500680633599995</v>
      </c>
      <c r="AC161">
        <f>[1]data!Z162*(_xlfn.XLOOKUP([1]data!$C162,[2]data!$B$2:$B$218,[2]data!Y$2:Y$218)/100)</f>
        <v>7.7687436741000004</v>
      </c>
      <c r="AD161">
        <f>[1]data!AA162*(_xlfn.XLOOKUP([1]data!$C162,[2]data!$B$2:$B$218,[2]data!Z$2:Z$218)/100)</f>
        <v>8.4525440390600011</v>
      </c>
      <c r="AE161">
        <f>[1]data!AB162*(_xlfn.XLOOKUP([1]data!$C162,[2]data!$B$2:$B$218,[2]data!AA$2:AA$218)/100)</f>
        <v>9.0845346686999999</v>
      </c>
      <c r="AF161">
        <f>[1]data!AC162*(_xlfn.XLOOKUP([1]data!$C162,[2]data!$B$2:$B$218,[2]data!AB$2:AB$218)/100)</f>
        <v>9.6518946874800005</v>
      </c>
      <c r="AG161">
        <f>[1]data!AD162*(_xlfn.XLOOKUP([1]data!$C162,[2]data!$B$2:$B$218,[2]data!AC$2:AC$218)/100)</f>
        <v>10.13944701</v>
      </c>
      <c r="AH161">
        <f>[1]data!AE162*(_xlfn.XLOOKUP([1]data!$C162,[2]data!$B$2:$B$218,[2]data!AD$2:AD$218)/100)</f>
        <v>10.5368030926</v>
      </c>
      <c r="AI161">
        <f>[1]data!AF162*(_xlfn.XLOOKUP([1]data!$C162,[2]data!$B$2:$B$218,[2]data!AE$2:AE$218)/100)</f>
        <v>10.858449460140001</v>
      </c>
      <c r="AJ161">
        <f>[1]data!AG162*(_xlfn.XLOOKUP([1]data!$C162,[2]data!$B$2:$B$218,[2]data!AF$2:AF$218)/100)</f>
        <v>11.1130938288</v>
      </c>
      <c r="AK161">
        <f>[1]data!AH162*(_xlfn.XLOOKUP([1]data!$C162,[2]data!$B$2:$B$218,[2]data!AG$2:AG$218)/100)</f>
        <v>11.300895403999998</v>
      </c>
      <c r="AL161">
        <f>[1]data!AI162*(_xlfn.XLOOKUP([1]data!$C162,[2]data!$B$2:$B$218,[2]data!AH$2:AH$218)/100)</f>
        <v>11.427983194200003</v>
      </c>
      <c r="AM161">
        <f>[1]data!AJ162*(_xlfn.XLOOKUP([1]data!$C162,[2]data!$B$2:$B$218,[2]data!AI$2:AI$218)/100)</f>
        <v>11.495373280419999</v>
      </c>
    </row>
    <row r="162" spans="1:39" x14ac:dyDescent="0.25">
      <c r="A162" t="s">
        <v>30</v>
      </c>
      <c r="B162" t="s">
        <v>31</v>
      </c>
      <c r="C162" t="s">
        <v>193</v>
      </c>
      <c r="D162" t="s">
        <v>417</v>
      </c>
      <c r="E162" t="str">
        <f>_xlfn.XLOOKUP(D162,[6]Feuil1!$C$2:$C$248,[6]Feuil1!$B$2:$B$248)</f>
        <v>SV</v>
      </c>
      <c r="F162" t="s">
        <v>33</v>
      </c>
      <c r="G162" t="str">
        <f>_xlfn.XLOOKUP(C162,[3]Sheet1!$B$2:$B$172,[3]Sheet1!$D$2:$D$172)</f>
        <v>Central America</v>
      </c>
      <c r="H162" t="s">
        <v>34</v>
      </c>
      <c r="I162">
        <f>[1]data!F163*(_xlfn.XLOOKUP([1]data!$C163,[2]data!$B$2:$B$218,[2]data!E$2:E$218)/100)</f>
        <v>0.78748604</v>
      </c>
      <c r="J162">
        <f>[1]data!G163*(_xlfn.XLOOKUP([1]data!$C163,[2]data!$B$2:$B$218,[2]data!F$2:F$218)/100)</f>
        <v>0.90472507400000002</v>
      </c>
      <c r="K162">
        <f>[1]data!H163*(_xlfn.XLOOKUP([1]data!$C163,[2]data!$B$2:$B$218,[2]data!G$2:G$218)/100)</f>
        <v>1.0524537600000001</v>
      </c>
      <c r="L162">
        <f>[1]data!I163*(_xlfn.XLOOKUP([1]data!$C163,[2]data!$B$2:$B$218,[2]data!H$2:H$218)/100)</f>
        <v>1.220023812</v>
      </c>
      <c r="M162">
        <f>[1]data!J163*(_xlfn.XLOOKUP([1]data!$C163,[2]data!$B$2:$B$218,[2]data!I$2:I$218)/100)</f>
        <v>1.408339998</v>
      </c>
      <c r="N162">
        <f>[1]data!K163*(_xlfn.XLOOKUP([1]data!$C163,[2]data!$B$2:$B$218,[2]data!J$2:J$218)/100)</f>
        <v>1.6767840960000002</v>
      </c>
      <c r="O162">
        <f>[1]data!L163*(_xlfn.XLOOKUP([1]data!$C163,[2]data!$B$2:$B$218,[2]data!K$2:K$218)/100)</f>
        <v>1.973664189</v>
      </c>
      <c r="P162">
        <f>[1]data!M163*(_xlfn.XLOOKUP([1]data!$C163,[2]data!$B$2:$B$218,[2]data!L$2:L$218)/100)</f>
        <v>2.2551873650000003</v>
      </c>
      <c r="Q162">
        <f>[1]data!N163*(_xlfn.XLOOKUP([1]data!$C163,[2]data!$B$2:$B$218,[2]data!M$2:M$218)/100)</f>
        <v>2.6217789300000001</v>
      </c>
      <c r="R162">
        <f>[1]data!O163*(_xlfn.XLOOKUP([1]data!$C163,[2]data!$B$2:$B$218,[2]data!N$2:N$218)/100)</f>
        <v>3.0902688000000005</v>
      </c>
      <c r="S162">
        <f>[1]data!P163*(_xlfn.XLOOKUP([1]data!$C163,[2]data!$B$2:$B$218,[2]data!O$2:O$218)/100)</f>
        <v>3.499959923</v>
      </c>
      <c r="T162">
        <f>[1]data!Q163*(_xlfn.XLOOKUP([1]data!$C163,[2]data!$B$2:$B$218,[2]data!P$2:P$218)/100)</f>
        <v>3.719858296</v>
      </c>
      <c r="U162">
        <f>[1]data!R163*(_xlfn.XLOOKUP([1]data!$C163,[2]data!$B$2:$B$218,[2]data!Q$2:Q$218)/100)</f>
        <v>3.9971178500000004</v>
      </c>
      <c r="V162">
        <f>[1]data!S163*(_xlfn.XLOOKUP([1]data!$C163,[2]data!$B$2:$B$218,[2]data!R$2:R$218)/100)</f>
        <v>4.3362098560000009</v>
      </c>
      <c r="W162">
        <f>[1]data!T163*(_xlfn.XLOOKUP([1]data!$C163,[2]data!$B$2:$B$218,[2]data!S$2:S$218)/100)</f>
        <v>4.6101923440000006</v>
      </c>
      <c r="X162">
        <f>[1]data!U163*(_xlfn.XLOOKUP([1]data!$C163,[2]data!$B$2:$B$218,[2]data!T$2:T$218)/100)</f>
        <v>4.7985530902400004</v>
      </c>
      <c r="Y162">
        <f>[1]data!V163*(_xlfn.XLOOKUP([1]data!$C163,[2]data!$B$2:$B$218,[2]data!U$2:U$218)/100)</f>
        <v>4.9695399548800001</v>
      </c>
      <c r="Z162">
        <f>[1]data!W163*(_xlfn.XLOOKUP([1]data!$C163,[2]data!$B$2:$B$218,[2]data!V$2:V$218)/100)</f>
        <v>5.0986039929099984</v>
      </c>
      <c r="AA162">
        <f>[1]data!X163*(_xlfn.XLOOKUP([1]data!$C163,[2]data!$B$2:$B$218,[2]data!W$2:W$218)/100)</f>
        <v>5.1876340553700002</v>
      </c>
      <c r="AB162">
        <f>[1]data!Y163*(_xlfn.XLOOKUP([1]data!$C163,[2]data!$B$2:$B$218,[2]data!X$2:X$218)/100)</f>
        <v>5.2415743625600069</v>
      </c>
      <c r="AC162">
        <f>[1]data!Z163*(_xlfn.XLOOKUP([1]data!$C163,[2]data!$B$2:$B$218,[2]data!Y$2:Y$218)/100)</f>
        <v>5.2617393962999994</v>
      </c>
      <c r="AD162">
        <f>[1]data!AA163*(_xlfn.XLOOKUP([1]data!$C163,[2]data!$B$2:$B$218,[2]data!Z$2:Z$218)/100)</f>
        <v>5.2515065968000005</v>
      </c>
      <c r="AE162">
        <f>[1]data!AB163*(_xlfn.XLOOKUP([1]data!$C163,[2]data!$B$2:$B$218,[2]data!AA$2:AA$218)/100)</f>
        <v>5.212736144</v>
      </c>
      <c r="AF162">
        <f>[1]data!AC163*(_xlfn.XLOOKUP([1]data!$C163,[2]data!$B$2:$B$218,[2]data!AB$2:AB$218)/100)</f>
        <v>5.1617134522699999</v>
      </c>
      <c r="AG162">
        <f>[1]data!AD163*(_xlfn.XLOOKUP([1]data!$C163,[2]data!$B$2:$B$218,[2]data!AC$2:AC$218)/100)</f>
        <v>5.0992501506800005</v>
      </c>
      <c r="AH162">
        <f>[1]data!AE163*(_xlfn.XLOOKUP([1]data!$C163,[2]data!$B$2:$B$218,[2]data!AD$2:AD$218)/100)</f>
        <v>5.0268995849600007</v>
      </c>
      <c r="AI162">
        <f>[1]data!AF163*(_xlfn.XLOOKUP([1]data!$C163,[2]data!$B$2:$B$218,[2]data!AE$2:AE$218)/100)</f>
        <v>4.9449447321599997</v>
      </c>
      <c r="AJ162">
        <f>[1]data!AG163*(_xlfn.XLOOKUP([1]data!$C163,[2]data!$B$2:$B$218,[2]data!AF$2:AF$218)/100)</f>
        <v>4.8570767673600006</v>
      </c>
      <c r="AK162">
        <f>[1]data!AH163*(_xlfn.XLOOKUP([1]data!$C163,[2]data!$B$2:$B$218,[2]data!AG$2:AG$218)/100)</f>
        <v>4.7671379453999991</v>
      </c>
      <c r="AL162">
        <f>[1]data!AI163*(_xlfn.XLOOKUP([1]data!$C163,[2]data!$B$2:$B$218,[2]data!AH$2:AH$218)/100)</f>
        <v>4.6817981110200089</v>
      </c>
      <c r="AM162">
        <f>[1]data!AJ163*(_xlfn.XLOOKUP([1]data!$C163,[2]data!$B$2:$B$218,[2]data!AI$2:AI$218)/100)</f>
        <v>4.6098484403400084</v>
      </c>
    </row>
    <row r="163" spans="1:39" x14ac:dyDescent="0.25">
      <c r="A163" t="s">
        <v>30</v>
      </c>
      <c r="B163" t="s">
        <v>31</v>
      </c>
      <c r="C163" t="s">
        <v>194</v>
      </c>
      <c r="D163" t="s">
        <v>418</v>
      </c>
      <c r="E163" t="str">
        <f>_xlfn.XLOOKUP(D163,[6]Feuil1!$C$2:$C$248,[6]Feuil1!$B$2:$B$248)</f>
        <v>SO</v>
      </c>
      <c r="F163" t="s">
        <v>33</v>
      </c>
      <c r="G163" t="str">
        <f>_xlfn.XLOOKUP(C163,[3]Sheet1!$B$2:$B$172,[3]Sheet1!$D$2:$D$172)</f>
        <v>Eastern Africa</v>
      </c>
      <c r="H163" t="s">
        <v>34</v>
      </c>
      <c r="I163">
        <f>[1]data!F164*(_xlfn.XLOOKUP([1]data!$C164,[2]data!$B$2:$B$218,[2]data!E$2:E$218)/100)</f>
        <v>0.27703360900000001</v>
      </c>
      <c r="J163">
        <f>[1]data!G164*(_xlfn.XLOOKUP([1]data!$C164,[2]data!$B$2:$B$218,[2]data!F$2:F$218)/100)</f>
        <v>0.37212377499999999</v>
      </c>
      <c r="K163">
        <f>[1]data!H164*(_xlfn.XLOOKUP([1]data!$C164,[2]data!$B$2:$B$218,[2]data!G$2:G$218)/100)</f>
        <v>0.49024567000000002</v>
      </c>
      <c r="L163">
        <f>[1]data!I164*(_xlfn.XLOOKUP([1]data!$C164,[2]data!$B$2:$B$218,[2]data!H$2:H$218)/100)</f>
        <v>0.6449686</v>
      </c>
      <c r="M163">
        <f>[1]data!J164*(_xlfn.XLOOKUP([1]data!$C164,[2]data!$B$2:$B$218,[2]data!I$2:I$218)/100)</f>
        <v>0.83361686699999993</v>
      </c>
      <c r="N163">
        <f>[1]data!K164*(_xlfn.XLOOKUP([1]data!$C164,[2]data!$B$2:$B$218,[2]data!J$2:J$218)/100)</f>
        <v>1.0649488500000002</v>
      </c>
      <c r="O163">
        <f>[1]data!L164*(_xlfn.XLOOKUP([1]data!$C164,[2]data!$B$2:$B$218,[2]data!K$2:K$218)/100)</f>
        <v>1.547426908</v>
      </c>
      <c r="P163">
        <f>[1]data!M164*(_xlfn.XLOOKUP([1]data!$C164,[2]data!$B$2:$B$218,[2]data!L$2:L$218)/100)</f>
        <v>1.8257168530000001</v>
      </c>
      <c r="Q163">
        <f>[1]data!N164*(_xlfn.XLOOKUP([1]data!$C164,[2]data!$B$2:$B$218,[2]data!M$2:M$218)/100)</f>
        <v>2.0827852650000001</v>
      </c>
      <c r="R163">
        <f>[1]data!O164*(_xlfn.XLOOKUP([1]data!$C164,[2]data!$B$2:$B$218,[2]data!N$2:N$218)/100)</f>
        <v>2.2151208499999999</v>
      </c>
      <c r="S163">
        <f>[1]data!P164*(_xlfn.XLOOKUP([1]data!$C164,[2]data!$B$2:$B$218,[2]data!O$2:O$218)/100)</f>
        <v>2.8373699400000003</v>
      </c>
      <c r="T163">
        <f>[1]data!Q164*(_xlfn.XLOOKUP([1]data!$C164,[2]data!$B$2:$B$218,[2]data!P$2:P$218)/100)</f>
        <v>3.7372643220000006</v>
      </c>
      <c r="U163">
        <f>[1]data!R164*(_xlfn.XLOOKUP([1]data!$C164,[2]data!$B$2:$B$218,[2]data!Q$2:Q$218)/100)</f>
        <v>4.6671355590000001</v>
      </c>
      <c r="V163">
        <f>[1]data!S164*(_xlfn.XLOOKUP([1]data!$C164,[2]data!$B$2:$B$218,[2]data!R$2:R$218)/100)</f>
        <v>5.848465248000001</v>
      </c>
      <c r="W163">
        <f>[1]data!T164*(_xlfn.XLOOKUP([1]data!$C164,[2]data!$B$2:$B$218,[2]data!S$2:S$218)/100)</f>
        <v>7.501789843000001</v>
      </c>
      <c r="X163">
        <f>[1]data!U164*(_xlfn.XLOOKUP([1]data!$C164,[2]data!$B$2:$B$218,[2]data!T$2:T$218)/100)</f>
        <v>9.1476086198399997</v>
      </c>
      <c r="Y163">
        <f>[1]data!V164*(_xlfn.XLOOKUP([1]data!$C164,[2]data!$B$2:$B$218,[2]data!U$2:U$218)/100)</f>
        <v>11.097357534480002</v>
      </c>
      <c r="Z163">
        <f>[1]data!W164*(_xlfn.XLOOKUP([1]data!$C164,[2]data!$B$2:$B$218,[2]data!V$2:V$218)/100)</f>
        <v>13.306759461360002</v>
      </c>
      <c r="AA163">
        <f>[1]data!X164*(_xlfn.XLOOKUP([1]data!$C164,[2]data!$B$2:$B$218,[2]data!W$2:W$218)/100)</f>
        <v>15.763366488009998</v>
      </c>
      <c r="AB163">
        <f>[1]data!Y164*(_xlfn.XLOOKUP([1]data!$C164,[2]data!$B$2:$B$218,[2]data!X$2:X$218)/100)</f>
        <v>18.460491936599997</v>
      </c>
      <c r="AC163">
        <f>[1]data!Z164*(_xlfn.XLOOKUP([1]data!$C164,[2]data!$B$2:$B$218,[2]data!Y$2:Y$218)/100)</f>
        <v>21.363831350720002</v>
      </c>
      <c r="AD163">
        <f>[1]data!AA164*(_xlfn.XLOOKUP([1]data!$C164,[2]data!$B$2:$B$218,[2]data!Z$2:Z$218)/100)</f>
        <v>24.420841737930001</v>
      </c>
      <c r="AE163">
        <f>[1]data!AB164*(_xlfn.XLOOKUP([1]data!$C164,[2]data!$B$2:$B$218,[2]data!AA$2:AA$218)/100)</f>
        <v>27.558378140880006</v>
      </c>
      <c r="AF163">
        <f>[1]data!AC164*(_xlfn.XLOOKUP([1]data!$C164,[2]data!$B$2:$B$218,[2]data!AB$2:AB$218)/100)</f>
        <v>30.765629239989998</v>
      </c>
      <c r="AG163">
        <f>[1]data!AD164*(_xlfn.XLOOKUP([1]data!$C164,[2]data!$B$2:$B$218,[2]data!AC$2:AC$218)/100)</f>
        <v>34.000081173239998</v>
      </c>
      <c r="AH163">
        <f>[1]data!AE164*(_xlfn.XLOOKUP([1]data!$C164,[2]data!$B$2:$B$218,[2]data!AD$2:AD$218)/100)</f>
        <v>37.219359089699999</v>
      </c>
      <c r="AI163">
        <f>[1]data!AF164*(_xlfn.XLOOKUP([1]data!$C164,[2]data!$B$2:$B$218,[2]data!AE$2:AE$218)/100)</f>
        <v>40.387122534249997</v>
      </c>
      <c r="AJ163">
        <f>[1]data!AG164*(_xlfn.XLOOKUP([1]data!$C164,[2]data!$B$2:$B$218,[2]data!AF$2:AF$218)/100)</f>
        <v>43.452814792319927</v>
      </c>
      <c r="AK163">
        <f>[1]data!AH164*(_xlfn.XLOOKUP([1]data!$C164,[2]data!$B$2:$B$218,[2]data!AG$2:AG$218)/100)</f>
        <v>46.37160090726001</v>
      </c>
      <c r="AL163">
        <f>[1]data!AI164*(_xlfn.XLOOKUP([1]data!$C164,[2]data!$B$2:$B$218,[2]data!AH$2:AH$218)/100)</f>
        <v>49.042482978689996</v>
      </c>
      <c r="AM163">
        <f>[1]data!AJ164*(_xlfn.XLOOKUP([1]data!$C164,[2]data!$B$2:$B$218,[2]data!AI$2:AI$218)/100)</f>
        <v>51.489763383959918</v>
      </c>
    </row>
    <row r="164" spans="1:39" x14ac:dyDescent="0.25">
      <c r="A164" t="s">
        <v>30</v>
      </c>
      <c r="B164" t="s">
        <v>31</v>
      </c>
      <c r="C164" t="s">
        <v>195</v>
      </c>
      <c r="D164" t="s">
        <v>419</v>
      </c>
      <c r="E164" t="str">
        <f>_xlfn.XLOOKUP(D164,[6]Feuil1!$C$2:$C$248,[6]Feuil1!$B$2:$B$248)</f>
        <v>RS</v>
      </c>
      <c r="F164" t="s">
        <v>33</v>
      </c>
      <c r="G164" t="str">
        <f>_xlfn.XLOOKUP(C164,[3]Sheet1!$B$2:$B$172,[3]Sheet1!$D$2:$D$172)</f>
        <v>Central Europe</v>
      </c>
      <c r="H164" t="s">
        <v>34</v>
      </c>
      <c r="I164">
        <f>[1]data!F165*(_xlfn.XLOOKUP([1]data!$C165,[2]data!$B$2:$B$218,[2]data!E$2:E$218)/100)</f>
        <v>1.2140343950000001</v>
      </c>
      <c r="J164">
        <f>[1]data!G165*(_xlfn.XLOOKUP([1]data!$C165,[2]data!$B$2:$B$218,[2]data!F$2:F$218)/100)</f>
        <v>1.542551408</v>
      </c>
      <c r="K164">
        <f>[1]data!H165*(_xlfn.XLOOKUP([1]data!$C165,[2]data!$B$2:$B$218,[2]data!G$2:G$218)/100)</f>
        <v>1.9065828210000002</v>
      </c>
      <c r="L164">
        <f>[1]data!I165*(_xlfn.XLOOKUP([1]data!$C165,[2]data!$B$2:$B$218,[2]data!H$2:H$218)/100)</f>
        <v>2.349802656</v>
      </c>
      <c r="M164">
        <f>[1]data!J165*(_xlfn.XLOOKUP([1]data!$C165,[2]data!$B$2:$B$218,[2]data!I$2:I$218)/100)</f>
        <v>2.8457746060000004</v>
      </c>
      <c r="N164">
        <f>[1]data!K165*(_xlfn.XLOOKUP([1]data!$C165,[2]data!$B$2:$B$218,[2]data!J$2:J$218)/100)</f>
        <v>3.2100138679999999</v>
      </c>
      <c r="O164">
        <f>[1]data!L165*(_xlfn.XLOOKUP([1]data!$C165,[2]data!$B$2:$B$218,[2]data!K$2:K$218)/100)</f>
        <v>3.5745271550000002</v>
      </c>
      <c r="P164">
        <f>[1]data!M165*(_xlfn.XLOOKUP([1]data!$C165,[2]data!$B$2:$B$218,[2]data!L$2:L$218)/100)</f>
        <v>3.8163665400000002</v>
      </c>
      <c r="Q164">
        <f>[1]data!N165*(_xlfn.XLOOKUP([1]data!$C165,[2]data!$B$2:$B$218,[2]data!M$2:M$218)/100)</f>
        <v>4.0236411600000004</v>
      </c>
      <c r="R164">
        <f>[1]data!O165*(_xlfn.XLOOKUP([1]data!$C165,[2]data!$B$2:$B$218,[2]data!N$2:N$218)/100)</f>
        <v>4.1233303980000002</v>
      </c>
      <c r="S164">
        <f>[1]data!P165*(_xlfn.XLOOKUP([1]data!$C165,[2]data!$B$2:$B$218,[2]data!O$2:O$218)/100)</f>
        <v>4.1955212640000008</v>
      </c>
      <c r="T164">
        <f>[1]data!Q165*(_xlfn.XLOOKUP([1]data!$C165,[2]data!$B$2:$B$218,[2]data!P$2:P$218)/100)</f>
        <v>4.230499966</v>
      </c>
      <c r="U164">
        <f>[1]data!R165*(_xlfn.XLOOKUP([1]data!$C165,[2]data!$B$2:$B$218,[2]data!Q$2:Q$218)/100)</f>
        <v>4.218687000000001</v>
      </c>
      <c r="V164">
        <f>[1]data!S165*(_xlfn.XLOOKUP([1]data!$C165,[2]data!$B$2:$B$218,[2]data!R$2:R$218)/100)</f>
        <v>4.1956515159999999</v>
      </c>
      <c r="W164">
        <f>[1]data!T165*(_xlfn.XLOOKUP([1]data!$C165,[2]data!$B$2:$B$218,[2]data!S$2:S$218)/100)</f>
        <v>4.1646115319999994</v>
      </c>
      <c r="X164">
        <f>[1]data!U165*(_xlfn.XLOOKUP([1]data!$C165,[2]data!$B$2:$B$218,[2]data!T$2:T$218)/100)</f>
        <v>4.21348480203</v>
      </c>
      <c r="Y164">
        <f>[1]data!V165*(_xlfn.XLOOKUP([1]data!$C165,[2]data!$B$2:$B$218,[2]data!U$2:U$218)/100)</f>
        <v>4.313001518100001</v>
      </c>
      <c r="Z164">
        <f>[1]data!W165*(_xlfn.XLOOKUP([1]data!$C165,[2]data!$B$2:$B$218,[2]data!V$2:V$218)/100)</f>
        <v>4.3956955060200009</v>
      </c>
      <c r="AA164">
        <f>[1]data!X165*(_xlfn.XLOOKUP([1]data!$C165,[2]data!$B$2:$B$218,[2]data!W$2:W$218)/100)</f>
        <v>4.4606243479000005</v>
      </c>
      <c r="AB164">
        <f>[1]data!Y165*(_xlfn.XLOOKUP([1]data!$C165,[2]data!$B$2:$B$218,[2]data!X$2:X$218)/100)</f>
        <v>4.5161644703199997</v>
      </c>
      <c r="AC164">
        <f>[1]data!Z165*(_xlfn.XLOOKUP([1]data!$C165,[2]data!$B$2:$B$218,[2]data!Y$2:Y$218)/100)</f>
        <v>4.5674136234000002</v>
      </c>
      <c r="AD164">
        <f>[1]data!AA165*(_xlfn.XLOOKUP([1]data!$C165,[2]data!$B$2:$B$218,[2]data!Z$2:Z$218)/100)</f>
        <v>4.6143802927600008</v>
      </c>
      <c r="AE164">
        <f>[1]data!AB165*(_xlfn.XLOOKUP([1]data!$C165,[2]data!$B$2:$B$218,[2]data!AA$2:AA$218)/100)</f>
        <v>4.65365198838</v>
      </c>
      <c r="AF164">
        <f>[1]data!AC165*(_xlfn.XLOOKUP([1]data!$C165,[2]data!$B$2:$B$218,[2]data!AB$2:AB$218)/100)</f>
        <v>4.6770644527999998</v>
      </c>
      <c r="AG164">
        <f>[1]data!AD165*(_xlfn.XLOOKUP([1]data!$C165,[2]data!$B$2:$B$218,[2]data!AC$2:AC$218)/100)</f>
        <v>4.6853426956000002</v>
      </c>
      <c r="AH164">
        <f>[1]data!AE165*(_xlfn.XLOOKUP([1]data!$C165,[2]data!$B$2:$B$218,[2]data!AD$2:AD$218)/100)</f>
        <v>4.6815981047899999</v>
      </c>
      <c r="AI164">
        <f>[1]data!AF165*(_xlfn.XLOOKUP([1]data!$C165,[2]data!$B$2:$B$218,[2]data!AE$2:AE$218)/100)</f>
        <v>4.6687351070600078</v>
      </c>
      <c r="AJ164">
        <f>[1]data!AG165*(_xlfn.XLOOKUP([1]data!$C165,[2]data!$B$2:$B$218,[2]data!AF$2:AF$218)/100)</f>
        <v>4.6487770608800005</v>
      </c>
      <c r="AK164">
        <f>[1]data!AH165*(_xlfn.XLOOKUP([1]data!$C165,[2]data!$B$2:$B$218,[2]data!AG$2:AG$218)/100)</f>
        <v>4.6219051850400001</v>
      </c>
      <c r="AL164">
        <f>[1]data!AI165*(_xlfn.XLOOKUP([1]data!$C165,[2]data!$B$2:$B$218,[2]data!AH$2:AH$218)/100)</f>
        <v>4.5864905374400005</v>
      </c>
      <c r="AM164">
        <f>[1]data!AJ165*(_xlfn.XLOOKUP([1]data!$C165,[2]data!$B$2:$B$218,[2]data!AI$2:AI$218)/100)</f>
        <v>4.5389972409300006</v>
      </c>
    </row>
    <row r="165" spans="1:39" x14ac:dyDescent="0.25">
      <c r="A165" t="s">
        <v>30</v>
      </c>
      <c r="B165" t="s">
        <v>31</v>
      </c>
      <c r="C165" t="s">
        <v>196</v>
      </c>
      <c r="D165" t="s">
        <v>420</v>
      </c>
      <c r="E165" t="str">
        <f>_xlfn.XLOOKUP(D165,[6]Feuil1!$C$2:$C$248,[6]Feuil1!$B$2:$B$248)</f>
        <v>SS</v>
      </c>
      <c r="F165" t="s">
        <v>33</v>
      </c>
      <c r="G165" t="str">
        <f>_xlfn.XLOOKUP(C165,[3]Sheet1!$B$2:$B$172,[3]Sheet1!$D$2:$D$172)</f>
        <v>Eastern Africa</v>
      </c>
      <c r="H165" t="s">
        <v>34</v>
      </c>
      <c r="I165">
        <f>[1]data!F166*(_xlfn.XLOOKUP([1]data!$C166,[2]data!$B$2:$B$218,[2]data!E$2:E$218)/100)</f>
        <v>0.22036533500000002</v>
      </c>
      <c r="J165">
        <f>[1]data!G166*(_xlfn.XLOOKUP([1]data!$C166,[2]data!$B$2:$B$218,[2]data!F$2:F$218)/100)</f>
        <v>0.23508927200000004</v>
      </c>
      <c r="K165">
        <f>[1]data!H166*(_xlfn.XLOOKUP([1]data!$C166,[2]data!$B$2:$B$218,[2]data!G$2:G$218)/100)</f>
        <v>0.25121902499999998</v>
      </c>
      <c r="L165">
        <f>[1]data!I166*(_xlfn.XLOOKUP([1]data!$C166,[2]data!$B$2:$B$218,[2]data!H$2:H$218)/100)</f>
        <v>0.27139049700000001</v>
      </c>
      <c r="M165">
        <f>[1]data!J166*(_xlfn.XLOOKUP([1]data!$C166,[2]data!$B$2:$B$218,[2]data!I$2:I$218)/100)</f>
        <v>0.28564478599999998</v>
      </c>
      <c r="N165">
        <f>[1]data!K166*(_xlfn.XLOOKUP([1]data!$C166,[2]data!$B$2:$B$218,[2]data!J$2:J$218)/100)</f>
        <v>0.315918162</v>
      </c>
      <c r="O165">
        <f>[1]data!L166*(_xlfn.XLOOKUP([1]data!$C166,[2]data!$B$2:$B$218,[2]data!K$2:K$218)/100)</f>
        <v>0.35204534999999998</v>
      </c>
      <c r="P165">
        <f>[1]data!M166*(_xlfn.XLOOKUP([1]data!$C166,[2]data!$B$2:$B$218,[2]data!L$2:L$218)/100)</f>
        <v>0.45591295399999998</v>
      </c>
      <c r="Q165">
        <f>[1]data!N166*(_xlfn.XLOOKUP([1]data!$C166,[2]data!$B$2:$B$218,[2]data!M$2:M$218)/100)</f>
        <v>0.62424254899999998</v>
      </c>
      <c r="R165">
        <f>[1]data!O166*(_xlfn.XLOOKUP([1]data!$C166,[2]data!$B$2:$B$218,[2]data!N$2:N$218)/100)</f>
        <v>0.83268776999999994</v>
      </c>
      <c r="S165">
        <f>[1]data!P166*(_xlfn.XLOOKUP([1]data!$C166,[2]data!$B$2:$B$218,[2]data!O$2:O$218)/100)</f>
        <v>0.98628849000000018</v>
      </c>
      <c r="T165">
        <f>[1]data!Q166*(_xlfn.XLOOKUP([1]data!$C166,[2]data!$B$2:$B$218,[2]data!P$2:P$218)/100)</f>
        <v>1.2872846359999999</v>
      </c>
      <c r="U165">
        <f>[1]data!R166*(_xlfn.XLOOKUP([1]data!$C166,[2]data!$B$2:$B$218,[2]data!Q$2:Q$218)/100)</f>
        <v>1.687680557</v>
      </c>
      <c r="V165">
        <f>[1]data!S166*(_xlfn.XLOOKUP([1]data!$C166,[2]data!$B$2:$B$218,[2]data!R$2:R$218)/100)</f>
        <v>2.1039616079999997</v>
      </c>
      <c r="W165">
        <f>[1]data!T166*(_xlfn.XLOOKUP([1]data!$C166,[2]data!$B$2:$B$218,[2]data!S$2:S$218)/100)</f>
        <v>2.130178678</v>
      </c>
      <c r="X165">
        <f>[1]data!U166*(_xlfn.XLOOKUP([1]data!$C166,[2]data!$B$2:$B$218,[2]data!T$2:T$218)/100)</f>
        <v>2.47277392152</v>
      </c>
      <c r="Y165">
        <f>[1]data!V166*(_xlfn.XLOOKUP([1]data!$C166,[2]data!$B$2:$B$218,[2]data!U$2:U$218)/100)</f>
        <v>2.8761875464399997</v>
      </c>
      <c r="Z165">
        <f>[1]data!W166*(_xlfn.XLOOKUP([1]data!$C166,[2]data!$B$2:$B$218,[2]data!V$2:V$218)/100)</f>
        <v>3.3390663011199999</v>
      </c>
      <c r="AA165">
        <f>[1]data!X166*(_xlfn.XLOOKUP([1]data!$C166,[2]data!$B$2:$B$218,[2]data!W$2:W$218)/100)</f>
        <v>3.8357179803900006</v>
      </c>
      <c r="AB165">
        <f>[1]data!Y166*(_xlfn.XLOOKUP([1]data!$C166,[2]data!$B$2:$B$218,[2]data!X$2:X$218)/100)</f>
        <v>4.3187189535700004</v>
      </c>
      <c r="AC165">
        <f>[1]data!Z166*(_xlfn.XLOOKUP([1]data!$C166,[2]data!$B$2:$B$218,[2]data!Y$2:Y$218)/100)</f>
        <v>4.7581230565200006</v>
      </c>
      <c r="AD165">
        <f>[1]data!AA166*(_xlfn.XLOOKUP([1]data!$C166,[2]data!$B$2:$B$218,[2]data!Z$2:Z$218)/100)</f>
        <v>5.166888558160001</v>
      </c>
      <c r="AE165">
        <f>[1]data!AB166*(_xlfn.XLOOKUP([1]data!$C166,[2]data!$B$2:$B$218,[2]data!AA$2:AA$218)/100)</f>
        <v>5.5641642221999996</v>
      </c>
      <c r="AF165">
        <f>[1]data!AC166*(_xlfn.XLOOKUP([1]data!$C166,[2]data!$B$2:$B$218,[2]data!AB$2:AB$218)/100)</f>
        <v>5.9719356044799996</v>
      </c>
      <c r="AG165">
        <f>[1]data!AD166*(_xlfn.XLOOKUP([1]data!$C166,[2]data!$B$2:$B$218,[2]data!AC$2:AC$218)/100)</f>
        <v>6.3735578265599999</v>
      </c>
      <c r="AH165">
        <f>[1]data!AE166*(_xlfn.XLOOKUP([1]data!$C166,[2]data!$B$2:$B$218,[2]data!AD$2:AD$218)/100)</f>
        <v>6.7452712553200005</v>
      </c>
      <c r="AI165">
        <f>[1]data!AF166*(_xlfn.XLOOKUP([1]data!$C166,[2]data!$B$2:$B$218,[2]data!AE$2:AE$218)/100)</f>
        <v>7.0790233675399996</v>
      </c>
      <c r="AJ165">
        <f>[1]data!AG166*(_xlfn.XLOOKUP([1]data!$C166,[2]data!$B$2:$B$218,[2]data!AF$2:AF$218)/100)</f>
        <v>7.3911586520500014</v>
      </c>
      <c r="AK165">
        <f>[1]data!AH166*(_xlfn.XLOOKUP([1]data!$C166,[2]data!$B$2:$B$218,[2]data!AG$2:AG$218)/100)</f>
        <v>7.6992228312500002</v>
      </c>
      <c r="AL165">
        <f>[1]data!AI166*(_xlfn.XLOOKUP([1]data!$C166,[2]data!$B$2:$B$218,[2]data!AH$2:AH$218)/100)</f>
        <v>8.0103786450999994</v>
      </c>
      <c r="AM165">
        <f>[1]data!AJ166*(_xlfn.XLOOKUP([1]data!$C166,[2]data!$B$2:$B$218,[2]data!AI$2:AI$218)/100)</f>
        <v>8.3315658080400006</v>
      </c>
    </row>
    <row r="166" spans="1:39" x14ac:dyDescent="0.25">
      <c r="A166" t="s">
        <v>30</v>
      </c>
      <c r="B166" t="s">
        <v>31</v>
      </c>
      <c r="C166" t="s">
        <v>197</v>
      </c>
      <c r="D166" t="s">
        <v>421</v>
      </c>
      <c r="E166" t="str">
        <f>_xlfn.XLOOKUP(D166,[6]Feuil1!$C$2:$C$248,[6]Feuil1!$B$2:$B$248)</f>
        <v>ST</v>
      </c>
      <c r="F166" t="s">
        <v>33</v>
      </c>
      <c r="G166" t="str">
        <f>_xlfn.XLOOKUP(C166,[3]Sheet1!$B$2:$B$172,[3]Sheet1!$D$2:$D$172)</f>
        <v>Western Africa</v>
      </c>
      <c r="H166" t="s">
        <v>34</v>
      </c>
      <c r="I166">
        <f>[1]data!F167*(_xlfn.XLOOKUP([1]data!$C167,[2]data!$B$2:$B$218,[2]data!E$2:E$218)/100)</f>
        <v>8.1575099999999998E-3</v>
      </c>
      <c r="J166">
        <f>[1]data!G167*(_xlfn.XLOOKUP([1]data!$C167,[2]data!$B$2:$B$218,[2]data!F$2:F$218)/100)</f>
        <v>9.5504429999999987E-3</v>
      </c>
      <c r="K166">
        <f>[1]data!H167*(_xlfn.XLOOKUP([1]data!$C167,[2]data!$B$2:$B$218,[2]data!G$2:G$218)/100)</f>
        <v>1.0915961E-2</v>
      </c>
      <c r="L166">
        <f>[1]data!I167*(_xlfn.XLOOKUP([1]data!$C167,[2]data!$B$2:$B$218,[2]data!H$2:H$218)/100)</f>
        <v>1.5553210000000001E-2</v>
      </c>
      <c r="M166">
        <f>[1]data!J167*(_xlfn.XLOOKUP([1]data!$C167,[2]data!$B$2:$B$218,[2]data!I$2:I$218)/100)</f>
        <v>2.2641249999999998E-2</v>
      </c>
      <c r="N166">
        <f>[1]data!K167*(_xlfn.XLOOKUP([1]data!$C167,[2]data!$B$2:$B$218,[2]data!J$2:J$218)/100)</f>
        <v>2.6881488000000002E-2</v>
      </c>
      <c r="O166">
        <f>[1]data!L167*(_xlfn.XLOOKUP([1]data!$C167,[2]data!$B$2:$B$218,[2]data!K$2:K$218)/100)</f>
        <v>3.2215945000000003E-2</v>
      </c>
      <c r="P166">
        <f>[1]data!M167*(_xlfn.XLOOKUP([1]data!$C167,[2]data!$B$2:$B$218,[2]data!L$2:L$218)/100)</f>
        <v>4.0078980000000007E-2</v>
      </c>
      <c r="Q166">
        <f>[1]data!N167*(_xlfn.XLOOKUP([1]data!$C167,[2]data!$B$2:$B$218,[2]data!M$2:M$218)/100)</f>
        <v>5.1837347999999998E-2</v>
      </c>
      <c r="R166">
        <f>[1]data!O167*(_xlfn.XLOOKUP([1]data!$C167,[2]data!$B$2:$B$218,[2]data!N$2:N$218)/100)</f>
        <v>6.4098054000000002E-2</v>
      </c>
      <c r="S166">
        <f>[1]data!P167*(_xlfn.XLOOKUP([1]data!$C167,[2]data!$B$2:$B$218,[2]data!O$2:O$218)/100)</f>
        <v>7.6249326000000006E-2</v>
      </c>
      <c r="T166">
        <f>[1]data!Q167*(_xlfn.XLOOKUP([1]data!$C167,[2]data!$B$2:$B$218,[2]data!P$2:P$218)/100)</f>
        <v>9.4528192000000011E-2</v>
      </c>
      <c r="U166">
        <f>[1]data!R167*(_xlfn.XLOOKUP([1]data!$C167,[2]data!$B$2:$B$218,[2]data!Q$2:Q$218)/100)</f>
        <v>0.1171131</v>
      </c>
      <c r="V166">
        <f>[1]data!S167*(_xlfn.XLOOKUP([1]data!$C167,[2]data!$B$2:$B$218,[2]data!R$2:R$218)/100)</f>
        <v>0.13993878600000001</v>
      </c>
      <c r="W166">
        <f>[1]data!T167*(_xlfn.XLOOKUP([1]data!$C167,[2]data!$B$2:$B$218,[2]data!S$2:S$218)/100)</f>
        <v>0.16086768000000004</v>
      </c>
      <c r="X166">
        <f>[1]data!U167*(_xlfn.XLOOKUP([1]data!$C167,[2]data!$B$2:$B$218,[2]data!T$2:T$218)/100)</f>
        <v>0.18132573147</v>
      </c>
      <c r="Y166">
        <f>[1]data!V167*(_xlfn.XLOOKUP([1]data!$C167,[2]data!$B$2:$B$218,[2]data!U$2:U$218)/100)</f>
        <v>0.20212596958000001</v>
      </c>
      <c r="Z166">
        <f>[1]data!W167*(_xlfn.XLOOKUP([1]data!$C167,[2]data!$B$2:$B$218,[2]data!V$2:V$218)/100)</f>
        <v>0.22264442732999998</v>
      </c>
      <c r="AA166">
        <f>[1]data!X167*(_xlfn.XLOOKUP([1]data!$C167,[2]data!$B$2:$B$218,[2]data!W$2:W$218)/100)</f>
        <v>0.24214311455000001</v>
      </c>
      <c r="AB166">
        <f>[1]data!Y167*(_xlfn.XLOOKUP([1]data!$C167,[2]data!$B$2:$B$218,[2]data!X$2:X$218)/100)</f>
        <v>0.26035107177</v>
      </c>
      <c r="AC166">
        <f>[1]data!Z167*(_xlfn.XLOOKUP([1]data!$C167,[2]data!$B$2:$B$218,[2]data!Y$2:Y$218)/100)</f>
        <v>0.27668359556</v>
      </c>
      <c r="AD166">
        <f>[1]data!AA167*(_xlfn.XLOOKUP([1]data!$C167,[2]data!$B$2:$B$218,[2]data!Z$2:Z$218)/100)</f>
        <v>0.29065974840000008</v>
      </c>
      <c r="AE166">
        <f>[1]data!AB167*(_xlfn.XLOOKUP([1]data!$C167,[2]data!$B$2:$B$218,[2]data!AA$2:AA$218)/100)</f>
        <v>0.30238364483999997</v>
      </c>
      <c r="AF166">
        <f>[1]data!AC167*(_xlfn.XLOOKUP([1]data!$C167,[2]data!$B$2:$B$218,[2]data!AB$2:AB$218)/100)</f>
        <v>0.31212086588999916</v>
      </c>
      <c r="AG166">
        <f>[1]data!AD167*(_xlfn.XLOOKUP([1]data!$C167,[2]data!$B$2:$B$218,[2]data!AC$2:AC$218)/100)</f>
        <v>0.31972498628000001</v>
      </c>
      <c r="AH166">
        <f>[1]data!AE167*(_xlfn.XLOOKUP([1]data!$C167,[2]data!$B$2:$B$218,[2]data!AD$2:AD$218)/100)</f>
        <v>0.32545233850000005</v>
      </c>
      <c r="AI166">
        <f>[1]data!AF167*(_xlfn.XLOOKUP([1]data!$C167,[2]data!$B$2:$B$218,[2]data!AE$2:AE$218)/100)</f>
        <v>0.32984628035000002</v>
      </c>
      <c r="AJ166">
        <f>[1]data!AG167*(_xlfn.XLOOKUP([1]data!$C167,[2]data!$B$2:$B$218,[2]data!AF$2:AF$218)/100)</f>
        <v>0.33308219412999912</v>
      </c>
      <c r="AK166">
        <f>[1]data!AH167*(_xlfn.XLOOKUP([1]data!$C167,[2]data!$B$2:$B$218,[2]data!AG$2:AG$218)/100)</f>
        <v>0.33497482454000005</v>
      </c>
      <c r="AL166">
        <f>[1]data!AI167*(_xlfn.XLOOKUP([1]data!$C167,[2]data!$B$2:$B$218,[2]data!AH$2:AH$218)/100)</f>
        <v>0.33555524597999997</v>
      </c>
      <c r="AM166">
        <f>[1]data!AJ167*(_xlfn.XLOOKUP([1]data!$C167,[2]data!$B$2:$B$218,[2]data!AI$2:AI$218)/100)</f>
        <v>0.33512165848000003</v>
      </c>
    </row>
    <row r="167" spans="1:39" x14ac:dyDescent="0.25">
      <c r="A167" t="s">
        <v>30</v>
      </c>
      <c r="B167" t="s">
        <v>31</v>
      </c>
      <c r="C167" t="s">
        <v>198</v>
      </c>
      <c r="D167" t="s">
        <v>422</v>
      </c>
      <c r="E167" t="str">
        <f>_xlfn.XLOOKUP(D167,[6]Feuil1!$C$2:$C$248,[6]Feuil1!$B$2:$B$248)</f>
        <v>SR</v>
      </c>
      <c r="F167" t="s">
        <v>33</v>
      </c>
      <c r="G167" t="str">
        <f>_xlfn.XLOOKUP(C167,[3]Sheet1!$B$2:$B$172,[3]Sheet1!$D$2:$D$172)</f>
        <v>Rest of South America</v>
      </c>
      <c r="H167" t="s">
        <v>34</v>
      </c>
      <c r="I167">
        <f>[1]data!F168*(_xlfn.XLOOKUP([1]data!$C168,[2]data!$B$2:$B$218,[2]data!E$2:E$218)/100)</f>
        <v>9.0763224999999989E-2</v>
      </c>
      <c r="J167">
        <f>[1]data!G168*(_xlfn.XLOOKUP([1]data!$C168,[2]data!$B$2:$B$218,[2]data!F$2:F$218)/100)</f>
        <v>0.10529440500000001</v>
      </c>
      <c r="K167">
        <f>[1]data!H168*(_xlfn.XLOOKUP([1]data!$C168,[2]data!$B$2:$B$218,[2]data!G$2:G$218)/100)</f>
        <v>0.124737668</v>
      </c>
      <c r="L167">
        <f>[1]data!I168*(_xlfn.XLOOKUP([1]data!$C168,[2]data!$B$2:$B$218,[2]data!H$2:H$218)/100)</f>
        <v>0.14866361400000003</v>
      </c>
      <c r="M167">
        <f>[1]data!J168*(_xlfn.XLOOKUP([1]data!$C168,[2]data!$B$2:$B$218,[2]data!I$2:I$218)/100)</f>
        <v>0.17155446299999999</v>
      </c>
      <c r="N167">
        <f>[1]data!K168*(_xlfn.XLOOKUP([1]data!$C168,[2]data!$B$2:$B$218,[2]data!J$2:J$218)/100)</f>
        <v>0.21128855700000002</v>
      </c>
      <c r="O167">
        <f>[1]data!L168*(_xlfn.XLOOKUP([1]data!$C168,[2]data!$B$2:$B$218,[2]data!K$2:K$218)/100)</f>
        <v>0.24370384999999997</v>
      </c>
      <c r="P167">
        <f>[1]data!M168*(_xlfn.XLOOKUP([1]data!$C168,[2]data!$B$2:$B$218,[2]data!L$2:L$218)/100)</f>
        <v>0.25112355700000005</v>
      </c>
      <c r="Q167">
        <f>[1]data!N168*(_xlfn.XLOOKUP([1]data!$C168,[2]data!$B$2:$B$218,[2]data!M$2:M$218)/100)</f>
        <v>0.27016102800000003</v>
      </c>
      <c r="R167">
        <f>[1]data!O168*(_xlfn.XLOOKUP([1]data!$C168,[2]data!$B$2:$B$218,[2]data!N$2:N$218)/100)</f>
        <v>0.28405285200000002</v>
      </c>
      <c r="S167">
        <f>[1]data!P168*(_xlfn.XLOOKUP([1]data!$C168,[2]data!$B$2:$B$218,[2]data!O$2:O$218)/100)</f>
        <v>0.31524728000000002</v>
      </c>
      <c r="T167">
        <f>[1]data!Q168*(_xlfn.XLOOKUP([1]data!$C168,[2]data!$B$2:$B$218,[2]data!P$2:P$218)/100)</f>
        <v>0.34240845200000003</v>
      </c>
      <c r="U167">
        <f>[1]data!R168*(_xlfn.XLOOKUP([1]data!$C168,[2]data!$B$2:$B$218,[2]data!Q$2:Q$218)/100)</f>
        <v>0.36002756400000002</v>
      </c>
      <c r="V167">
        <f>[1]data!S168*(_xlfn.XLOOKUP([1]data!$C168,[2]data!$B$2:$B$218,[2]data!R$2:R$218)/100)</f>
        <v>0.37844232999999994</v>
      </c>
      <c r="W167">
        <f>[1]data!T168*(_xlfn.XLOOKUP([1]data!$C168,[2]data!$B$2:$B$218,[2]data!S$2:S$218)/100)</f>
        <v>0.39911642699999994</v>
      </c>
      <c r="X167">
        <f>[1]data!U168*(_xlfn.XLOOKUP([1]data!$C168,[2]data!$B$2:$B$218,[2]data!T$2:T$218)/100)</f>
        <v>0.43129738714999999</v>
      </c>
      <c r="Y167">
        <f>[1]data!V168*(_xlfn.XLOOKUP([1]data!$C168,[2]data!$B$2:$B$218,[2]data!U$2:U$218)/100)</f>
        <v>0.4635749410599993</v>
      </c>
      <c r="Z167">
        <f>[1]data!W168*(_xlfn.XLOOKUP([1]data!$C168,[2]data!$B$2:$B$218,[2]data!V$2:V$218)/100)</f>
        <v>0.49376882231999997</v>
      </c>
      <c r="AA167">
        <f>[1]data!X168*(_xlfn.XLOOKUP([1]data!$C168,[2]data!$B$2:$B$218,[2]data!W$2:W$218)/100)</f>
        <v>0.52135660748000012</v>
      </c>
      <c r="AB167">
        <f>[1]data!Y168*(_xlfn.XLOOKUP([1]data!$C168,[2]data!$B$2:$B$218,[2]data!X$2:X$218)/100)</f>
        <v>0.54615343131999994</v>
      </c>
      <c r="AC167">
        <f>[1]data!Z168*(_xlfn.XLOOKUP([1]data!$C168,[2]data!$B$2:$B$218,[2]data!Y$2:Y$218)/100)</f>
        <v>0.56815316649999936</v>
      </c>
      <c r="AD167">
        <f>[1]data!AA168*(_xlfn.XLOOKUP([1]data!$C168,[2]data!$B$2:$B$218,[2]data!Z$2:Z$218)/100)</f>
        <v>0.58729325071999927</v>
      </c>
      <c r="AE167">
        <f>[1]data!AB168*(_xlfn.XLOOKUP([1]data!$C168,[2]data!$B$2:$B$218,[2]data!AA$2:AA$218)/100)</f>
        <v>0.60358999134999924</v>
      </c>
      <c r="AF167">
        <f>[1]data!AC168*(_xlfn.XLOOKUP([1]data!$C168,[2]data!$B$2:$B$218,[2]data!AB$2:AB$218)/100)</f>
        <v>0.61742725303999924</v>
      </c>
      <c r="AG167">
        <f>[1]data!AD168*(_xlfn.XLOOKUP([1]data!$C168,[2]data!$B$2:$B$218,[2]data!AC$2:AC$218)/100)</f>
        <v>0.62921540449999991</v>
      </c>
      <c r="AH167">
        <f>[1]data!AE168*(_xlfn.XLOOKUP([1]data!$C168,[2]data!$B$2:$B$218,[2]data!AD$2:AD$218)/100)</f>
        <v>0.63902198154000001</v>
      </c>
      <c r="AI167">
        <f>[1]data!AF168*(_xlfn.XLOOKUP([1]data!$C168,[2]data!$B$2:$B$218,[2]data!AE$2:AE$218)/100)</f>
        <v>0.64670634586999998</v>
      </c>
      <c r="AJ167">
        <f>[1]data!AG168*(_xlfn.XLOOKUP([1]data!$C168,[2]data!$B$2:$B$218,[2]data!AF$2:AF$218)/100)</f>
        <v>0.65256259705000008</v>
      </c>
      <c r="AK167">
        <f>[1]data!AH168*(_xlfn.XLOOKUP([1]data!$C168,[2]data!$B$2:$B$218,[2]data!AG$2:AG$218)/100)</f>
        <v>0.65622192491999998</v>
      </c>
      <c r="AL167">
        <f>[1]data!AI168*(_xlfn.XLOOKUP([1]data!$C168,[2]data!$B$2:$B$218,[2]data!AH$2:AH$218)/100)</f>
        <v>0.65815251391999918</v>
      </c>
      <c r="AM167">
        <f>[1]data!AJ168*(_xlfn.XLOOKUP([1]data!$C168,[2]data!$B$2:$B$218,[2]data!AI$2:AI$218)/100)</f>
        <v>0.65840224716000095</v>
      </c>
    </row>
    <row r="168" spans="1:39" x14ac:dyDescent="0.25">
      <c r="A168" t="s">
        <v>30</v>
      </c>
      <c r="B168" t="s">
        <v>31</v>
      </c>
      <c r="C168" t="s">
        <v>199</v>
      </c>
      <c r="D168" t="s">
        <v>267</v>
      </c>
      <c r="E168" t="str">
        <f>_xlfn.XLOOKUP(D168,[6]Feuil1!$C$2:$C$248,[6]Feuil1!$B$2:$B$248)</f>
        <v>SK</v>
      </c>
      <c r="F168" t="s">
        <v>33</v>
      </c>
      <c r="G168" t="str">
        <f>_xlfn.XLOOKUP(C168,[3]Sheet1!$B$2:$B$172,[3]Sheet1!$D$2:$D$172)</f>
        <v>Central Europe</v>
      </c>
      <c r="H168" t="s">
        <v>34</v>
      </c>
      <c r="I168">
        <f>[1]data!F169*(_xlfn.XLOOKUP([1]data!$C169,[2]data!$B$2:$B$218,[2]data!E$2:E$218)/100)</f>
        <v>1.0315158</v>
      </c>
      <c r="J168">
        <f>[1]data!G169*(_xlfn.XLOOKUP([1]data!$C169,[2]data!$B$2:$B$218,[2]data!F$2:F$218)/100)</f>
        <v>1.192319103</v>
      </c>
      <c r="K168">
        <f>[1]data!H169*(_xlfn.XLOOKUP([1]data!$C169,[2]data!$B$2:$B$218,[2]data!G$2:G$218)/100)</f>
        <v>1.3713754299999998</v>
      </c>
      <c r="L168">
        <f>[1]data!I169*(_xlfn.XLOOKUP([1]data!$C169,[2]data!$B$2:$B$218,[2]data!H$2:H$218)/100)</f>
        <v>1.6073747200000001</v>
      </c>
      <c r="M168">
        <f>[1]data!J169*(_xlfn.XLOOKUP([1]data!$C169,[2]data!$B$2:$B$218,[2]data!I$2:I$218)/100)</f>
        <v>1.8521916389999999</v>
      </c>
      <c r="N168">
        <f>[1]data!K169*(_xlfn.XLOOKUP([1]data!$C169,[2]data!$B$2:$B$218,[2]data!J$2:J$218)/100)</f>
        <v>2.1820611250000002</v>
      </c>
      <c r="O168">
        <f>[1]data!L169*(_xlfn.XLOOKUP([1]data!$C169,[2]data!$B$2:$B$218,[2]data!K$2:K$218)/100)</f>
        <v>2.5566050759999999</v>
      </c>
      <c r="P168">
        <f>[1]data!M169*(_xlfn.XLOOKUP([1]data!$C169,[2]data!$B$2:$B$218,[2]data!L$2:L$218)/100)</f>
        <v>2.781093598</v>
      </c>
      <c r="Q168">
        <f>[1]data!N169*(_xlfn.XLOOKUP([1]data!$C169,[2]data!$B$2:$B$218,[2]data!M$2:M$218)/100)</f>
        <v>2.9684647999999996</v>
      </c>
      <c r="R168">
        <f>[1]data!O169*(_xlfn.XLOOKUP([1]data!$C169,[2]data!$B$2:$B$218,[2]data!N$2:N$218)/100)</f>
        <v>3.0204476250000001</v>
      </c>
      <c r="S168">
        <f>[1]data!P169*(_xlfn.XLOOKUP([1]data!$C169,[2]data!$B$2:$B$218,[2]data!O$2:O$218)/100)</f>
        <v>3.0214401360000003</v>
      </c>
      <c r="T168">
        <f>[1]data!Q169*(_xlfn.XLOOKUP([1]data!$C169,[2]data!$B$2:$B$218,[2]data!P$2:P$218)/100)</f>
        <v>2.9889236720000003</v>
      </c>
      <c r="U168">
        <f>[1]data!R169*(_xlfn.XLOOKUP([1]data!$C169,[2]data!$B$2:$B$218,[2]data!Q$2:Q$218)/100)</f>
        <v>2.9502970120000001</v>
      </c>
      <c r="V168">
        <f>[1]data!S169*(_xlfn.XLOOKUP([1]data!$C169,[2]data!$B$2:$B$218,[2]data!R$2:R$218)/100)</f>
        <v>2.9225226800000002</v>
      </c>
      <c r="W168">
        <f>[1]data!T169*(_xlfn.XLOOKUP([1]data!$C169,[2]data!$B$2:$B$218,[2]data!S$2:S$218)/100)</f>
        <v>2.9361575959999997</v>
      </c>
      <c r="X168">
        <f>[1]data!U169*(_xlfn.XLOOKUP([1]data!$C169,[2]data!$B$2:$B$218,[2]data!T$2:T$218)/100)</f>
        <v>3.0838699690000002</v>
      </c>
      <c r="Y168">
        <f>[1]data!V169*(_xlfn.XLOOKUP([1]data!$C169,[2]data!$B$2:$B$218,[2]data!U$2:U$218)/100)</f>
        <v>3.1810691893999996</v>
      </c>
      <c r="Z168">
        <f>[1]data!W169*(_xlfn.XLOOKUP([1]data!$C169,[2]data!$B$2:$B$218,[2]data!V$2:V$218)/100)</f>
        <v>3.2586693233500061</v>
      </c>
      <c r="AA168">
        <f>[1]data!X169*(_xlfn.XLOOKUP([1]data!$C169,[2]data!$B$2:$B$218,[2]data!W$2:W$218)/100)</f>
        <v>3.3203863360400003</v>
      </c>
      <c r="AB168">
        <f>[1]data!Y169*(_xlfn.XLOOKUP([1]data!$C169,[2]data!$B$2:$B$218,[2]data!X$2:X$218)/100)</f>
        <v>3.3731021934999994</v>
      </c>
      <c r="AC168">
        <f>[1]data!Z169*(_xlfn.XLOOKUP([1]data!$C169,[2]data!$B$2:$B$218,[2]data!Y$2:Y$218)/100)</f>
        <v>3.4198834947900068</v>
      </c>
      <c r="AD168">
        <f>[1]data!AA169*(_xlfn.XLOOKUP([1]data!$C169,[2]data!$B$2:$B$218,[2]data!Z$2:Z$218)/100)</f>
        <v>3.4585952761199992</v>
      </c>
      <c r="AE168">
        <f>[1]data!AB169*(_xlfn.XLOOKUP([1]data!$C169,[2]data!$B$2:$B$218,[2]data!AA$2:AA$218)/100)</f>
        <v>3.4851360275400003</v>
      </c>
      <c r="AF168">
        <f>[1]data!AC169*(_xlfn.XLOOKUP([1]data!$C169,[2]data!$B$2:$B$218,[2]data!AB$2:AB$218)/100)</f>
        <v>3.4956166955000074</v>
      </c>
      <c r="AG168">
        <f>[1]data!AD169*(_xlfn.XLOOKUP([1]data!$C169,[2]data!$B$2:$B$218,[2]data!AC$2:AC$218)/100)</f>
        <v>3.4911108495000005</v>
      </c>
      <c r="AH168">
        <f>[1]data!AE169*(_xlfn.XLOOKUP([1]data!$C169,[2]data!$B$2:$B$218,[2]data!AD$2:AD$218)/100)</f>
        <v>3.4758135994999999</v>
      </c>
      <c r="AI168">
        <f>[1]data!AF169*(_xlfn.XLOOKUP([1]data!$C169,[2]data!$B$2:$B$218,[2]data!AE$2:AE$218)/100)</f>
        <v>3.4584490221599999</v>
      </c>
      <c r="AJ168">
        <f>[1]data!AG169*(_xlfn.XLOOKUP([1]data!$C169,[2]data!$B$2:$B$218,[2]data!AF$2:AF$218)/100)</f>
        <v>3.4439887444599995</v>
      </c>
      <c r="AK168">
        <f>[1]data!AH169*(_xlfn.XLOOKUP([1]data!$C169,[2]data!$B$2:$B$218,[2]data!AG$2:AG$218)/100)</f>
        <v>3.4343966035000006</v>
      </c>
      <c r="AL168">
        <f>[1]data!AI169*(_xlfn.XLOOKUP([1]data!$C169,[2]data!$B$2:$B$218,[2]data!AH$2:AH$218)/100)</f>
        <v>3.4288087075999996</v>
      </c>
      <c r="AM168">
        <f>[1]data!AJ169*(_xlfn.XLOOKUP([1]data!$C169,[2]data!$B$2:$B$218,[2]data!AI$2:AI$218)/100)</f>
        <v>3.4233485439400004</v>
      </c>
    </row>
    <row r="169" spans="1:39" x14ac:dyDescent="0.25">
      <c r="A169" t="s">
        <v>30</v>
      </c>
      <c r="B169" t="s">
        <v>31</v>
      </c>
      <c r="C169" t="s">
        <v>200</v>
      </c>
      <c r="D169" t="s">
        <v>423</v>
      </c>
      <c r="E169" t="str">
        <f>_xlfn.XLOOKUP(D169,[6]Feuil1!$C$2:$C$248,[6]Feuil1!$B$2:$B$248)</f>
        <v>SI</v>
      </c>
      <c r="F169" t="s">
        <v>33</v>
      </c>
      <c r="G169" t="str">
        <f>_xlfn.XLOOKUP(C169,[3]Sheet1!$B$2:$B$172,[3]Sheet1!$D$2:$D$172)</f>
        <v>Central Europe</v>
      </c>
      <c r="H169" t="s">
        <v>34</v>
      </c>
      <c r="I169">
        <f>[1]data!F170*(_xlfn.XLOOKUP([1]data!$C170,[2]data!$B$2:$B$218,[2]data!E$2:E$218)/100)</f>
        <v>0.28621373999999999</v>
      </c>
      <c r="J169">
        <f>[1]data!G170*(_xlfn.XLOOKUP([1]data!$C170,[2]data!$B$2:$B$218,[2]data!F$2:F$218)/100)</f>
        <v>0.36023703800000006</v>
      </c>
      <c r="K169">
        <f>[1]data!H170*(_xlfn.XLOOKUP([1]data!$C170,[2]data!$B$2:$B$218,[2]data!G$2:G$218)/100)</f>
        <v>0.44906525999999997</v>
      </c>
      <c r="L169">
        <f>[1]data!I170*(_xlfn.XLOOKUP([1]data!$C170,[2]data!$B$2:$B$218,[2]data!H$2:H$218)/100)</f>
        <v>0.54018997499999999</v>
      </c>
      <c r="M169">
        <f>[1]data!J170*(_xlfn.XLOOKUP([1]data!$C170,[2]data!$B$2:$B$218,[2]data!I$2:I$218)/100)</f>
        <v>0.6418878400000001</v>
      </c>
      <c r="N169">
        <f>[1]data!K170*(_xlfn.XLOOKUP([1]data!$C170,[2]data!$B$2:$B$218,[2]data!J$2:J$218)/100)</f>
        <v>0.76697444800000003</v>
      </c>
      <c r="O169">
        <f>[1]data!L170*(_xlfn.XLOOKUP([1]data!$C170,[2]data!$B$2:$B$218,[2]data!K$2:K$218)/100)</f>
        <v>0.90877151999999994</v>
      </c>
      <c r="P169">
        <f>[1]data!M170*(_xlfn.XLOOKUP([1]data!$C170,[2]data!$B$2:$B$218,[2]data!L$2:L$218)/100)</f>
        <v>0.96668068799999995</v>
      </c>
      <c r="Q169">
        <f>[1]data!N170*(_xlfn.XLOOKUP([1]data!$C170,[2]data!$B$2:$B$218,[2]data!M$2:M$218)/100)</f>
        <v>0.99960638400000001</v>
      </c>
      <c r="R169">
        <f>[1]data!O170*(_xlfn.XLOOKUP([1]data!$C170,[2]data!$B$2:$B$218,[2]data!N$2:N$218)/100)</f>
        <v>1.0076058960000001</v>
      </c>
      <c r="S169">
        <f>[1]data!P170*(_xlfn.XLOOKUP([1]data!$C170,[2]data!$B$2:$B$218,[2]data!O$2:O$218)/100)</f>
        <v>1.0084729640000001</v>
      </c>
      <c r="T169">
        <f>[1]data!Q170*(_xlfn.XLOOKUP([1]data!$C170,[2]data!$B$2:$B$218,[2]data!P$2:P$218)/100)</f>
        <v>1.0303476250000001</v>
      </c>
      <c r="U169">
        <f>[1]data!R170*(_xlfn.XLOOKUP([1]data!$C170,[2]data!$B$2:$B$218,[2]data!Q$2:Q$218)/100)</f>
        <v>1.0810303570000002</v>
      </c>
      <c r="V169">
        <f>[1]data!S170*(_xlfn.XLOOKUP([1]data!$C170,[2]data!$B$2:$B$218,[2]data!R$2:R$218)/100)</f>
        <v>1.1169799979999999</v>
      </c>
      <c r="W169">
        <f>[1]data!T170*(_xlfn.XLOOKUP([1]data!$C170,[2]data!$B$2:$B$218,[2]data!S$2:S$218)/100)</f>
        <v>1.1660570560000001</v>
      </c>
      <c r="X169">
        <f>[1]data!U170*(_xlfn.XLOOKUP([1]data!$C170,[2]data!$B$2:$B$218,[2]data!T$2:T$218)/100)</f>
        <v>1.21264295832</v>
      </c>
      <c r="Y169">
        <f>[1]data!V170*(_xlfn.XLOOKUP([1]data!$C170,[2]data!$B$2:$B$218,[2]data!U$2:U$218)/100)</f>
        <v>1.2516008356200001</v>
      </c>
      <c r="Z169">
        <f>[1]data!W170*(_xlfn.XLOOKUP([1]data!$C170,[2]data!$B$2:$B$218,[2]data!V$2:V$218)/100)</f>
        <v>1.2862335705600001</v>
      </c>
      <c r="AA169">
        <f>[1]data!X170*(_xlfn.XLOOKUP([1]data!$C170,[2]data!$B$2:$B$218,[2]data!W$2:W$218)/100)</f>
        <v>1.3181573357800001</v>
      </c>
      <c r="AB169">
        <f>[1]data!Y170*(_xlfn.XLOOKUP([1]data!$C170,[2]data!$B$2:$B$218,[2]data!X$2:X$218)/100)</f>
        <v>1.3477327926299991</v>
      </c>
      <c r="AC169">
        <f>[1]data!Z170*(_xlfn.XLOOKUP([1]data!$C170,[2]data!$B$2:$B$218,[2]data!Y$2:Y$218)/100)</f>
        <v>1.3737500306400001</v>
      </c>
      <c r="AD169">
        <f>[1]data!AA170*(_xlfn.XLOOKUP([1]data!$C170,[2]data!$B$2:$B$218,[2]data!Z$2:Z$218)/100)</f>
        <v>1.3950421702099998</v>
      </c>
      <c r="AE169">
        <f>[1]data!AB170*(_xlfn.XLOOKUP([1]data!$C170,[2]data!$B$2:$B$218,[2]data!AA$2:AA$218)/100)</f>
        <v>1.4122659097500001</v>
      </c>
      <c r="AF169">
        <f>[1]data!AC170*(_xlfn.XLOOKUP([1]data!$C170,[2]data!$B$2:$B$218,[2]data!AB$2:AB$218)/100)</f>
        <v>1.4251035491299999</v>
      </c>
      <c r="AG169">
        <f>[1]data!AD170*(_xlfn.XLOOKUP([1]data!$C170,[2]data!$B$2:$B$218,[2]data!AC$2:AC$218)/100)</f>
        <v>1.4349737222099999</v>
      </c>
      <c r="AH169">
        <f>[1]data!AE170*(_xlfn.XLOOKUP([1]data!$C170,[2]data!$B$2:$B$218,[2]data!AD$2:AD$218)/100)</f>
        <v>1.44250326432</v>
      </c>
      <c r="AI169">
        <f>[1]data!AF170*(_xlfn.XLOOKUP([1]data!$C170,[2]data!$B$2:$B$218,[2]data!AE$2:AE$218)/100)</f>
        <v>1.4480303636800003</v>
      </c>
      <c r="AJ169">
        <f>[1]data!AG170*(_xlfn.XLOOKUP([1]data!$C170,[2]data!$B$2:$B$218,[2]data!AF$2:AF$218)/100)</f>
        <v>1.4517803819999999</v>
      </c>
      <c r="AK169">
        <f>[1]data!AH170*(_xlfn.XLOOKUP([1]data!$C170,[2]data!$B$2:$B$218,[2]data!AG$2:AG$218)/100)</f>
        <v>1.4538301799399997</v>
      </c>
      <c r="AL169">
        <f>[1]data!AI170*(_xlfn.XLOOKUP([1]data!$C170,[2]data!$B$2:$B$218,[2]data!AH$2:AH$218)/100)</f>
        <v>1.4539608564000002</v>
      </c>
      <c r="AM169">
        <f>[1]data!AJ170*(_xlfn.XLOOKUP([1]data!$C170,[2]data!$B$2:$B$218,[2]data!AI$2:AI$218)/100)</f>
        <v>1.4510630045699997</v>
      </c>
    </row>
    <row r="170" spans="1:39" x14ac:dyDescent="0.25">
      <c r="A170" t="s">
        <v>30</v>
      </c>
      <c r="B170" t="s">
        <v>31</v>
      </c>
      <c r="C170" t="s">
        <v>201</v>
      </c>
      <c r="D170" t="s">
        <v>424</v>
      </c>
      <c r="E170" t="str">
        <f>_xlfn.XLOOKUP(D170,[6]Feuil1!$C$2:$C$248,[6]Feuil1!$B$2:$B$248)</f>
        <v>SE</v>
      </c>
      <c r="F170" t="s">
        <v>33</v>
      </c>
      <c r="G170" t="str">
        <f>_xlfn.XLOOKUP(C170,[3]Sheet1!$B$2:$B$172,[3]Sheet1!$D$2:$D$172)</f>
        <v>Western Europe</v>
      </c>
      <c r="H170" t="s">
        <v>34</v>
      </c>
      <c r="I170">
        <f>[1]data!F171*(_xlfn.XLOOKUP([1]data!$C171,[2]data!$B$2:$B$218,[2]data!E$2:E$218)/100)</f>
        <v>4.5899012069999996</v>
      </c>
      <c r="J170">
        <f>[1]data!G171*(_xlfn.XLOOKUP([1]data!$C171,[2]data!$B$2:$B$218,[2]data!F$2:F$218)/100)</f>
        <v>5.0175701729999993</v>
      </c>
      <c r="K170">
        <f>[1]data!H171*(_xlfn.XLOOKUP([1]data!$C171,[2]data!$B$2:$B$218,[2]data!G$2:G$218)/100)</f>
        <v>5.4175131999999993</v>
      </c>
      <c r="L170">
        <f>[1]data!I171*(_xlfn.XLOOKUP([1]data!$C171,[2]data!$B$2:$B$218,[2]data!H$2:H$218)/100)</f>
        <v>5.9550428609999999</v>
      </c>
      <c r="M170">
        <f>[1]data!J171*(_xlfn.XLOOKUP([1]data!$C171,[2]data!$B$2:$B$218,[2]data!I$2:I$218)/100)</f>
        <v>6.4837065600000008</v>
      </c>
      <c r="N170">
        <f>[1]data!K171*(_xlfn.XLOOKUP([1]data!$C171,[2]data!$B$2:$B$218,[2]data!J$2:J$218)/100)</f>
        <v>6.7905375230000011</v>
      </c>
      <c r="O170">
        <f>[1]data!L171*(_xlfn.XLOOKUP([1]data!$C171,[2]data!$B$2:$B$218,[2]data!K$2:K$218)/100)</f>
        <v>6.9004004609999985</v>
      </c>
      <c r="P170">
        <f>[1]data!M171*(_xlfn.XLOOKUP([1]data!$C171,[2]data!$B$2:$B$218,[2]data!L$2:L$218)/100)</f>
        <v>6.9639719609999995</v>
      </c>
      <c r="Q170">
        <f>[1]data!N171*(_xlfn.XLOOKUP([1]data!$C171,[2]data!$B$2:$B$218,[2]data!M$2:M$218)/100)</f>
        <v>7.0848492209999998</v>
      </c>
      <c r="R170">
        <f>[1]data!O171*(_xlfn.XLOOKUP([1]data!$C171,[2]data!$B$2:$B$218,[2]data!N$2:N$218)/100)</f>
        <v>7.32699853</v>
      </c>
      <c r="S170">
        <f>[1]data!P171*(_xlfn.XLOOKUP([1]data!$C171,[2]data!$B$2:$B$218,[2]data!O$2:O$218)/100)</f>
        <v>7.4413861199999998</v>
      </c>
      <c r="T170">
        <f>[1]data!Q171*(_xlfn.XLOOKUP([1]data!$C171,[2]data!$B$2:$B$218,[2]data!P$2:P$218)/100)</f>
        <v>7.6100417189999998</v>
      </c>
      <c r="U170">
        <f>[1]data!R171*(_xlfn.XLOOKUP([1]data!$C171,[2]data!$B$2:$B$218,[2]data!Q$2:Q$218)/100)</f>
        <v>7.9479434339999999</v>
      </c>
      <c r="V170">
        <f>[1]data!S171*(_xlfn.XLOOKUP([1]data!$C171,[2]data!$B$2:$B$218,[2]data!R$2:R$218)/100)</f>
        <v>8.4853070160000001</v>
      </c>
      <c r="W170">
        <f>[1]data!T171*(_xlfn.XLOOKUP([1]data!$C171,[2]data!$B$2:$B$218,[2]data!S$2:S$218)/100)</f>
        <v>9.0828443200000013</v>
      </c>
      <c r="X170">
        <f>[1]data!U171*(_xlfn.XLOOKUP([1]data!$C171,[2]data!$B$2:$B$218,[2]data!T$2:T$218)/100)</f>
        <v>9.376528446</v>
      </c>
      <c r="Y170">
        <f>[1]data!V171*(_xlfn.XLOOKUP([1]data!$C171,[2]data!$B$2:$B$218,[2]data!U$2:U$218)/100)</f>
        <v>9.6300061536000001</v>
      </c>
      <c r="Z170">
        <f>[1]data!W171*(_xlfn.XLOOKUP([1]data!$C171,[2]data!$B$2:$B$218,[2]data!V$2:V$218)/100)</f>
        <v>9.8760550587500013</v>
      </c>
      <c r="AA170">
        <f>[1]data!X171*(_xlfn.XLOOKUP([1]data!$C171,[2]data!$B$2:$B$218,[2]data!W$2:W$218)/100)</f>
        <v>10.138342425959999</v>
      </c>
      <c r="AB170">
        <f>[1]data!Y171*(_xlfn.XLOOKUP([1]data!$C171,[2]data!$B$2:$B$218,[2]data!X$2:X$218)/100)</f>
        <v>10.43365734336</v>
      </c>
      <c r="AC170">
        <f>[1]data!Z171*(_xlfn.XLOOKUP([1]data!$C171,[2]data!$B$2:$B$218,[2]data!Y$2:Y$218)/100)</f>
        <v>10.764130153199998</v>
      </c>
      <c r="AD170">
        <f>[1]data!AA171*(_xlfn.XLOOKUP([1]data!$C171,[2]data!$B$2:$B$218,[2]data!Z$2:Z$218)/100)</f>
        <v>11.078174043599999</v>
      </c>
      <c r="AE170">
        <f>[1]data!AB171*(_xlfn.XLOOKUP([1]data!$C171,[2]data!$B$2:$B$218,[2]data!AA$2:AA$218)/100)</f>
        <v>11.369389930500001</v>
      </c>
      <c r="AF170">
        <f>[1]data!AC171*(_xlfn.XLOOKUP([1]data!$C171,[2]data!$B$2:$B$218,[2]data!AB$2:AB$218)/100)</f>
        <v>11.632341241900003</v>
      </c>
      <c r="AG170">
        <f>[1]data!AD171*(_xlfn.XLOOKUP([1]data!$C171,[2]data!$B$2:$B$218,[2]data!AC$2:AC$218)/100)</f>
        <v>11.883650219110002</v>
      </c>
      <c r="AH170">
        <f>[1]data!AE171*(_xlfn.XLOOKUP([1]data!$C171,[2]data!$B$2:$B$218,[2]data!AD$2:AD$218)/100)</f>
        <v>12.126754698320001</v>
      </c>
      <c r="AI170">
        <f>[1]data!AF171*(_xlfn.XLOOKUP([1]data!$C171,[2]data!$B$2:$B$218,[2]data!AE$2:AE$218)/100)</f>
        <v>12.345867077549999</v>
      </c>
      <c r="AJ170">
        <f>[1]data!AG171*(_xlfn.XLOOKUP([1]data!$C171,[2]data!$B$2:$B$218,[2]data!AF$2:AF$218)/100)</f>
        <v>12.518922144899999</v>
      </c>
      <c r="AK170">
        <f>[1]data!AH171*(_xlfn.XLOOKUP([1]data!$C171,[2]data!$B$2:$B$218,[2]data!AG$2:AG$218)/100)</f>
        <v>12.64271483277</v>
      </c>
      <c r="AL170">
        <f>[1]data!AI171*(_xlfn.XLOOKUP([1]data!$C171,[2]data!$B$2:$B$218,[2]data!AH$2:AH$218)/100)</f>
        <v>12.73914746346</v>
      </c>
      <c r="AM170">
        <f>[1]data!AJ171*(_xlfn.XLOOKUP([1]data!$C171,[2]data!$B$2:$B$218,[2]data!AI$2:AI$218)/100)</f>
        <v>12.825673576100002</v>
      </c>
    </row>
    <row r="171" spans="1:39" x14ac:dyDescent="0.25">
      <c r="A171" t="s">
        <v>30</v>
      </c>
      <c r="B171" t="s">
        <v>31</v>
      </c>
      <c r="C171" t="s">
        <v>202</v>
      </c>
      <c r="D171" t="s">
        <v>425</v>
      </c>
      <c r="E171" t="str">
        <f>_xlfn.XLOOKUP(D171,[6]Feuil1!$C$2:$C$248,[6]Feuil1!$B$2:$B$248)</f>
        <v>SZ</v>
      </c>
      <c r="F171" t="s">
        <v>33</v>
      </c>
      <c r="G171" t="s">
        <v>253</v>
      </c>
      <c r="H171" t="s">
        <v>34</v>
      </c>
      <c r="I171">
        <f>[1]data!F172*(_xlfn.XLOOKUP([1]data!$C172,[2]data!$B$2:$B$218,[2]data!E$2:E$218)/100)</f>
        <v>5.9004220000000015E-3</v>
      </c>
      <c r="J171">
        <f>[1]data!G172*(_xlfn.XLOOKUP([1]data!$C172,[2]data!$B$2:$B$218,[2]data!F$2:F$218)/100)</f>
        <v>7.5855250000000001E-3</v>
      </c>
      <c r="K171">
        <f>[1]data!H172*(_xlfn.XLOOKUP([1]data!$C172,[2]data!$B$2:$B$218,[2]data!G$2:G$218)/100)</f>
        <v>1.3304732999999999E-2</v>
      </c>
      <c r="L171">
        <f>[1]data!I172*(_xlfn.XLOOKUP([1]data!$C172,[2]data!$B$2:$B$218,[2]data!H$2:H$218)/100)</f>
        <v>2.4907155E-2</v>
      </c>
      <c r="M171">
        <f>[1]data!J172*(_xlfn.XLOOKUP([1]data!$C172,[2]data!$B$2:$B$218,[2]data!I$2:I$218)/100)</f>
        <v>4.2387738999999994E-2</v>
      </c>
      <c r="N171">
        <f>[1]data!K172*(_xlfn.XLOOKUP([1]data!$C172,[2]data!$B$2:$B$218,[2]data!J$2:J$218)/100)</f>
        <v>7.0259560000000013E-2</v>
      </c>
      <c r="O171">
        <f>[1]data!L172*(_xlfn.XLOOKUP([1]data!$C172,[2]data!$B$2:$B$218,[2]data!K$2:K$218)/100)</f>
        <v>9.7130385E-2</v>
      </c>
      <c r="P171">
        <f>[1]data!M172*(_xlfn.XLOOKUP([1]data!$C172,[2]data!$B$2:$B$218,[2]data!L$2:L$218)/100)</f>
        <v>0.12599787900000001</v>
      </c>
      <c r="Q171">
        <f>[1]data!N172*(_xlfn.XLOOKUP([1]data!$C172,[2]data!$B$2:$B$218,[2]data!M$2:M$218)/100)</f>
        <v>0.16894471999999999</v>
      </c>
      <c r="R171">
        <f>[1]data!O172*(_xlfn.XLOOKUP([1]data!$C172,[2]data!$B$2:$B$218,[2]data!N$2:N$218)/100)</f>
        <v>0.21032066600000002</v>
      </c>
      <c r="S171">
        <f>[1]data!P172*(_xlfn.XLOOKUP([1]data!$C172,[2]data!$B$2:$B$218,[2]data!O$2:O$218)/100)</f>
        <v>0.23261189399999996</v>
      </c>
      <c r="T171">
        <f>[1]data!Q172*(_xlfn.XLOOKUP([1]data!$C172,[2]data!$B$2:$B$218,[2]data!P$2:P$218)/100)</f>
        <v>0.23518638</v>
      </c>
      <c r="U171">
        <f>[1]data!R172*(_xlfn.XLOOKUP([1]data!$C172,[2]data!$B$2:$B$218,[2]data!Q$2:Q$218)/100)</f>
        <v>0.24689767500000001</v>
      </c>
      <c r="V171">
        <f>[1]data!S172*(_xlfn.XLOOKUP([1]data!$C172,[2]data!$B$2:$B$218,[2]data!R$2:R$218)/100)</f>
        <v>0.263232682</v>
      </c>
      <c r="W171">
        <f>[1]data!T172*(_xlfn.XLOOKUP([1]data!$C172,[2]data!$B$2:$B$218,[2]data!S$2:S$218)/100)</f>
        <v>0.28416123999999998</v>
      </c>
      <c r="X171">
        <f>[1]data!U172*(_xlfn.XLOOKUP([1]data!$C172,[2]data!$B$2:$B$218,[2]data!T$2:T$218)/100)</f>
        <v>0.3260993002</v>
      </c>
      <c r="Y171">
        <f>[1]data!V172*(_xlfn.XLOOKUP([1]data!$C172,[2]data!$B$2:$B$218,[2]data!U$2:U$218)/100)</f>
        <v>0.37144238336000002</v>
      </c>
      <c r="Z171">
        <f>[1]data!W172*(_xlfn.XLOOKUP([1]data!$C172,[2]data!$B$2:$B$218,[2]data!V$2:V$218)/100)</f>
        <v>0.41791346491999998</v>
      </c>
      <c r="AA171">
        <f>[1]data!X172*(_xlfn.XLOOKUP([1]data!$C172,[2]data!$B$2:$B$218,[2]data!W$2:W$218)/100)</f>
        <v>0.46421619971999994</v>
      </c>
      <c r="AB171">
        <f>[1]data!Y172*(_xlfn.XLOOKUP([1]data!$C172,[2]data!$B$2:$B$218,[2]data!X$2:X$218)/100)</f>
        <v>0.50927519534999999</v>
      </c>
      <c r="AC171">
        <f>[1]data!Z172*(_xlfn.XLOOKUP([1]data!$C172,[2]data!$B$2:$B$218,[2]data!Y$2:Y$218)/100)</f>
        <v>0.55115045780000005</v>
      </c>
      <c r="AD171">
        <f>[1]data!AA172*(_xlfn.XLOOKUP([1]data!$C172,[2]data!$B$2:$B$218,[2]data!Z$2:Z$218)/100)</f>
        <v>0.58828839300000002</v>
      </c>
      <c r="AE171">
        <f>[1]data!AB172*(_xlfn.XLOOKUP([1]data!$C172,[2]data!$B$2:$B$218,[2]data!AA$2:AA$218)/100)</f>
        <v>0.61993213603999997</v>
      </c>
      <c r="AF171">
        <f>[1]data!AC172*(_xlfn.XLOOKUP([1]data!$C172,[2]data!$B$2:$B$218,[2]data!AB$2:AB$218)/100)</f>
        <v>0.64827300384000008</v>
      </c>
      <c r="AG171">
        <f>[1]data!AD172*(_xlfn.XLOOKUP([1]data!$C172,[2]data!$B$2:$B$218,[2]data!AC$2:AC$218)/100)</f>
        <v>0.67319358551999964</v>
      </c>
      <c r="AH171">
        <f>[1]data!AE172*(_xlfn.XLOOKUP([1]data!$C172,[2]data!$B$2:$B$218,[2]data!AD$2:AD$218)/100)</f>
        <v>0.69447214695000004</v>
      </c>
      <c r="AI171">
        <f>[1]data!AF172*(_xlfn.XLOOKUP([1]data!$C172,[2]data!$B$2:$B$218,[2]data!AE$2:AE$218)/100)</f>
        <v>0.71206307172000005</v>
      </c>
      <c r="AJ171">
        <f>[1]data!AG172*(_xlfn.XLOOKUP([1]data!$C172,[2]data!$B$2:$B$218,[2]data!AF$2:AF$218)/100)</f>
        <v>0.72604382354000008</v>
      </c>
      <c r="AK171">
        <f>[1]data!AH172*(_xlfn.XLOOKUP([1]data!$C172,[2]data!$B$2:$B$218,[2]data!AG$2:AG$218)/100)</f>
        <v>0.73685025215999989</v>
      </c>
      <c r="AL171">
        <f>[1]data!AI172*(_xlfn.XLOOKUP([1]data!$C172,[2]data!$B$2:$B$218,[2]data!AH$2:AH$218)/100)</f>
        <v>0.74490190993999994</v>
      </c>
      <c r="AM171">
        <f>[1]data!AJ172*(_xlfn.XLOOKUP([1]data!$C172,[2]data!$B$2:$B$218,[2]data!AI$2:AI$218)/100)</f>
        <v>0.75126641790000004</v>
      </c>
    </row>
    <row r="172" spans="1:39" x14ac:dyDescent="0.25">
      <c r="A172" t="s">
        <v>30</v>
      </c>
      <c r="B172" t="s">
        <v>31</v>
      </c>
      <c r="C172" t="s">
        <v>203</v>
      </c>
      <c r="D172" t="s">
        <v>426</v>
      </c>
      <c r="E172" t="str">
        <f>_xlfn.XLOOKUP(D172,[6]Feuil1!$C$2:$C$248,[6]Feuil1!$B$2:$B$248)</f>
        <v>SC</v>
      </c>
      <c r="F172" t="s">
        <v>33</v>
      </c>
      <c r="G172" t="s">
        <v>246</v>
      </c>
      <c r="H172" t="s">
        <v>34</v>
      </c>
      <c r="I172">
        <f>[1]data!F173*(_xlfn.XLOOKUP([1]data!$C173,[2]data!$B$2:$B$218,[2]data!E$2:E$218)/100)</f>
        <v>1.0422411999999997E-2</v>
      </c>
      <c r="J172">
        <f>[1]data!G173*(_xlfn.XLOOKUP([1]data!$C173,[2]data!$B$2:$B$218,[2]data!F$2:F$218)/100)</f>
        <v>1.0871575000000001E-2</v>
      </c>
      <c r="K172">
        <f>[1]data!H173*(_xlfn.XLOOKUP([1]data!$C173,[2]data!$B$2:$B$218,[2]data!G$2:G$218)/100)</f>
        <v>1.1839256999999999E-2</v>
      </c>
      <c r="L172">
        <f>[1]data!I173*(_xlfn.XLOOKUP([1]data!$C173,[2]data!$B$2:$B$218,[2]data!H$2:H$218)/100)</f>
        <v>1.5744676999999999E-2</v>
      </c>
      <c r="M172">
        <f>[1]data!J173*(_xlfn.XLOOKUP([1]data!$C173,[2]data!$B$2:$B$218,[2]data!I$2:I$218)/100)</f>
        <v>2.1011167000000001E-2</v>
      </c>
      <c r="N172">
        <f>[1]data!K173*(_xlfn.XLOOKUP([1]data!$C173,[2]data!$B$2:$B$218,[2]data!J$2:J$218)/100)</f>
        <v>2.7900842999999998E-2</v>
      </c>
      <c r="O172">
        <f>[1]data!L173*(_xlfn.XLOOKUP([1]data!$C173,[2]data!$B$2:$B$218,[2]data!K$2:K$218)/100)</f>
        <v>3.2090734000000003E-2</v>
      </c>
      <c r="P172">
        <f>[1]data!M173*(_xlfn.XLOOKUP([1]data!$C173,[2]data!$B$2:$B$218,[2]data!L$2:L$218)/100)</f>
        <v>3.3328278999999995E-2</v>
      </c>
      <c r="Q172">
        <f>[1]data!N173*(_xlfn.XLOOKUP([1]data!$C173,[2]data!$B$2:$B$218,[2]data!M$2:M$218)/100)</f>
        <v>3.4865453000000005E-2</v>
      </c>
      <c r="R172">
        <f>[1]data!O173*(_xlfn.XLOOKUP([1]data!$C173,[2]data!$B$2:$B$218,[2]data!N$2:N$218)/100)</f>
        <v>3.6867679999999993E-2</v>
      </c>
      <c r="S172">
        <f>[1]data!P173*(_xlfn.XLOOKUP([1]data!$C173,[2]data!$B$2:$B$218,[2]data!O$2:O$218)/100)</f>
        <v>4.0038263999999997E-2</v>
      </c>
      <c r="T172">
        <f>[1]data!Q173*(_xlfn.XLOOKUP([1]data!$C173,[2]data!$B$2:$B$218,[2]data!P$2:P$218)/100)</f>
        <v>4.4083038999999997E-2</v>
      </c>
      <c r="U172">
        <f>[1]data!R173*(_xlfn.XLOOKUP([1]data!$C173,[2]data!$B$2:$B$218,[2]data!Q$2:Q$218)/100)</f>
        <v>4.8894221999999987E-2</v>
      </c>
      <c r="V172">
        <f>[1]data!S173*(_xlfn.XLOOKUP([1]data!$C173,[2]data!$B$2:$B$218,[2]data!R$2:R$218)/100)</f>
        <v>5.4636033999999993E-2</v>
      </c>
      <c r="W172">
        <f>[1]data!T173*(_xlfn.XLOOKUP([1]data!$C173,[2]data!$B$2:$B$218,[2]data!S$2:S$218)/100)</f>
        <v>6.0381324999999993E-2</v>
      </c>
      <c r="X172">
        <f>[1]data!U173*(_xlfn.XLOOKUP([1]data!$C173,[2]data!$B$2:$B$218,[2]data!T$2:T$218)/100)</f>
        <v>6.5207538000000009E-2</v>
      </c>
      <c r="Y172">
        <f>[1]data!V173*(_xlfn.XLOOKUP([1]data!$C173,[2]data!$B$2:$B$218,[2]data!U$2:U$218)/100)</f>
        <v>6.9831958699999988E-2</v>
      </c>
      <c r="Z172">
        <f>[1]data!W173*(_xlfn.XLOOKUP([1]data!$C173,[2]data!$B$2:$B$218,[2]data!V$2:V$218)/100)</f>
        <v>7.4078359600000004E-2</v>
      </c>
      <c r="AA172">
        <f>[1]data!X173*(_xlfn.XLOOKUP([1]data!$C173,[2]data!$B$2:$B$218,[2]data!W$2:W$218)/100)</f>
        <v>7.7852372399999994E-2</v>
      </c>
      <c r="AB172">
        <f>[1]data!Y173*(_xlfn.XLOOKUP([1]data!$C173,[2]data!$B$2:$B$218,[2]data!X$2:X$218)/100)</f>
        <v>8.1038878029999997E-2</v>
      </c>
      <c r="AC172">
        <f>[1]data!Z173*(_xlfn.XLOOKUP([1]data!$C173,[2]data!$B$2:$B$218,[2]data!Y$2:Y$218)/100)</f>
        <v>8.3670291899999999E-2</v>
      </c>
      <c r="AD172">
        <f>[1]data!AA173*(_xlfn.XLOOKUP([1]data!$C173,[2]data!$B$2:$B$218,[2]data!Z$2:Z$218)/100)</f>
        <v>8.5806354539999991E-2</v>
      </c>
      <c r="AE172">
        <f>[1]data!AB173*(_xlfn.XLOOKUP([1]data!$C173,[2]data!$B$2:$B$218,[2]data!AA$2:AA$218)/100)</f>
        <v>8.7495642169999985E-2</v>
      </c>
      <c r="AF172">
        <f>[1]data!AC173*(_xlfn.XLOOKUP([1]data!$C173,[2]data!$B$2:$B$218,[2]data!AB$2:AB$218)/100)</f>
        <v>8.8779979200000012E-2</v>
      </c>
      <c r="AG172">
        <f>[1]data!AD173*(_xlfn.XLOOKUP([1]data!$C173,[2]data!$B$2:$B$218,[2]data!AC$2:AC$218)/100)</f>
        <v>8.970720758999999E-2</v>
      </c>
      <c r="AH172">
        <f>[1]data!AE173*(_xlfn.XLOOKUP([1]data!$C173,[2]data!$B$2:$B$218,[2]data!AD$2:AD$218)/100)</f>
        <v>9.0336550500000001E-2</v>
      </c>
      <c r="AI172">
        <f>[1]data!AF173*(_xlfn.XLOOKUP([1]data!$C173,[2]data!$B$2:$B$218,[2]data!AE$2:AE$218)/100)</f>
        <v>9.069496094E-2</v>
      </c>
      <c r="AJ172">
        <f>[1]data!AG173*(_xlfn.XLOOKUP([1]data!$C173,[2]data!$B$2:$B$218,[2]data!AF$2:AF$218)/100)</f>
        <v>9.0820691640000006E-2</v>
      </c>
      <c r="AK172">
        <f>[1]data!AH173*(_xlfn.XLOOKUP([1]data!$C173,[2]data!$B$2:$B$218,[2]data!AG$2:AG$218)/100)</f>
        <v>9.065801892E-2</v>
      </c>
      <c r="AL172">
        <f>[1]data!AI173*(_xlfn.XLOOKUP([1]data!$C173,[2]data!$B$2:$B$218,[2]data!AH$2:AH$218)/100)</f>
        <v>9.0148308640000008E-2</v>
      </c>
      <c r="AM172">
        <f>[1]data!AJ173*(_xlfn.XLOOKUP([1]data!$C173,[2]data!$B$2:$B$218,[2]data!AI$2:AI$218)/100)</f>
        <v>8.9257351919999992E-2</v>
      </c>
    </row>
    <row r="173" spans="1:39" x14ac:dyDescent="0.25">
      <c r="A173" t="s">
        <v>30</v>
      </c>
      <c r="B173" t="s">
        <v>31</v>
      </c>
      <c r="C173" t="s">
        <v>204</v>
      </c>
      <c r="D173" t="s">
        <v>268</v>
      </c>
      <c r="E173" t="str">
        <f>_xlfn.XLOOKUP(D173,[6]Feuil1!$C$2:$C$248,[6]Feuil1!$B$2:$B$248)</f>
        <v>SY</v>
      </c>
      <c r="F173" t="s">
        <v>33</v>
      </c>
      <c r="G173" t="str">
        <f>_xlfn.XLOOKUP(C173,[3]Sheet1!$B$2:$B$172,[3]Sheet1!$D$2:$D$172)</f>
        <v>Middle East</v>
      </c>
      <c r="H173" t="s">
        <v>34</v>
      </c>
      <c r="I173">
        <f>[1]data!F174*(_xlfn.XLOOKUP([1]data!$C174,[2]data!$B$2:$B$218,[2]data!E$2:E$218)/100)</f>
        <v>1.1464943730000001</v>
      </c>
      <c r="J173">
        <f>[1]data!G174*(_xlfn.XLOOKUP([1]data!$C174,[2]data!$B$2:$B$218,[2]data!F$2:F$218)/100)</f>
        <v>1.3656386260000002</v>
      </c>
      <c r="K173">
        <f>[1]data!H174*(_xlfn.XLOOKUP([1]data!$C174,[2]data!$B$2:$B$218,[2]data!G$2:G$218)/100)</f>
        <v>1.6706953440000001</v>
      </c>
      <c r="L173">
        <f>[1]data!I174*(_xlfn.XLOOKUP([1]data!$C174,[2]data!$B$2:$B$218,[2]data!H$2:H$218)/100)</f>
        <v>2.1134447999999999</v>
      </c>
      <c r="M173">
        <f>[1]data!J174*(_xlfn.XLOOKUP([1]data!$C174,[2]data!$B$2:$B$218,[2]data!I$2:I$218)/100)</f>
        <v>2.6903138680000001</v>
      </c>
      <c r="N173">
        <f>[1]data!K174*(_xlfn.XLOOKUP([1]data!$C174,[2]data!$B$2:$B$218,[2]data!J$2:J$218)/100)</f>
        <v>3.3233346630000002</v>
      </c>
      <c r="O173">
        <f>[1]data!L174*(_xlfn.XLOOKUP([1]data!$C174,[2]data!$B$2:$B$218,[2]data!K$2:K$218)/100)</f>
        <v>4.0852118590000011</v>
      </c>
      <c r="P173">
        <f>[1]data!M174*(_xlfn.XLOOKUP([1]data!$C174,[2]data!$B$2:$B$218,[2]data!L$2:L$218)/100)</f>
        <v>4.9623077960000002</v>
      </c>
      <c r="Q173">
        <f>[1]data!N174*(_xlfn.XLOOKUP([1]data!$C174,[2]data!$B$2:$B$218,[2]data!M$2:M$218)/100)</f>
        <v>5.9764381950000001</v>
      </c>
      <c r="R173">
        <f>[1]data!O174*(_xlfn.XLOOKUP([1]data!$C174,[2]data!$B$2:$B$218,[2]data!N$2:N$218)/100)</f>
        <v>7.0719251190000003</v>
      </c>
      <c r="S173">
        <f>[1]data!P174*(_xlfn.XLOOKUP([1]data!$C174,[2]data!$B$2:$B$218,[2]data!O$2:O$218)/100)</f>
        <v>8.3573703269999999</v>
      </c>
      <c r="T173">
        <f>[1]data!Q174*(_xlfn.XLOOKUP([1]data!$C174,[2]data!$B$2:$B$218,[2]data!P$2:P$218)/100)</f>
        <v>9.8614991119999971</v>
      </c>
      <c r="U173">
        <f>[1]data!R174*(_xlfn.XLOOKUP([1]data!$C174,[2]data!$B$2:$B$218,[2]data!Q$2:Q$218)/100)</f>
        <v>12.279541336000003</v>
      </c>
      <c r="V173">
        <f>[1]data!S174*(_xlfn.XLOOKUP([1]data!$C174,[2]data!$B$2:$B$218,[2]data!R$2:R$218)/100)</f>
        <v>10.174892382000001</v>
      </c>
      <c r="W173">
        <f>[1]data!T174*(_xlfn.XLOOKUP([1]data!$C174,[2]data!$B$2:$B$218,[2]data!S$2:S$218)/100)</f>
        <v>11.369749425000002</v>
      </c>
      <c r="X173">
        <f>[1]data!U174*(_xlfn.XLOOKUP([1]data!$C174,[2]data!$B$2:$B$218,[2]data!T$2:T$218)/100)</f>
        <v>12.7826252268</v>
      </c>
      <c r="Y173">
        <f>[1]data!V174*(_xlfn.XLOOKUP([1]data!$C174,[2]data!$B$2:$B$218,[2]data!U$2:U$218)/100)</f>
        <v>14.341920979659999</v>
      </c>
      <c r="Z173">
        <f>[1]data!W174*(_xlfn.XLOOKUP([1]data!$C174,[2]data!$B$2:$B$218,[2]data!V$2:V$218)/100)</f>
        <v>16.037506332</v>
      </c>
      <c r="AA173">
        <f>[1]data!X174*(_xlfn.XLOOKUP([1]data!$C174,[2]data!$B$2:$B$218,[2]data!W$2:W$218)/100)</f>
        <v>17.7112950643</v>
      </c>
      <c r="AB173">
        <f>[1]data!Y174*(_xlfn.XLOOKUP([1]data!$C174,[2]data!$B$2:$B$218,[2]data!X$2:X$218)/100)</f>
        <v>19.255004295929997</v>
      </c>
      <c r="AC173">
        <f>[1]data!Z174*(_xlfn.XLOOKUP([1]data!$C174,[2]data!$B$2:$B$218,[2]data!Y$2:Y$218)/100)</f>
        <v>20.612866832959998</v>
      </c>
      <c r="AD173">
        <f>[1]data!AA174*(_xlfn.XLOOKUP([1]data!$C174,[2]data!$B$2:$B$218,[2]data!Z$2:Z$218)/100)</f>
        <v>21.851726273280001</v>
      </c>
      <c r="AE173">
        <f>[1]data!AB174*(_xlfn.XLOOKUP([1]data!$C174,[2]data!$B$2:$B$218,[2]data!AA$2:AA$218)/100)</f>
        <v>23.01642378016</v>
      </c>
      <c r="AF173">
        <f>[1]data!AC174*(_xlfn.XLOOKUP([1]data!$C174,[2]data!$B$2:$B$218,[2]data!AB$2:AB$218)/100)</f>
        <v>24.144372280499933</v>
      </c>
      <c r="AG173">
        <f>[1]data!AD174*(_xlfn.XLOOKUP([1]data!$C174,[2]data!$B$2:$B$218,[2]data!AC$2:AC$218)/100)</f>
        <v>25.204100031599999</v>
      </c>
      <c r="AH173">
        <f>[1]data!AE174*(_xlfn.XLOOKUP([1]data!$C174,[2]data!$B$2:$B$218,[2]data!AD$2:AD$218)/100)</f>
        <v>26.158541078079999</v>
      </c>
      <c r="AI173">
        <f>[1]data!AF174*(_xlfn.XLOOKUP([1]data!$C174,[2]data!$B$2:$B$218,[2]data!AE$2:AE$218)/100)</f>
        <v>26.978754066230007</v>
      </c>
      <c r="AJ173">
        <f>[1]data!AG174*(_xlfn.XLOOKUP([1]data!$C174,[2]data!$B$2:$B$218,[2]data!AF$2:AF$218)/100)</f>
        <v>27.648842263259997</v>
      </c>
      <c r="AK173">
        <f>[1]data!AH174*(_xlfn.XLOOKUP([1]data!$C174,[2]data!$B$2:$B$218,[2]data!AG$2:AG$218)/100)</f>
        <v>28.181686992900005</v>
      </c>
      <c r="AL173">
        <f>[1]data!AI174*(_xlfn.XLOOKUP([1]data!$C174,[2]data!$B$2:$B$218,[2]data!AH$2:AH$218)/100)</f>
        <v>28.562088608500005</v>
      </c>
      <c r="AM173">
        <f>[1]data!AJ174*(_xlfn.XLOOKUP([1]data!$C174,[2]data!$B$2:$B$218,[2]data!AI$2:AI$218)/100)</f>
        <v>28.811438003519999</v>
      </c>
    </row>
    <row r="174" spans="1:39" x14ac:dyDescent="0.25">
      <c r="A174" t="s">
        <v>30</v>
      </c>
      <c r="B174" t="s">
        <v>31</v>
      </c>
      <c r="C174" t="s">
        <v>205</v>
      </c>
      <c r="D174" t="s">
        <v>427</v>
      </c>
      <c r="E174" t="str">
        <f>_xlfn.XLOOKUP(D174,[6]Feuil1!$C$2:$C$248,[6]Feuil1!$B$2:$B$248)</f>
        <v>TD</v>
      </c>
      <c r="F174" t="s">
        <v>33</v>
      </c>
      <c r="G174" t="str">
        <f>_xlfn.XLOOKUP(C174,[3]Sheet1!$B$2:$B$172,[3]Sheet1!$D$2:$D$172)</f>
        <v>Western Africa</v>
      </c>
      <c r="H174" t="s">
        <v>34</v>
      </c>
      <c r="I174">
        <f>[1]data!F175*(_xlfn.XLOOKUP([1]data!$C175,[2]data!$B$2:$B$218,[2]data!E$2:E$218)/100)</f>
        <v>0.11199725999999999</v>
      </c>
      <c r="J174">
        <f>[1]data!G175*(_xlfn.XLOOKUP([1]data!$C175,[2]data!$B$2:$B$218,[2]data!F$2:F$218)/100)</f>
        <v>0.150184815</v>
      </c>
      <c r="K174">
        <f>[1]data!H175*(_xlfn.XLOOKUP([1]data!$C175,[2]data!$B$2:$B$218,[2]data!G$2:G$218)/100)</f>
        <v>0.200974808</v>
      </c>
      <c r="L174">
        <f>[1]data!I175*(_xlfn.XLOOKUP([1]data!$C175,[2]data!$B$2:$B$218,[2]data!H$2:H$218)/100)</f>
        <v>0.27763402800000003</v>
      </c>
      <c r="M174">
        <f>[1]data!J175*(_xlfn.XLOOKUP([1]data!$C175,[2]data!$B$2:$B$218,[2]data!I$2:I$218)/100)</f>
        <v>0.42111178399999999</v>
      </c>
      <c r="N174">
        <f>[1]data!K175*(_xlfn.XLOOKUP([1]data!$C175,[2]data!$B$2:$B$218,[2]data!J$2:J$218)/100)</f>
        <v>0.63079473599999991</v>
      </c>
      <c r="O174">
        <f>[1]data!L175*(_xlfn.XLOOKUP([1]data!$C175,[2]data!$B$2:$B$218,[2]data!K$2:K$218)/100)</f>
        <v>0.83746292000000011</v>
      </c>
      <c r="P174">
        <f>[1]data!M175*(_xlfn.XLOOKUP([1]data!$C175,[2]data!$B$2:$B$218,[2]data!L$2:L$218)/100)</f>
        <v>0.97254451800000019</v>
      </c>
      <c r="Q174">
        <f>[1]data!N175*(_xlfn.XLOOKUP([1]data!$C175,[2]data!$B$2:$B$218,[2]data!M$2:M$218)/100)</f>
        <v>1.198887872</v>
      </c>
      <c r="R174">
        <f>[1]data!O175*(_xlfn.XLOOKUP([1]data!$C175,[2]data!$B$2:$B$218,[2]data!N$2:N$218)/100)</f>
        <v>1.4406474899999999</v>
      </c>
      <c r="S174">
        <f>[1]data!P175*(_xlfn.XLOOKUP([1]data!$C175,[2]data!$B$2:$B$218,[2]data!O$2:O$218)/100)</f>
        <v>1.7547280560000005</v>
      </c>
      <c r="T174">
        <f>[1]data!Q175*(_xlfn.XLOOKUP([1]data!$C175,[2]data!$B$2:$B$218,[2]data!P$2:P$218)/100)</f>
        <v>2.142490048</v>
      </c>
      <c r="U174">
        <f>[1]data!R175*(_xlfn.XLOOKUP([1]data!$C175,[2]data!$B$2:$B$218,[2]data!Q$2:Q$218)/100)</f>
        <v>2.5720749999999999</v>
      </c>
      <c r="V174">
        <f>[1]data!S175*(_xlfn.XLOOKUP([1]data!$C175,[2]data!$B$2:$B$218,[2]data!R$2:R$218)/100)</f>
        <v>3.1349864250000001</v>
      </c>
      <c r="W174">
        <f>[1]data!T175*(_xlfn.XLOOKUP([1]data!$C175,[2]data!$B$2:$B$218,[2]data!S$2:S$218)/100)</f>
        <v>3.8491096499999999</v>
      </c>
      <c r="X174">
        <f>[1]data!U175*(_xlfn.XLOOKUP([1]data!$C175,[2]data!$B$2:$B$218,[2]data!T$2:T$218)/100)</f>
        <v>4.9426974135000012</v>
      </c>
      <c r="Y174">
        <f>[1]data!V175*(_xlfn.XLOOKUP([1]data!$C175,[2]data!$B$2:$B$218,[2]data!U$2:U$218)/100)</f>
        <v>6.2511457707999991</v>
      </c>
      <c r="Z174">
        <f>[1]data!W175*(_xlfn.XLOOKUP([1]data!$C175,[2]data!$B$2:$B$218,[2]data!V$2:V$218)/100)</f>
        <v>7.7962271229000004</v>
      </c>
      <c r="AA174">
        <f>[1]data!X175*(_xlfn.XLOOKUP([1]data!$C175,[2]data!$B$2:$B$218,[2]data!W$2:W$218)/100)</f>
        <v>9.5807080280400001</v>
      </c>
      <c r="AB174">
        <f>[1]data!Y175*(_xlfn.XLOOKUP([1]data!$C175,[2]data!$B$2:$B$218,[2]data!X$2:X$218)/100)</f>
        <v>11.580072195329997</v>
      </c>
      <c r="AC174">
        <f>[1]data!Z175*(_xlfn.XLOOKUP([1]data!$C175,[2]data!$B$2:$B$218,[2]data!Y$2:Y$218)/100)</f>
        <v>13.77898699592</v>
      </c>
      <c r="AD174">
        <f>[1]data!AA175*(_xlfn.XLOOKUP([1]data!$C175,[2]data!$B$2:$B$218,[2]data!Z$2:Z$218)/100)</f>
        <v>16.144758049339959</v>
      </c>
      <c r="AE174">
        <f>[1]data!AB175*(_xlfn.XLOOKUP([1]data!$C175,[2]data!$B$2:$B$218,[2]data!AA$2:AA$218)/100)</f>
        <v>18.632343112559955</v>
      </c>
      <c r="AF174">
        <f>[1]data!AC175*(_xlfn.XLOOKUP([1]data!$C175,[2]data!$B$2:$B$218,[2]data!AB$2:AB$218)/100)</f>
        <v>21.211328033799997</v>
      </c>
      <c r="AG174">
        <f>[1]data!AD175*(_xlfn.XLOOKUP([1]data!$C175,[2]data!$B$2:$B$218,[2]data!AC$2:AC$218)/100)</f>
        <v>23.831682848929955</v>
      </c>
      <c r="AH174">
        <f>[1]data!AE175*(_xlfn.XLOOKUP([1]data!$C175,[2]data!$B$2:$B$218,[2]data!AD$2:AD$218)/100)</f>
        <v>26.46884475705</v>
      </c>
      <c r="AI174">
        <f>[1]data!AF175*(_xlfn.XLOOKUP([1]data!$C175,[2]data!$B$2:$B$218,[2]data!AE$2:AE$218)/100)</f>
        <v>29.037944534479944</v>
      </c>
      <c r="AJ174">
        <f>[1]data!AG175*(_xlfn.XLOOKUP([1]data!$C175,[2]data!$B$2:$B$218,[2]data!AF$2:AF$218)/100)</f>
        <v>31.535466057929995</v>
      </c>
      <c r="AK174">
        <f>[1]data!AH175*(_xlfn.XLOOKUP([1]data!$C175,[2]data!$B$2:$B$218,[2]data!AG$2:AG$218)/100)</f>
        <v>33.865944379360002</v>
      </c>
      <c r="AL174">
        <f>[1]data!AI175*(_xlfn.XLOOKUP([1]data!$C175,[2]data!$B$2:$B$218,[2]data!AH$2:AH$218)/100)</f>
        <v>35.968430911280009</v>
      </c>
      <c r="AM174">
        <f>[1]data!AJ175*(_xlfn.XLOOKUP([1]data!$C175,[2]data!$B$2:$B$218,[2]data!AI$2:AI$218)/100)</f>
        <v>37.821914568479997</v>
      </c>
    </row>
    <row r="175" spans="1:39" x14ac:dyDescent="0.25">
      <c r="A175" t="s">
        <v>30</v>
      </c>
      <c r="B175" t="s">
        <v>31</v>
      </c>
      <c r="C175" t="s">
        <v>206</v>
      </c>
      <c r="D175" t="s">
        <v>428</v>
      </c>
      <c r="E175" t="str">
        <f>_xlfn.XLOOKUP(D175,[6]Feuil1!$C$2:$C$248,[6]Feuil1!$B$2:$B$248)</f>
        <v>TG</v>
      </c>
      <c r="F175" t="s">
        <v>33</v>
      </c>
      <c r="G175" t="str">
        <f>_xlfn.XLOOKUP(C175,[3]Sheet1!$B$2:$B$172,[3]Sheet1!$D$2:$D$172)</f>
        <v>Western Africa</v>
      </c>
      <c r="H175" t="s">
        <v>34</v>
      </c>
      <c r="I175">
        <f>[1]data!F176*(_xlfn.XLOOKUP([1]data!$C176,[2]data!$B$2:$B$218,[2]data!E$2:E$218)/100)</f>
        <v>6.1045336000000006E-2</v>
      </c>
      <c r="J175">
        <f>[1]data!G176*(_xlfn.XLOOKUP([1]data!$C176,[2]data!$B$2:$B$218,[2]data!F$2:F$218)/100)</f>
        <v>0.100915802</v>
      </c>
      <c r="K175">
        <f>[1]data!H176*(_xlfn.XLOOKUP([1]data!$C176,[2]data!$B$2:$B$218,[2]data!G$2:G$218)/100)</f>
        <v>0.16541073000000001</v>
      </c>
      <c r="L175">
        <f>[1]data!I176*(_xlfn.XLOOKUP([1]data!$C176,[2]data!$B$2:$B$218,[2]data!H$2:H$218)/100)</f>
        <v>0.268953</v>
      </c>
      <c r="M175">
        <f>[1]data!J176*(_xlfn.XLOOKUP([1]data!$C176,[2]data!$B$2:$B$218,[2]data!I$2:I$218)/100)</f>
        <v>0.460213125</v>
      </c>
      <c r="N175">
        <f>[1]data!K176*(_xlfn.XLOOKUP([1]data!$C176,[2]data!$B$2:$B$218,[2]data!J$2:J$218)/100)</f>
        <v>0.56791496199999991</v>
      </c>
      <c r="O175">
        <f>[1]data!L176*(_xlfn.XLOOKUP([1]data!$C176,[2]data!$B$2:$B$218,[2]data!K$2:K$218)/100)</f>
        <v>0.69086863300000001</v>
      </c>
      <c r="P175">
        <f>[1]data!M176*(_xlfn.XLOOKUP([1]data!$C176,[2]data!$B$2:$B$218,[2]data!L$2:L$218)/100)</f>
        <v>0.87390389800000012</v>
      </c>
      <c r="Q175">
        <f>[1]data!N176*(_xlfn.XLOOKUP([1]data!$C176,[2]data!$B$2:$B$218,[2]data!M$2:M$218)/100)</f>
        <v>1.0923060720000002</v>
      </c>
      <c r="R175">
        <f>[1]data!O176*(_xlfn.XLOOKUP([1]data!$C176,[2]data!$B$2:$B$218,[2]data!N$2:N$218)/100)</f>
        <v>1.2872783229999998</v>
      </c>
      <c r="S175">
        <f>[1]data!P176*(_xlfn.XLOOKUP([1]data!$C176,[2]data!$B$2:$B$218,[2]data!O$2:O$218)/100)</f>
        <v>1.6248204559999999</v>
      </c>
      <c r="T175">
        <f>[1]data!Q176*(_xlfn.XLOOKUP([1]data!$C176,[2]data!$B$2:$B$218,[2]data!P$2:P$218)/100)</f>
        <v>1.9845988800000003</v>
      </c>
      <c r="U175">
        <f>[1]data!R176*(_xlfn.XLOOKUP([1]data!$C176,[2]data!$B$2:$B$218,[2]data!Q$2:Q$218)/100)</f>
        <v>2.4315026250000003</v>
      </c>
      <c r="V175">
        <f>[1]data!S176*(_xlfn.XLOOKUP([1]data!$C176,[2]data!$B$2:$B$218,[2]data!R$2:R$218)/100)</f>
        <v>2.9593539350000002</v>
      </c>
      <c r="W175">
        <f>[1]data!T176*(_xlfn.XLOOKUP([1]data!$C176,[2]data!$B$2:$B$218,[2]data!S$2:S$218)/100)</f>
        <v>3.5704761520000043</v>
      </c>
      <c r="X175">
        <f>[1]data!U176*(_xlfn.XLOOKUP([1]data!$C176,[2]data!$B$2:$B$218,[2]data!T$2:T$218)/100)</f>
        <v>4.27213732404</v>
      </c>
      <c r="Y175">
        <f>[1]data!V176*(_xlfn.XLOOKUP([1]data!$C176,[2]data!$B$2:$B$218,[2]data!U$2:U$218)/100)</f>
        <v>5.0367699953999994</v>
      </c>
      <c r="Z175">
        <f>[1]data!W176*(_xlfn.XLOOKUP([1]data!$C176,[2]data!$B$2:$B$218,[2]data!V$2:V$218)/100)</f>
        <v>5.8511552613800006</v>
      </c>
      <c r="AA175">
        <f>[1]data!X176*(_xlfn.XLOOKUP([1]data!$C176,[2]data!$B$2:$B$218,[2]data!W$2:W$218)/100)</f>
        <v>6.7009991194000005</v>
      </c>
      <c r="AB175">
        <f>[1]data!Y176*(_xlfn.XLOOKUP([1]data!$C176,[2]data!$B$2:$B$218,[2]data!X$2:X$218)/100)</f>
        <v>7.5696693406</v>
      </c>
      <c r="AC175">
        <f>[1]data!Z176*(_xlfn.XLOOKUP([1]data!$C176,[2]data!$B$2:$B$218,[2]data!Y$2:Y$218)/100)</f>
        <v>8.4361821228299991</v>
      </c>
      <c r="AD175">
        <f>[1]data!AA176*(_xlfn.XLOOKUP([1]data!$C176,[2]data!$B$2:$B$218,[2]data!Z$2:Z$218)/100)</f>
        <v>9.2869958978699998</v>
      </c>
      <c r="AE175">
        <f>[1]data!AB176*(_xlfn.XLOOKUP([1]data!$C176,[2]data!$B$2:$B$218,[2]data!AA$2:AA$218)/100)</f>
        <v>10.09816839612</v>
      </c>
      <c r="AF175">
        <f>[1]data!AC176*(_xlfn.XLOOKUP([1]data!$C176,[2]data!$B$2:$B$218,[2]data!AB$2:AB$218)/100)</f>
        <v>10.869489936630002</v>
      </c>
      <c r="AG175">
        <f>[1]data!AD176*(_xlfn.XLOOKUP([1]data!$C176,[2]data!$B$2:$B$218,[2]data!AC$2:AC$218)/100)</f>
        <v>11.572101701439998</v>
      </c>
      <c r="AH175">
        <f>[1]data!AE176*(_xlfn.XLOOKUP([1]data!$C176,[2]data!$B$2:$B$218,[2]data!AD$2:AD$218)/100)</f>
        <v>12.207310766100001</v>
      </c>
      <c r="AI175">
        <f>[1]data!AF176*(_xlfn.XLOOKUP([1]data!$C176,[2]data!$B$2:$B$218,[2]data!AE$2:AE$218)/100)</f>
        <v>12.759426425899999</v>
      </c>
      <c r="AJ175">
        <f>[1]data!AG176*(_xlfn.XLOOKUP([1]data!$C176,[2]data!$B$2:$B$218,[2]data!AF$2:AF$218)/100)</f>
        <v>13.241255946239999</v>
      </c>
      <c r="AK175">
        <f>[1]data!AH176*(_xlfn.XLOOKUP([1]data!$C176,[2]data!$B$2:$B$218,[2]data!AG$2:AG$218)/100)</f>
        <v>13.654255086719997</v>
      </c>
      <c r="AL175">
        <f>[1]data!AI176*(_xlfn.XLOOKUP([1]data!$C176,[2]data!$B$2:$B$218,[2]data!AH$2:AH$218)/100)</f>
        <v>13.998504819999997</v>
      </c>
      <c r="AM175">
        <f>[1]data!AJ176*(_xlfn.XLOOKUP([1]data!$C176,[2]data!$B$2:$B$218,[2]data!AI$2:AI$218)/100)</f>
        <v>14.273365216140002</v>
      </c>
    </row>
    <row r="176" spans="1:39" x14ac:dyDescent="0.25">
      <c r="A176" t="s">
        <v>30</v>
      </c>
      <c r="B176" t="s">
        <v>31</v>
      </c>
      <c r="C176" t="s">
        <v>207</v>
      </c>
      <c r="D176" t="s">
        <v>429</v>
      </c>
      <c r="E176" t="str">
        <f>_xlfn.XLOOKUP(D176,[6]Feuil1!$C$2:$C$248,[6]Feuil1!$B$2:$B$248)</f>
        <v>TH</v>
      </c>
      <c r="F176" t="s">
        <v>33</v>
      </c>
      <c r="G176" t="str">
        <f>_xlfn.XLOOKUP(C176,[3]Sheet1!$B$2:$B$172,[3]Sheet1!$D$2:$D$172)</f>
        <v>Southeastern Asia</v>
      </c>
      <c r="H176" t="s">
        <v>34</v>
      </c>
      <c r="I176">
        <f>[1]data!F177*(_xlfn.XLOOKUP([1]data!$C177,[2]data!$B$2:$B$218,[2]data!E$2:E$218)/100)</f>
        <v>3.3276084600000004</v>
      </c>
      <c r="J176">
        <f>[1]data!G177*(_xlfn.XLOOKUP([1]data!$C177,[2]data!$B$2:$B$218,[2]data!F$2:F$218)/100)</f>
        <v>4.1156823599999992</v>
      </c>
      <c r="K176">
        <f>[1]data!H177*(_xlfn.XLOOKUP([1]data!$C177,[2]data!$B$2:$B$218,[2]data!G$2:G$218)/100)</f>
        <v>5.1627514200000002</v>
      </c>
      <c r="L176">
        <f>[1]data!I177*(_xlfn.XLOOKUP([1]data!$C177,[2]data!$B$2:$B$218,[2]data!H$2:H$218)/100)</f>
        <v>6.1548648559999997</v>
      </c>
      <c r="M176">
        <f>[1]data!J177*(_xlfn.XLOOKUP([1]data!$C177,[2]data!$B$2:$B$218,[2]data!I$2:I$218)/100)</f>
        <v>7.3740504420000006</v>
      </c>
      <c r="N176">
        <f>[1]data!K177*(_xlfn.XLOOKUP([1]data!$C177,[2]data!$B$2:$B$218,[2]data!J$2:J$218)/100)</f>
        <v>9.6174593340000012</v>
      </c>
      <c r="O176">
        <f>[1]data!L177*(_xlfn.XLOOKUP([1]data!$C177,[2]data!$B$2:$B$218,[2]data!K$2:K$218)/100)</f>
        <v>12.123663132000001</v>
      </c>
      <c r="P176">
        <f>[1]data!M177*(_xlfn.XLOOKUP([1]data!$C177,[2]data!$B$2:$B$218,[2]data!L$2:L$218)/100)</f>
        <v>14.082700813000002</v>
      </c>
      <c r="Q176">
        <f>[1]data!N177*(_xlfn.XLOOKUP([1]data!$C177,[2]data!$B$2:$B$218,[2]data!M$2:M$218)/100)</f>
        <v>16.10348544</v>
      </c>
      <c r="R176">
        <f>[1]data!O177*(_xlfn.XLOOKUP([1]data!$C177,[2]data!$B$2:$B$218,[2]data!N$2:N$218)/100)</f>
        <v>17.885855781</v>
      </c>
      <c r="S176">
        <f>[1]data!P177*(_xlfn.XLOOKUP([1]data!$C177,[2]data!$B$2:$B$218,[2]data!O$2:O$218)/100)</f>
        <v>19.710199190000001</v>
      </c>
      <c r="T176">
        <f>[1]data!Q177*(_xlfn.XLOOKUP([1]data!$C177,[2]data!$B$2:$B$218,[2]data!P$2:P$218)/100)</f>
        <v>24.525298710000001</v>
      </c>
      <c r="U176">
        <f>[1]data!R177*(_xlfn.XLOOKUP([1]data!$C177,[2]data!$B$2:$B$218,[2]data!Q$2:Q$218)/100)</f>
        <v>29.874977698999999</v>
      </c>
      <c r="V176">
        <f>[1]data!S177*(_xlfn.XLOOKUP([1]data!$C177,[2]data!$B$2:$B$218,[2]data!R$2:R$218)/100)</f>
        <v>33.457578021000003</v>
      </c>
      <c r="W176">
        <f>[1]data!T177*(_xlfn.XLOOKUP([1]data!$C177,[2]data!$B$2:$B$218,[2]data!S$2:S$218)/100)</f>
        <v>36.694137722000001</v>
      </c>
      <c r="X176">
        <f>[1]data!U177*(_xlfn.XLOOKUP([1]data!$C177,[2]data!$B$2:$B$218,[2]data!T$2:T$218)/100)</f>
        <v>38.276762905219996</v>
      </c>
      <c r="Y176">
        <f>[1]data!V177*(_xlfn.XLOOKUP([1]data!$C177,[2]data!$B$2:$B$218,[2]data!U$2:U$218)/100)</f>
        <v>39.597937487760056</v>
      </c>
      <c r="Z176">
        <f>[1]data!W177*(_xlfn.XLOOKUP([1]data!$C177,[2]data!$B$2:$B$218,[2]data!V$2:V$218)/100)</f>
        <v>40.625443402650006</v>
      </c>
      <c r="AA176">
        <f>[1]data!X177*(_xlfn.XLOOKUP([1]data!$C177,[2]data!$B$2:$B$218,[2]data!W$2:W$218)/100)</f>
        <v>41.316292186879991</v>
      </c>
      <c r="AB176">
        <f>[1]data!Y177*(_xlfn.XLOOKUP([1]data!$C177,[2]data!$B$2:$B$218,[2]data!X$2:X$218)/100)</f>
        <v>41.687773436789996</v>
      </c>
      <c r="AC176">
        <f>[1]data!Z177*(_xlfn.XLOOKUP([1]data!$C177,[2]data!$B$2:$B$218,[2]data!Y$2:Y$218)/100)</f>
        <v>41.741903763180005</v>
      </c>
      <c r="AD176">
        <f>[1]data!AA177*(_xlfn.XLOOKUP([1]data!$C177,[2]data!$B$2:$B$218,[2]data!Z$2:Z$218)/100)</f>
        <v>41.523379878269999</v>
      </c>
      <c r="AE176">
        <f>[1]data!AB177*(_xlfn.XLOOKUP([1]data!$C177,[2]data!$B$2:$B$218,[2]data!AA$2:AA$218)/100)</f>
        <v>41.110140344359998</v>
      </c>
      <c r="AF176">
        <f>[1]data!AC177*(_xlfn.XLOOKUP([1]data!$C177,[2]data!$B$2:$B$218,[2]data!AB$2:AB$218)/100)</f>
        <v>40.547268411800005</v>
      </c>
      <c r="AG176">
        <f>[1]data!AD177*(_xlfn.XLOOKUP([1]data!$C177,[2]data!$B$2:$B$218,[2]data!AC$2:AC$218)/100)</f>
        <v>39.8812539065</v>
      </c>
      <c r="AH176">
        <f>[1]data!AE177*(_xlfn.XLOOKUP([1]data!$C177,[2]data!$B$2:$B$218,[2]data!AD$2:AD$218)/100)</f>
        <v>39.121062277499995</v>
      </c>
      <c r="AI176">
        <f>[1]data!AF177*(_xlfn.XLOOKUP([1]data!$C177,[2]data!$B$2:$B$218,[2]data!AE$2:AE$218)/100)</f>
        <v>38.287793788160009</v>
      </c>
      <c r="AJ176">
        <f>[1]data!AG177*(_xlfn.XLOOKUP([1]data!$C177,[2]data!$B$2:$B$218,[2]data!AF$2:AF$218)/100)</f>
        <v>37.390041574379936</v>
      </c>
      <c r="AK176">
        <f>[1]data!AH177*(_xlfn.XLOOKUP([1]data!$C177,[2]data!$B$2:$B$218,[2]data!AG$2:AG$218)/100)</f>
        <v>36.444488934959928</v>
      </c>
      <c r="AL176">
        <f>[1]data!AI177*(_xlfn.XLOOKUP([1]data!$C177,[2]data!$B$2:$B$218,[2]data!AH$2:AH$218)/100)</f>
        <v>35.483625702029997</v>
      </c>
      <c r="AM176">
        <f>[1]data!AJ177*(_xlfn.XLOOKUP([1]data!$C177,[2]data!$B$2:$B$218,[2]data!AI$2:AI$218)/100)</f>
        <v>34.520931064830002</v>
      </c>
    </row>
    <row r="177" spans="1:39" x14ac:dyDescent="0.25">
      <c r="A177" t="s">
        <v>30</v>
      </c>
      <c r="B177" t="s">
        <v>31</v>
      </c>
      <c r="C177" t="s">
        <v>208</v>
      </c>
      <c r="D177" t="s">
        <v>430</v>
      </c>
      <c r="E177" t="str">
        <f>_xlfn.XLOOKUP(D177,[6]Feuil1!$C$2:$C$248,[6]Feuil1!$B$2:$B$248)</f>
        <v>TJ</v>
      </c>
      <c r="F177" t="s">
        <v>33</v>
      </c>
      <c r="G177" t="str">
        <f>_xlfn.XLOOKUP(C177,[3]Sheet1!$B$2:$B$172,[3]Sheet1!$D$2:$D$172)</f>
        <v>Central Asia</v>
      </c>
      <c r="H177" t="s">
        <v>34</v>
      </c>
      <c r="I177">
        <f>[1]data!F178*(_xlfn.XLOOKUP([1]data!$C178,[2]data!$B$2:$B$218,[2]data!E$2:E$218)/100)</f>
        <v>0.44026705800000004</v>
      </c>
      <c r="J177">
        <f>[1]data!G178*(_xlfn.XLOOKUP([1]data!$C178,[2]data!$B$2:$B$218,[2]data!F$2:F$218)/100)</f>
        <v>0.55425520800000005</v>
      </c>
      <c r="K177">
        <f>[1]data!H178*(_xlfn.XLOOKUP([1]data!$C178,[2]data!$B$2:$B$218,[2]data!G$2:G$218)/100)</f>
        <v>0.69548754400000012</v>
      </c>
      <c r="L177">
        <f>[1]data!I178*(_xlfn.XLOOKUP([1]data!$C178,[2]data!$B$2:$B$218,[2]data!H$2:H$218)/100)</f>
        <v>0.87826006400000001</v>
      </c>
      <c r="M177">
        <f>[1]data!J178*(_xlfn.XLOOKUP([1]data!$C178,[2]data!$B$2:$B$218,[2]data!I$2:I$218)/100)</f>
        <v>1.087340049</v>
      </c>
      <c r="N177">
        <f>[1]data!K178*(_xlfn.XLOOKUP([1]data!$C178,[2]data!$B$2:$B$218,[2]data!J$2:J$218)/100)</f>
        <v>1.2172445900000002</v>
      </c>
      <c r="O177">
        <f>[1]data!L178*(_xlfn.XLOOKUP([1]data!$C178,[2]data!$B$2:$B$218,[2]data!K$2:K$218)/100)</f>
        <v>1.368342934</v>
      </c>
      <c r="P177">
        <f>[1]data!M178*(_xlfn.XLOOKUP([1]data!$C178,[2]data!$B$2:$B$218,[2]data!L$2:L$218)/100)</f>
        <v>1.5255121120000001</v>
      </c>
      <c r="Q177">
        <f>[1]data!N178*(_xlfn.XLOOKUP([1]data!$C178,[2]data!$B$2:$B$218,[2]data!M$2:M$218)/100)</f>
        <v>1.696244493</v>
      </c>
      <c r="R177">
        <f>[1]data!O178*(_xlfn.XLOOKUP([1]data!$C178,[2]data!$B$2:$B$218,[2]data!N$2:N$218)/100)</f>
        <v>1.6926643299999999</v>
      </c>
      <c r="S177">
        <f>[1]data!P178*(_xlfn.XLOOKUP([1]data!$C178,[2]data!$B$2:$B$218,[2]data!O$2:O$218)/100)</f>
        <v>1.6440160100000001</v>
      </c>
      <c r="T177">
        <f>[1]data!Q178*(_xlfn.XLOOKUP([1]data!$C178,[2]data!$B$2:$B$218,[2]data!P$2:P$218)/100)</f>
        <v>1.8193514050000001</v>
      </c>
      <c r="U177">
        <f>[1]data!R178*(_xlfn.XLOOKUP([1]data!$C178,[2]data!$B$2:$B$218,[2]data!Q$2:Q$218)/100)</f>
        <v>1.9988147050000002</v>
      </c>
      <c r="V177">
        <f>[1]data!S178*(_xlfn.XLOOKUP([1]data!$C178,[2]data!$B$2:$B$218,[2]data!R$2:R$218)/100)</f>
        <v>2.2490643539999997</v>
      </c>
      <c r="W177">
        <f>[1]data!T178*(_xlfn.XLOOKUP([1]data!$C178,[2]data!$B$2:$B$218,[2]data!S$2:S$218)/100)</f>
        <v>2.5967738500000026</v>
      </c>
      <c r="X177">
        <f>[1]data!U178*(_xlfn.XLOOKUP([1]data!$C178,[2]data!$B$2:$B$218,[2]data!T$2:T$218)/100)</f>
        <v>3.1748612581</v>
      </c>
      <c r="Y177">
        <f>[1]data!V178*(_xlfn.XLOOKUP([1]data!$C178,[2]data!$B$2:$B$218,[2]data!U$2:U$218)/100)</f>
        <v>3.7944539819000007</v>
      </c>
      <c r="Z177">
        <f>[1]data!W178*(_xlfn.XLOOKUP([1]data!$C178,[2]data!$B$2:$B$218,[2]data!V$2:V$218)/100)</f>
        <v>4.4633972786499996</v>
      </c>
      <c r="AA177">
        <f>[1]data!X178*(_xlfn.XLOOKUP([1]data!$C178,[2]data!$B$2:$B$218,[2]data!W$2:W$218)/100)</f>
        <v>5.1794091152000004</v>
      </c>
      <c r="AB177">
        <f>[1]data!Y178*(_xlfn.XLOOKUP([1]data!$C178,[2]data!$B$2:$B$218,[2]data!X$2:X$218)/100)</f>
        <v>5.9182646107199997</v>
      </c>
      <c r="AC177">
        <f>[1]data!Z178*(_xlfn.XLOOKUP([1]data!$C178,[2]data!$B$2:$B$218,[2]data!Y$2:Y$218)/100)</f>
        <v>6.6387269010400001</v>
      </c>
      <c r="AD177">
        <f>[1]data!AA178*(_xlfn.XLOOKUP([1]data!$C178,[2]data!$B$2:$B$218,[2]data!Z$2:Z$218)/100)</f>
        <v>7.3274340785100005</v>
      </c>
      <c r="AE177">
        <f>[1]data!AB178*(_xlfn.XLOOKUP([1]data!$C178,[2]data!$B$2:$B$218,[2]data!AA$2:AA$218)/100)</f>
        <v>7.9721039098399995</v>
      </c>
      <c r="AF177">
        <f>[1]data!AC178*(_xlfn.XLOOKUP([1]data!$C178,[2]data!$B$2:$B$218,[2]data!AB$2:AB$218)/100)</f>
        <v>8.5767644503200007</v>
      </c>
      <c r="AG177">
        <f>[1]data!AD178*(_xlfn.XLOOKUP([1]data!$C178,[2]data!$B$2:$B$218,[2]data!AC$2:AC$218)/100)</f>
        <v>9.1352987401500005</v>
      </c>
      <c r="AH177">
        <f>[1]data!AE178*(_xlfn.XLOOKUP([1]data!$C178,[2]data!$B$2:$B$218,[2]data!AD$2:AD$218)/100)</f>
        <v>9.6420100940999998</v>
      </c>
      <c r="AI177">
        <f>[1]data!AF178*(_xlfn.XLOOKUP([1]data!$C178,[2]data!$B$2:$B$218,[2]data!AE$2:AE$218)/100)</f>
        <v>10.093143060660001</v>
      </c>
      <c r="AJ177">
        <f>[1]data!AG178*(_xlfn.XLOOKUP([1]data!$C178,[2]data!$B$2:$B$218,[2]data!AF$2:AF$218)/100)</f>
        <v>10.493430537979998</v>
      </c>
      <c r="AK177">
        <f>[1]data!AH178*(_xlfn.XLOOKUP([1]data!$C178,[2]data!$B$2:$B$218,[2]data!AG$2:AG$218)/100)</f>
        <v>10.83844108611</v>
      </c>
      <c r="AL177">
        <f>[1]data!AI178*(_xlfn.XLOOKUP([1]data!$C178,[2]data!$B$2:$B$218,[2]data!AH$2:AH$218)/100)</f>
        <v>11.132537323049998</v>
      </c>
      <c r="AM177">
        <f>[1]data!AJ178*(_xlfn.XLOOKUP([1]data!$C178,[2]data!$B$2:$B$218,[2]data!AI$2:AI$218)/100)</f>
        <v>11.37406029816</v>
      </c>
    </row>
    <row r="178" spans="1:39" x14ac:dyDescent="0.25">
      <c r="A178" t="s">
        <v>30</v>
      </c>
      <c r="B178" t="s">
        <v>31</v>
      </c>
      <c r="C178" t="s">
        <v>209</v>
      </c>
      <c r="D178" t="s">
        <v>431</v>
      </c>
      <c r="E178" t="str">
        <f>_xlfn.XLOOKUP(D178,[6]Feuil1!$C$2:$C$248,[6]Feuil1!$B$2:$B$248)</f>
        <v>TM</v>
      </c>
      <c r="F178" t="s">
        <v>33</v>
      </c>
      <c r="G178" t="str">
        <f>_xlfn.XLOOKUP(C178,[3]Sheet1!$B$2:$B$172,[3]Sheet1!$D$2:$D$172)</f>
        <v>Central Asia</v>
      </c>
      <c r="H178" t="s">
        <v>34</v>
      </c>
      <c r="I178">
        <f>[1]data!F179*(_xlfn.XLOOKUP([1]data!$C179,[2]data!$B$2:$B$218,[2]data!E$2:E$218)/100)</f>
        <v>0.54141435000000004</v>
      </c>
      <c r="J178">
        <f>[1]data!G179*(_xlfn.XLOOKUP([1]data!$C179,[2]data!$B$2:$B$218,[2]data!F$2:F$218)/100)</f>
        <v>0.61425644200000007</v>
      </c>
      <c r="K178">
        <f>[1]data!H179*(_xlfn.XLOOKUP([1]data!$C179,[2]data!$B$2:$B$218,[2]data!G$2:G$218)/100)</f>
        <v>0.73048447999999988</v>
      </c>
      <c r="L178">
        <f>[1]data!I179*(_xlfn.XLOOKUP([1]data!$C179,[2]data!$B$2:$B$218,[2]data!H$2:H$218)/100)</f>
        <v>0.87928587899999999</v>
      </c>
      <c r="M178">
        <f>[1]data!J179*(_xlfn.XLOOKUP([1]data!$C179,[2]data!$B$2:$B$218,[2]data!I$2:I$218)/100)</f>
        <v>1.037368506</v>
      </c>
      <c r="N178">
        <f>[1]data!K179*(_xlfn.XLOOKUP([1]data!$C179,[2]data!$B$2:$B$218,[2]data!J$2:J$218)/100)</f>
        <v>1.186438568</v>
      </c>
      <c r="O178">
        <f>[1]data!L179*(_xlfn.XLOOKUP([1]data!$C179,[2]data!$B$2:$B$218,[2]data!K$2:K$218)/100)</f>
        <v>1.3322762520000002</v>
      </c>
      <c r="P178">
        <f>[1]data!M179*(_xlfn.XLOOKUP([1]data!$C179,[2]data!$B$2:$B$218,[2]data!L$2:L$218)/100)</f>
        <v>1.4734710800000002</v>
      </c>
      <c r="Q178">
        <f>[1]data!N179*(_xlfn.XLOOKUP([1]data!$C179,[2]data!$B$2:$B$218,[2]data!M$2:M$218)/100)</f>
        <v>1.6553594200000001</v>
      </c>
      <c r="R178">
        <f>[1]data!O179*(_xlfn.XLOOKUP([1]data!$C179,[2]data!$B$2:$B$218,[2]data!N$2:N$218)/100)</f>
        <v>1.8735310719999998</v>
      </c>
      <c r="S178">
        <f>[1]data!P179*(_xlfn.XLOOKUP([1]data!$C179,[2]data!$B$2:$B$218,[2]data!O$2:O$218)/100)</f>
        <v>2.0818128599999999</v>
      </c>
      <c r="T178">
        <f>[1]data!Q179*(_xlfn.XLOOKUP([1]data!$C179,[2]data!$B$2:$B$218,[2]data!P$2:P$218)/100)</f>
        <v>2.285330622</v>
      </c>
      <c r="U178">
        <f>[1]data!R179*(_xlfn.XLOOKUP([1]data!$C179,[2]data!$B$2:$B$218,[2]data!Q$2:Q$218)/100)</f>
        <v>2.5331292950000002</v>
      </c>
      <c r="V178">
        <f>[1]data!S179*(_xlfn.XLOOKUP([1]data!$C179,[2]data!$B$2:$B$218,[2]data!R$2:R$218)/100)</f>
        <v>2.8745685440000002</v>
      </c>
      <c r="W178">
        <f>[1]data!T179*(_xlfn.XLOOKUP([1]data!$C179,[2]data!$B$2:$B$218,[2]data!S$2:S$218)/100)</f>
        <v>3.2572900499999951</v>
      </c>
      <c r="X178">
        <f>[1]data!U179*(_xlfn.XLOOKUP([1]data!$C179,[2]data!$B$2:$B$218,[2]data!T$2:T$218)/100)</f>
        <v>3.6815293475100006</v>
      </c>
      <c r="Y178">
        <f>[1]data!V179*(_xlfn.XLOOKUP([1]data!$C179,[2]data!$B$2:$B$218,[2]data!U$2:U$218)/100)</f>
        <v>4.0760609590999994</v>
      </c>
      <c r="Z178">
        <f>[1]data!W179*(_xlfn.XLOOKUP([1]data!$C179,[2]data!$B$2:$B$218,[2]data!V$2:V$218)/100)</f>
        <v>4.4526393688700008</v>
      </c>
      <c r="AA178">
        <f>[1]data!X179*(_xlfn.XLOOKUP([1]data!$C179,[2]data!$B$2:$B$218,[2]data!W$2:W$218)/100)</f>
        <v>4.8247576148200002</v>
      </c>
      <c r="AB178">
        <f>[1]data!Y179*(_xlfn.XLOOKUP([1]data!$C179,[2]data!$B$2:$B$218,[2]data!X$2:X$218)/100)</f>
        <v>5.1920833665600057</v>
      </c>
      <c r="AC178">
        <f>[1]data!Z179*(_xlfn.XLOOKUP([1]data!$C179,[2]data!$B$2:$B$218,[2]data!Y$2:Y$218)/100)</f>
        <v>5.54108674062</v>
      </c>
      <c r="AD178">
        <f>[1]data!AA179*(_xlfn.XLOOKUP([1]data!$C179,[2]data!$B$2:$B$218,[2]data!Z$2:Z$218)/100)</f>
        <v>5.8469906722499996</v>
      </c>
      <c r="AE178">
        <f>[1]data!AB179*(_xlfn.XLOOKUP([1]data!$C179,[2]data!$B$2:$B$218,[2]data!AA$2:AA$218)/100)</f>
        <v>6.1068154684700069</v>
      </c>
      <c r="AF178">
        <f>[1]data!AC179*(_xlfn.XLOOKUP([1]data!$C179,[2]data!$B$2:$B$218,[2]data!AB$2:AB$218)/100)</f>
        <v>6.3239491103400001</v>
      </c>
      <c r="AG178">
        <f>[1]data!AD179*(_xlfn.XLOOKUP([1]data!$C179,[2]data!$B$2:$B$218,[2]data!AC$2:AC$218)/100)</f>
        <v>6.5129805007200003</v>
      </c>
      <c r="AH178">
        <f>[1]data!AE179*(_xlfn.XLOOKUP([1]data!$C179,[2]data!$B$2:$B$218,[2]data!AD$2:AD$218)/100)</f>
        <v>6.6819336261700002</v>
      </c>
      <c r="AI178">
        <f>[1]data!AF179*(_xlfn.XLOOKUP([1]data!$C179,[2]data!$B$2:$B$218,[2]data!AE$2:AE$218)/100)</f>
        <v>6.8292507920600087</v>
      </c>
      <c r="AJ178">
        <f>[1]data!AG179*(_xlfn.XLOOKUP([1]data!$C179,[2]data!$B$2:$B$218,[2]data!AF$2:AF$218)/100)</f>
        <v>6.9509264645399993</v>
      </c>
      <c r="AK178">
        <f>[1]data!AH179*(_xlfn.XLOOKUP([1]data!$C179,[2]data!$B$2:$B$218,[2]data!AG$2:AG$218)/100)</f>
        <v>7.0435222898399985</v>
      </c>
      <c r="AL178">
        <f>[1]data!AI179*(_xlfn.XLOOKUP([1]data!$C179,[2]data!$B$2:$B$218,[2]data!AH$2:AH$218)/100)</f>
        <v>7.1067271652600006</v>
      </c>
      <c r="AM178">
        <f>[1]data!AJ179*(_xlfn.XLOOKUP([1]data!$C179,[2]data!$B$2:$B$218,[2]data!AI$2:AI$218)/100)</f>
        <v>7.1408856385600075</v>
      </c>
    </row>
    <row r="179" spans="1:39" x14ac:dyDescent="0.25">
      <c r="A179" t="s">
        <v>30</v>
      </c>
      <c r="B179" t="s">
        <v>31</v>
      </c>
      <c r="C179" t="s">
        <v>210</v>
      </c>
      <c r="D179" t="s">
        <v>432</v>
      </c>
      <c r="E179" t="str">
        <f>_xlfn.XLOOKUP(D179,[6]Feuil1!$C$2:$C$248,[6]Feuil1!$B$2:$B$248)</f>
        <v>TL</v>
      </c>
      <c r="F179" t="s">
        <v>33</v>
      </c>
      <c r="G179" t="str">
        <f>_xlfn.XLOOKUP(C179,[3]Sheet1!$B$2:$B$172,[3]Sheet1!$D$2:$D$172)</f>
        <v>Indonesia region</v>
      </c>
      <c r="H179" t="s">
        <v>34</v>
      </c>
      <c r="I179">
        <f>[1]data!F180*(_xlfn.XLOOKUP([1]data!$C180,[2]data!$B$2:$B$218,[2]data!E$2:E$218)/100)</f>
        <v>4.0910067000000001E-2</v>
      </c>
      <c r="J179">
        <f>[1]data!G180*(_xlfn.XLOOKUP([1]data!$C180,[2]data!$B$2:$B$218,[2]data!F$2:F$218)/100)</f>
        <v>4.3469900000000006E-2</v>
      </c>
      <c r="K179">
        <f>[1]data!H180*(_xlfn.XLOOKUP([1]data!$C180,[2]data!$B$2:$B$218,[2]data!G$2:G$218)/100)</f>
        <v>4.6968736999999997E-2</v>
      </c>
      <c r="L179">
        <f>[1]data!I180*(_xlfn.XLOOKUP([1]data!$C180,[2]data!$B$2:$B$218,[2]data!H$2:H$218)/100)</f>
        <v>5.7365028000000005E-2</v>
      </c>
      <c r="M179">
        <f>[1]data!J180*(_xlfn.XLOOKUP([1]data!$C180,[2]data!$B$2:$B$218,[2]data!I$2:I$218)/100)</f>
        <v>7.0832996999999995E-2</v>
      </c>
      <c r="N179">
        <f>[1]data!K180*(_xlfn.XLOOKUP([1]data!$C180,[2]data!$B$2:$B$218,[2]data!J$2:J$218)/100)</f>
        <v>8.6950738E-2</v>
      </c>
      <c r="O179">
        <f>[1]data!L180*(_xlfn.XLOOKUP([1]data!$C180,[2]data!$B$2:$B$218,[2]data!K$2:K$218)/100)</f>
        <v>0.10523188500000001</v>
      </c>
      <c r="P179">
        <f>[1]data!M180*(_xlfn.XLOOKUP([1]data!$C180,[2]data!$B$2:$B$218,[2]data!L$2:L$218)/100)</f>
        <v>0.12579626399999999</v>
      </c>
      <c r="Q179">
        <f>[1]data!N180*(_xlfn.XLOOKUP([1]data!$C180,[2]data!$B$2:$B$218,[2]data!M$2:M$218)/100)</f>
        <v>0.155793248</v>
      </c>
      <c r="R179">
        <f>[1]data!O180*(_xlfn.XLOOKUP([1]data!$C180,[2]data!$B$2:$B$218,[2]data!N$2:N$218)/100)</f>
        <v>0.18296437500000001</v>
      </c>
      <c r="S179">
        <f>[1]data!P180*(_xlfn.XLOOKUP([1]data!$C180,[2]data!$B$2:$B$218,[2]data!O$2:O$218)/100)</f>
        <v>0.21187145699999999</v>
      </c>
      <c r="T179">
        <f>[1]data!Q180*(_xlfn.XLOOKUP([1]data!$C180,[2]data!$B$2:$B$218,[2]data!P$2:P$218)/100)</f>
        <v>0.24872354000000002</v>
      </c>
      <c r="U179">
        <f>[1]data!R180*(_xlfn.XLOOKUP([1]data!$C180,[2]data!$B$2:$B$218,[2]data!Q$2:Q$218)/100)</f>
        <v>0.29819603999999994</v>
      </c>
      <c r="V179">
        <f>[1]data!S180*(_xlfn.XLOOKUP([1]data!$C180,[2]data!$B$2:$B$218,[2]data!R$2:R$218)/100)</f>
        <v>0.35293859</v>
      </c>
      <c r="W179">
        <f>[1]data!T180*(_xlfn.XLOOKUP([1]data!$C180,[2]data!$B$2:$B$218,[2]data!S$2:S$218)/100)</f>
        <v>0.40369081099999998</v>
      </c>
      <c r="X179">
        <f>[1]data!U180*(_xlfn.XLOOKUP([1]data!$C180,[2]data!$B$2:$B$218,[2]data!T$2:T$218)/100)</f>
        <v>0.47659563006000005</v>
      </c>
      <c r="Y179">
        <f>[1]data!V180*(_xlfn.XLOOKUP([1]data!$C180,[2]data!$B$2:$B$218,[2]data!U$2:U$218)/100)</f>
        <v>0.55636633817000003</v>
      </c>
      <c r="Z179">
        <f>[1]data!W180*(_xlfn.XLOOKUP([1]data!$C180,[2]data!$B$2:$B$218,[2]data!V$2:V$218)/100)</f>
        <v>0.64019572069999997</v>
      </c>
      <c r="AA179">
        <f>[1]data!X180*(_xlfn.XLOOKUP([1]data!$C180,[2]data!$B$2:$B$218,[2]data!W$2:W$218)/100)</f>
        <v>0.72483779015999972</v>
      </c>
      <c r="AB179">
        <f>[1]data!Y180*(_xlfn.XLOOKUP([1]data!$C180,[2]data!$B$2:$B$218,[2]data!X$2:X$218)/100)</f>
        <v>0.80697959423999999</v>
      </c>
      <c r="AC179">
        <f>[1]data!Z180*(_xlfn.XLOOKUP([1]data!$C180,[2]data!$B$2:$B$218,[2]data!Y$2:Y$218)/100)</f>
        <v>0.8851650674999999</v>
      </c>
      <c r="AD179">
        <f>[1]data!AA180*(_xlfn.XLOOKUP([1]data!$C180,[2]data!$B$2:$B$218,[2]data!Z$2:Z$218)/100)</f>
        <v>0.95751951430000004</v>
      </c>
      <c r="AE179">
        <f>[1]data!AB180*(_xlfn.XLOOKUP([1]data!$C180,[2]data!$B$2:$B$218,[2]data!AA$2:AA$218)/100)</f>
        <v>1.0220409378599999</v>
      </c>
      <c r="AF179">
        <f>[1]data!AC180*(_xlfn.XLOOKUP([1]data!$C180,[2]data!$B$2:$B$218,[2]data!AB$2:AB$218)/100)</f>
        <v>1.0783530072800001</v>
      </c>
      <c r="AG179">
        <f>[1]data!AD180*(_xlfn.XLOOKUP([1]data!$C180,[2]data!$B$2:$B$218,[2]data!AC$2:AC$218)/100)</f>
        <v>1.1265240472400002</v>
      </c>
      <c r="AH179">
        <f>[1]data!AE180*(_xlfn.XLOOKUP([1]data!$C180,[2]data!$B$2:$B$218,[2]data!AD$2:AD$218)/100)</f>
        <v>1.1657999036</v>
      </c>
      <c r="AI179">
        <f>[1]data!AF180*(_xlfn.XLOOKUP([1]data!$C180,[2]data!$B$2:$B$218,[2]data!AE$2:AE$218)/100)</f>
        <v>1.19641998072</v>
      </c>
      <c r="AJ179">
        <f>[1]data!AG180*(_xlfn.XLOOKUP([1]data!$C180,[2]data!$B$2:$B$218,[2]data!AF$2:AF$218)/100)</f>
        <v>1.21849878816</v>
      </c>
      <c r="AK179">
        <f>[1]data!AH180*(_xlfn.XLOOKUP([1]data!$C180,[2]data!$B$2:$B$218,[2]data!AG$2:AG$218)/100)</f>
        <v>1.2330660900599999</v>
      </c>
      <c r="AL179">
        <f>[1]data!AI180*(_xlfn.XLOOKUP([1]data!$C180,[2]data!$B$2:$B$218,[2]data!AH$2:AH$218)/100)</f>
        <v>1.2417054592800001</v>
      </c>
      <c r="AM179">
        <f>[1]data!AJ180*(_xlfn.XLOOKUP([1]data!$C180,[2]data!$B$2:$B$218,[2]data!AI$2:AI$218)/100)</f>
        <v>1.24625507139</v>
      </c>
    </row>
    <row r="180" spans="1:39" x14ac:dyDescent="0.25">
      <c r="A180" t="s">
        <v>30</v>
      </c>
      <c r="B180" t="s">
        <v>31</v>
      </c>
      <c r="C180" t="s">
        <v>211</v>
      </c>
      <c r="D180" t="s">
        <v>433</v>
      </c>
      <c r="E180" t="str">
        <f>_xlfn.XLOOKUP(D180,[6]Feuil1!$C$2:$C$248,[6]Feuil1!$B$2:$B$248)</f>
        <v>TO</v>
      </c>
      <c r="F180" t="s">
        <v>33</v>
      </c>
      <c r="G180" t="s">
        <v>250</v>
      </c>
      <c r="H180" t="s">
        <v>34</v>
      </c>
      <c r="I180">
        <f>[1]data!F181*(_xlfn.XLOOKUP([1]data!$C181,[2]data!$B$2:$B$218,[2]data!E$2:E$218)/100)</f>
        <v>6.3366090000000009E-3</v>
      </c>
      <c r="J180">
        <f>[1]data!G181*(_xlfn.XLOOKUP([1]data!$C181,[2]data!$B$2:$B$218,[2]data!F$2:F$218)/100)</f>
        <v>8.8486399999999996E-3</v>
      </c>
      <c r="K180">
        <f>[1]data!H181*(_xlfn.XLOOKUP([1]data!$C181,[2]data!$B$2:$B$218,[2]data!G$2:G$218)/100)</f>
        <v>1.1695728000000001E-2</v>
      </c>
      <c r="L180">
        <f>[1]data!I181*(_xlfn.XLOOKUP([1]data!$C181,[2]data!$B$2:$B$218,[2]data!H$2:H$218)/100)</f>
        <v>1.4938169999999999E-2</v>
      </c>
      <c r="M180">
        <f>[1]data!J181*(_xlfn.XLOOKUP([1]data!$C181,[2]data!$B$2:$B$218,[2]data!I$2:I$218)/100)</f>
        <v>1.7324125999999999E-2</v>
      </c>
      <c r="N180">
        <f>[1]data!K181*(_xlfn.XLOOKUP([1]data!$C181,[2]data!$B$2:$B$218,[2]data!J$2:J$218)/100)</f>
        <v>1.8826423000000002E-2</v>
      </c>
      <c r="O180">
        <f>[1]data!L181*(_xlfn.XLOOKUP([1]data!$C181,[2]data!$B$2:$B$218,[2]data!K$2:K$218)/100)</f>
        <v>2.0484499999999999E-2</v>
      </c>
      <c r="P180">
        <f>[1]data!M181*(_xlfn.XLOOKUP([1]data!$C181,[2]data!$B$2:$B$218,[2]data!L$2:L$218)/100)</f>
        <v>2.1641035000000003E-2</v>
      </c>
      <c r="Q180">
        <f>[1]data!N181*(_xlfn.XLOOKUP([1]data!$C181,[2]data!$B$2:$B$218,[2]data!M$2:M$218)/100)</f>
        <v>2.2376525000000001E-2</v>
      </c>
      <c r="R180">
        <f>[1]data!O181*(_xlfn.XLOOKUP([1]data!$C181,[2]data!$B$2:$B$218,[2]data!N$2:N$218)/100)</f>
        <v>2.2868169000000001E-2</v>
      </c>
      <c r="S180">
        <f>[1]data!P181*(_xlfn.XLOOKUP([1]data!$C181,[2]data!$B$2:$B$218,[2]data!O$2:O$218)/100)</f>
        <v>2.3528080000000003E-2</v>
      </c>
      <c r="T180">
        <f>[1]data!Q181*(_xlfn.XLOOKUP([1]data!$C181,[2]data!$B$2:$B$218,[2]data!P$2:P$218)/100)</f>
        <v>2.4440968E-2</v>
      </c>
      <c r="U180">
        <f>[1]data!R181*(_xlfn.XLOOKUP([1]data!$C181,[2]data!$B$2:$B$218,[2]data!Q$2:Q$218)/100)</f>
        <v>2.5093457999999999E-2</v>
      </c>
      <c r="V180">
        <f>[1]data!S181*(_xlfn.XLOOKUP([1]data!$C181,[2]data!$B$2:$B$218,[2]data!R$2:R$218)/100)</f>
        <v>2.4787937999999999E-2</v>
      </c>
      <c r="W180">
        <f>[1]data!T181*(_xlfn.XLOOKUP([1]data!$C181,[2]data!$B$2:$B$218,[2]data!S$2:S$218)/100)</f>
        <v>2.4226356000000004E-2</v>
      </c>
      <c r="X180">
        <f>[1]data!U181*(_xlfn.XLOOKUP([1]data!$C181,[2]data!$B$2:$B$218,[2]data!T$2:T$218)/100)</f>
        <v>2.7412310519999997E-2</v>
      </c>
      <c r="Y180">
        <f>[1]data!V181*(_xlfn.XLOOKUP([1]data!$C181,[2]data!$B$2:$B$218,[2]data!U$2:U$218)/100)</f>
        <v>3.070221830999972E-2</v>
      </c>
      <c r="Z180">
        <f>[1]data!W181*(_xlfn.XLOOKUP([1]data!$C181,[2]data!$B$2:$B$218,[2]data!V$2:V$218)/100)</f>
        <v>3.405267754E-2</v>
      </c>
      <c r="AA180">
        <f>[1]data!X181*(_xlfn.XLOOKUP([1]data!$C181,[2]data!$B$2:$B$218,[2]data!W$2:W$218)/100)</f>
        <v>3.7426833899999991E-2</v>
      </c>
      <c r="AB180">
        <f>[1]data!Y181*(_xlfn.XLOOKUP([1]data!$C181,[2]data!$B$2:$B$218,[2]data!X$2:X$218)/100)</f>
        <v>4.0650995700000005E-2</v>
      </c>
      <c r="AC180">
        <f>[1]data!Z181*(_xlfn.XLOOKUP([1]data!$C181,[2]data!$B$2:$B$218,[2]data!Y$2:Y$218)/100)</f>
        <v>4.3630926350000002E-2</v>
      </c>
      <c r="AD180">
        <f>[1]data!AA181*(_xlfn.XLOOKUP([1]data!$C181,[2]data!$B$2:$B$218,[2]data!Z$2:Z$218)/100)</f>
        <v>4.6244252999999992E-2</v>
      </c>
      <c r="AE180">
        <f>[1]data!AB181*(_xlfn.XLOOKUP([1]data!$C181,[2]data!$B$2:$B$218,[2]data!AA$2:AA$218)/100)</f>
        <v>4.8440676350000003E-2</v>
      </c>
      <c r="AF180">
        <f>[1]data!AC181*(_xlfn.XLOOKUP([1]data!$C181,[2]data!$B$2:$B$218,[2]data!AB$2:AB$218)/100)</f>
        <v>5.0522316800000008E-2</v>
      </c>
      <c r="AG180">
        <f>[1]data!AD181*(_xlfn.XLOOKUP([1]data!$C181,[2]data!$B$2:$B$218,[2]data!AC$2:AC$218)/100)</f>
        <v>5.2594312300000001E-2</v>
      </c>
      <c r="AH180">
        <f>[1]data!AE181*(_xlfn.XLOOKUP([1]data!$C181,[2]data!$B$2:$B$218,[2]data!AD$2:AD$218)/100)</f>
        <v>5.4684840639999989E-2</v>
      </c>
      <c r="AI180">
        <f>[1]data!AF181*(_xlfn.XLOOKUP([1]data!$C181,[2]data!$B$2:$B$218,[2]data!AE$2:AE$218)/100)</f>
        <v>5.6791687500000007E-2</v>
      </c>
      <c r="AJ180">
        <f>[1]data!AG181*(_xlfn.XLOOKUP([1]data!$C181,[2]data!$B$2:$B$218,[2]data!AF$2:AF$218)/100)</f>
        <v>5.8881853800000002E-2</v>
      </c>
      <c r="AK180">
        <f>[1]data!AH181*(_xlfn.XLOOKUP([1]data!$C181,[2]data!$B$2:$B$218,[2]data!AG$2:AG$218)/100)</f>
        <v>6.0929442360000009E-2</v>
      </c>
      <c r="AL180">
        <f>[1]data!AI181*(_xlfn.XLOOKUP([1]data!$C181,[2]data!$B$2:$B$218,[2]data!AH$2:AH$218)/100)</f>
        <v>6.2973148290000017E-2</v>
      </c>
      <c r="AM180">
        <f>[1]data!AJ181*(_xlfn.XLOOKUP([1]data!$C181,[2]data!$B$2:$B$218,[2]data!AI$2:AI$218)/100)</f>
        <v>6.5070837450000002E-2</v>
      </c>
    </row>
    <row r="181" spans="1:39" x14ac:dyDescent="0.25">
      <c r="A181" t="s">
        <v>30</v>
      </c>
      <c r="B181" t="s">
        <v>31</v>
      </c>
      <c r="C181" t="s">
        <v>212</v>
      </c>
      <c r="D181" t="s">
        <v>434</v>
      </c>
      <c r="E181" t="str">
        <f>_xlfn.XLOOKUP(D181,[6]Feuil1!$C$2:$C$248,[6]Feuil1!$B$2:$B$248)</f>
        <v>TT</v>
      </c>
      <c r="F181" t="s">
        <v>33</v>
      </c>
      <c r="G181" t="s">
        <v>236</v>
      </c>
      <c r="H181" t="s">
        <v>34</v>
      </c>
      <c r="I181">
        <f>[1]data!F182*(_xlfn.XLOOKUP([1]data!$C182,[2]data!$B$2:$B$218,[2]data!E$2:E$218)/100)</f>
        <v>0.168449396</v>
      </c>
      <c r="J181">
        <f>[1]data!G182*(_xlfn.XLOOKUP([1]data!$C182,[2]data!$B$2:$B$218,[2]data!F$2:F$218)/100)</f>
        <v>0.22031996000000001</v>
      </c>
      <c r="K181">
        <f>[1]data!H182*(_xlfn.XLOOKUP([1]data!$C182,[2]data!$B$2:$B$218,[2]data!G$2:G$218)/100)</f>
        <v>0.28641097799999998</v>
      </c>
      <c r="L181">
        <f>[1]data!I182*(_xlfn.XLOOKUP([1]data!$C182,[2]data!$B$2:$B$218,[2]data!H$2:H$218)/100)</f>
        <v>0.35463659000000003</v>
      </c>
      <c r="M181">
        <f>[1]data!J182*(_xlfn.XLOOKUP([1]data!$C182,[2]data!$B$2:$B$218,[2]data!I$2:I$218)/100)</f>
        <v>0.42305120000000002</v>
      </c>
      <c r="N181">
        <f>[1]data!K182*(_xlfn.XLOOKUP([1]data!$C182,[2]data!$B$2:$B$218,[2]data!J$2:J$218)/100)</f>
        <v>0.49951296900000003</v>
      </c>
      <c r="O181">
        <f>[1]data!L182*(_xlfn.XLOOKUP([1]data!$C182,[2]data!$B$2:$B$218,[2]data!K$2:K$218)/100)</f>
        <v>0.5859226529999999</v>
      </c>
      <c r="P181">
        <f>[1]data!M182*(_xlfn.XLOOKUP([1]data!$C182,[2]data!$B$2:$B$218,[2]data!L$2:L$218)/100)</f>
        <v>0.63373595599999999</v>
      </c>
      <c r="Q181">
        <f>[1]data!N182*(_xlfn.XLOOKUP([1]data!$C182,[2]data!$B$2:$B$218,[2]data!M$2:M$218)/100)</f>
        <v>0.68254615800000007</v>
      </c>
      <c r="R181">
        <f>[1]data!O182*(_xlfn.XLOOKUP([1]data!$C182,[2]data!$B$2:$B$218,[2]data!N$2:N$218)/100)</f>
        <v>0.71763670000000024</v>
      </c>
      <c r="S181">
        <f>[1]data!P182*(_xlfn.XLOOKUP([1]data!$C182,[2]data!$B$2:$B$218,[2]data!O$2:O$218)/100)</f>
        <v>0.74308149499999998</v>
      </c>
      <c r="T181">
        <f>[1]data!Q182*(_xlfn.XLOOKUP([1]data!$C182,[2]data!$B$2:$B$218,[2]data!P$2:P$218)/100)</f>
        <v>0.75082810000000011</v>
      </c>
      <c r="U181">
        <f>[1]data!R182*(_xlfn.XLOOKUP([1]data!$C182,[2]data!$B$2:$B$218,[2]data!Q$2:Q$218)/100)</f>
        <v>0.75906072000000002</v>
      </c>
      <c r="V181">
        <f>[1]data!S182*(_xlfn.XLOOKUP([1]data!$C182,[2]data!$B$2:$B$218,[2]data!R$2:R$218)/100)</f>
        <v>0.7757814999999999</v>
      </c>
      <c r="W181">
        <f>[1]data!T182*(_xlfn.XLOOKUP([1]data!$C182,[2]data!$B$2:$B$218,[2]data!S$2:S$218)/100)</f>
        <v>0.80539533200000013</v>
      </c>
      <c r="X181">
        <f>[1]data!U182*(_xlfn.XLOOKUP([1]data!$C182,[2]data!$B$2:$B$218,[2]data!T$2:T$218)/100)</f>
        <v>0.84208744705999983</v>
      </c>
      <c r="Y181">
        <f>[1]data!V182*(_xlfn.XLOOKUP([1]data!$C182,[2]data!$B$2:$B$218,[2]data!U$2:U$218)/100)</f>
        <v>0.87314360824000004</v>
      </c>
      <c r="Z181">
        <f>[1]data!W182*(_xlfn.XLOOKUP([1]data!$C182,[2]data!$B$2:$B$218,[2]data!V$2:V$218)/100)</f>
        <v>0.89885737359000006</v>
      </c>
      <c r="AA181">
        <f>[1]data!X182*(_xlfn.XLOOKUP([1]data!$C182,[2]data!$B$2:$B$218,[2]data!W$2:W$218)/100)</f>
        <v>0.91953494159999993</v>
      </c>
      <c r="AB181">
        <f>[1]data!Y182*(_xlfn.XLOOKUP([1]data!$C182,[2]data!$B$2:$B$218,[2]data!X$2:X$218)/100)</f>
        <v>0.93550019610000001</v>
      </c>
      <c r="AC181">
        <f>[1]data!Z182*(_xlfn.XLOOKUP([1]data!$C182,[2]data!$B$2:$B$218,[2]data!Y$2:Y$218)/100)</f>
        <v>0.94598080979999999</v>
      </c>
      <c r="AD181">
        <f>[1]data!AA182*(_xlfn.XLOOKUP([1]data!$C182,[2]data!$B$2:$B$218,[2]data!Z$2:Z$218)/100)</f>
        <v>0.95175324315999932</v>
      </c>
      <c r="AE181">
        <f>[1]data!AB182*(_xlfn.XLOOKUP([1]data!$C182,[2]data!$B$2:$B$218,[2]data!AA$2:AA$218)/100)</f>
        <v>0.95353547246999992</v>
      </c>
      <c r="AF181">
        <f>[1]data!AC182*(_xlfn.XLOOKUP([1]data!$C182,[2]data!$B$2:$B$218,[2]data!AB$2:AB$218)/100)</f>
        <v>0.95252894174000002</v>
      </c>
      <c r="AG181">
        <f>[1]data!AD182*(_xlfn.XLOOKUP([1]data!$C182,[2]data!$B$2:$B$218,[2]data!AC$2:AC$218)/100)</f>
        <v>0.94903894175999992</v>
      </c>
      <c r="AH181">
        <f>[1]data!AE182*(_xlfn.XLOOKUP([1]data!$C182,[2]data!$B$2:$B$218,[2]data!AD$2:AD$218)/100)</f>
        <v>0.94347708446</v>
      </c>
      <c r="AI181">
        <f>[1]data!AF182*(_xlfn.XLOOKUP([1]data!$C182,[2]data!$B$2:$B$218,[2]data!AE$2:AE$218)/100)</f>
        <v>0.93627714047999988</v>
      </c>
      <c r="AJ181">
        <f>[1]data!AG182*(_xlfn.XLOOKUP([1]data!$C182,[2]data!$B$2:$B$218,[2]data!AF$2:AF$218)/100)</f>
        <v>0.92927817400000012</v>
      </c>
      <c r="AK181">
        <f>[1]data!AH182*(_xlfn.XLOOKUP([1]data!$C182,[2]data!$B$2:$B$218,[2]data!AG$2:AG$218)/100)</f>
        <v>0.92333316899999918</v>
      </c>
      <c r="AL181">
        <f>[1]data!AI182*(_xlfn.XLOOKUP([1]data!$C182,[2]data!$B$2:$B$218,[2]data!AH$2:AH$218)/100)</f>
        <v>0.91780907519999999</v>
      </c>
      <c r="AM181">
        <f>[1]data!AJ182*(_xlfn.XLOOKUP([1]data!$C182,[2]data!$B$2:$B$218,[2]data!AI$2:AI$218)/100)</f>
        <v>0.91219205427999983</v>
      </c>
    </row>
    <row r="182" spans="1:39" x14ac:dyDescent="0.25">
      <c r="A182" t="s">
        <v>30</v>
      </c>
      <c r="B182" t="s">
        <v>31</v>
      </c>
      <c r="C182" t="s">
        <v>213</v>
      </c>
      <c r="D182" t="s">
        <v>435</v>
      </c>
      <c r="E182" t="str">
        <f>_xlfn.XLOOKUP(D182,[6]Feuil1!$C$2:$C$248,[6]Feuil1!$B$2:$B$248)</f>
        <v>TN</v>
      </c>
      <c r="F182" t="s">
        <v>33</v>
      </c>
      <c r="G182" t="str">
        <f>_xlfn.XLOOKUP(C182,[3]Sheet1!$B$2:$B$172,[3]Sheet1!$D$2:$D$172)</f>
        <v>Northern Africa</v>
      </c>
      <c r="H182" t="s">
        <v>34</v>
      </c>
      <c r="I182">
        <f>[1]data!F183*(_xlfn.XLOOKUP([1]data!$C183,[2]data!$B$2:$B$218,[2]data!E$2:E$218)/100)</f>
        <v>1.1541087159999999</v>
      </c>
      <c r="J182">
        <f>[1]data!G183*(_xlfn.XLOOKUP([1]data!$C183,[2]data!$B$2:$B$218,[2]data!F$2:F$218)/100)</f>
        <v>1.3847440640000002</v>
      </c>
      <c r="K182">
        <f>[1]data!H183*(_xlfn.XLOOKUP([1]data!$C183,[2]data!$B$2:$B$218,[2]data!G$2:G$218)/100)</f>
        <v>1.5658957499999997</v>
      </c>
      <c r="L182">
        <f>[1]data!I183*(_xlfn.XLOOKUP([1]data!$C183,[2]data!$B$2:$B$218,[2]data!H$2:H$218)/100)</f>
        <v>1.7543068729999998</v>
      </c>
      <c r="M182">
        <f>[1]data!J183*(_xlfn.XLOOKUP([1]data!$C183,[2]data!$B$2:$B$218,[2]data!I$2:I$218)/100)</f>
        <v>2.16654795</v>
      </c>
      <c r="N182">
        <f>[1]data!K183*(_xlfn.XLOOKUP([1]data!$C183,[2]data!$B$2:$B$218,[2]data!J$2:J$218)/100)</f>
        <v>2.7081467840000002</v>
      </c>
      <c r="O182">
        <f>[1]data!L183*(_xlfn.XLOOKUP([1]data!$C183,[2]data!$B$2:$B$218,[2]data!K$2:K$218)/100)</f>
        <v>3.2874506280000002</v>
      </c>
      <c r="P182">
        <f>[1]data!M183*(_xlfn.XLOOKUP([1]data!$C183,[2]data!$B$2:$B$218,[2]data!L$2:L$218)/100)</f>
        <v>3.9688114739999998</v>
      </c>
      <c r="Q182">
        <f>[1]data!N183*(_xlfn.XLOOKUP([1]data!$C183,[2]data!$B$2:$B$218,[2]data!M$2:M$218)/100)</f>
        <v>4.8335105279999997</v>
      </c>
      <c r="R182">
        <f>[1]data!O183*(_xlfn.XLOOKUP([1]data!$C183,[2]data!$B$2:$B$218,[2]data!N$2:N$218)/100)</f>
        <v>5.6723454899999997</v>
      </c>
      <c r="S182">
        <f>[1]data!P183*(_xlfn.XLOOKUP([1]data!$C183,[2]data!$B$2:$B$218,[2]data!O$2:O$218)/100)</f>
        <v>6.2395179740000009</v>
      </c>
      <c r="T182">
        <f>[1]data!Q183*(_xlfn.XLOOKUP([1]data!$C183,[2]data!$B$2:$B$218,[2]data!P$2:P$218)/100)</f>
        <v>6.742232896</v>
      </c>
      <c r="U182">
        <f>[1]data!R183*(_xlfn.XLOOKUP([1]data!$C183,[2]data!$B$2:$B$218,[2]data!Q$2:Q$218)/100)</f>
        <v>7.2287872540000011</v>
      </c>
      <c r="V182">
        <f>[1]data!S183*(_xlfn.XLOOKUP([1]data!$C183,[2]data!$B$2:$B$218,[2]data!R$2:R$218)/100)</f>
        <v>7.8270060809999995</v>
      </c>
      <c r="W182">
        <f>[1]data!T183*(_xlfn.XLOOKUP([1]data!$C183,[2]data!$B$2:$B$218,[2]data!S$2:S$218)/100)</f>
        <v>8.4259465200000001</v>
      </c>
      <c r="X182">
        <f>[1]data!U183*(_xlfn.XLOOKUP([1]data!$C183,[2]data!$B$2:$B$218,[2]data!T$2:T$218)/100)</f>
        <v>8.9481962671200002</v>
      </c>
      <c r="Y182">
        <f>[1]data!V183*(_xlfn.XLOOKUP([1]data!$C183,[2]data!$B$2:$B$218,[2]data!U$2:U$218)/100)</f>
        <v>9.4217054174200001</v>
      </c>
      <c r="Z182">
        <f>[1]data!W183*(_xlfn.XLOOKUP([1]data!$C183,[2]data!$B$2:$B$218,[2]data!V$2:V$218)/100)</f>
        <v>9.8173840229699998</v>
      </c>
      <c r="AA182">
        <f>[1]data!X183*(_xlfn.XLOOKUP([1]data!$C183,[2]data!$B$2:$B$218,[2]data!W$2:W$218)/100)</f>
        <v>10.162316293360002</v>
      </c>
      <c r="AB182">
        <f>[1]data!Y183*(_xlfn.XLOOKUP([1]data!$C183,[2]data!$B$2:$B$218,[2]data!X$2:X$218)/100)</f>
        <v>10.474643755519999</v>
      </c>
      <c r="AC182">
        <f>[1]data!Z183*(_xlfn.XLOOKUP([1]data!$C183,[2]data!$B$2:$B$218,[2]data!Y$2:Y$218)/100)</f>
        <v>10.74989918574</v>
      </c>
      <c r="AD182">
        <f>[1]data!AA183*(_xlfn.XLOOKUP([1]data!$C183,[2]data!$B$2:$B$218,[2]data!Z$2:Z$218)/100)</f>
        <v>10.970293116599999</v>
      </c>
      <c r="AE182">
        <f>[1]data!AB183*(_xlfn.XLOOKUP([1]data!$C183,[2]data!$B$2:$B$218,[2]data!AA$2:AA$218)/100)</f>
        <v>11.1270726216</v>
      </c>
      <c r="AF182">
        <f>[1]data!AC183*(_xlfn.XLOOKUP([1]data!$C183,[2]data!$B$2:$B$218,[2]data!AB$2:AB$218)/100)</f>
        <v>11.22503202285</v>
      </c>
      <c r="AG182">
        <f>[1]data!AD183*(_xlfn.XLOOKUP([1]data!$C183,[2]data!$B$2:$B$218,[2]data!AC$2:AC$218)/100)</f>
        <v>11.2800966194</v>
      </c>
      <c r="AH182">
        <f>[1]data!AE183*(_xlfn.XLOOKUP([1]data!$C183,[2]data!$B$2:$B$218,[2]data!AD$2:AD$218)/100)</f>
        <v>11.307549772820002</v>
      </c>
      <c r="AI182">
        <f>[1]data!AF183*(_xlfn.XLOOKUP([1]data!$C183,[2]data!$B$2:$B$218,[2]data!AE$2:AE$218)/100)</f>
        <v>11.318956941249999</v>
      </c>
      <c r="AJ182">
        <f>[1]data!AG183*(_xlfn.XLOOKUP([1]data!$C183,[2]data!$B$2:$B$218,[2]data!AF$2:AF$218)/100)</f>
        <v>11.320976031700001</v>
      </c>
      <c r="AK182">
        <f>[1]data!AH183*(_xlfn.XLOOKUP([1]data!$C183,[2]data!$B$2:$B$218,[2]data!AG$2:AG$218)/100)</f>
        <v>11.311390860720001</v>
      </c>
      <c r="AL182">
        <f>[1]data!AI183*(_xlfn.XLOOKUP([1]data!$C183,[2]data!$B$2:$B$218,[2]data!AH$2:AH$218)/100)</f>
        <v>11.284814756859999</v>
      </c>
      <c r="AM182">
        <f>[1]data!AJ183*(_xlfn.XLOOKUP([1]data!$C183,[2]data!$B$2:$B$218,[2]data!AI$2:AI$218)/100)</f>
        <v>11.233126623539999</v>
      </c>
    </row>
    <row r="183" spans="1:39" x14ac:dyDescent="0.25">
      <c r="A183" t="s">
        <v>30</v>
      </c>
      <c r="B183" t="s">
        <v>31</v>
      </c>
      <c r="C183" t="s">
        <v>214</v>
      </c>
      <c r="D183" t="s">
        <v>270</v>
      </c>
      <c r="E183" t="str">
        <f>_xlfn.XLOOKUP(D183,[6]Feuil1!$C$2:$C$248,[6]Feuil1!$B$2:$B$248)</f>
        <v>TR</v>
      </c>
      <c r="F183" t="s">
        <v>33</v>
      </c>
      <c r="G183" t="str">
        <f>_xlfn.XLOOKUP(C183,[3]Sheet1!$B$2:$B$172,[3]Sheet1!$D$2:$D$172)</f>
        <v>Turkey</v>
      </c>
      <c r="H183" t="s">
        <v>34</v>
      </c>
      <c r="I183">
        <f>[1]data!F184*(_xlfn.XLOOKUP([1]data!$C184,[2]data!$B$2:$B$218,[2]data!E$2:E$218)/100)</f>
        <v>5.1374035760000005</v>
      </c>
      <c r="J183">
        <f>[1]data!G184*(_xlfn.XLOOKUP([1]data!$C184,[2]data!$B$2:$B$218,[2]data!F$2:F$218)/100)</f>
        <v>6.7337593180000015</v>
      </c>
      <c r="K183">
        <f>[1]data!H184*(_xlfn.XLOOKUP([1]data!$C184,[2]data!$B$2:$B$218,[2]data!G$2:G$218)/100)</f>
        <v>8.5519973700000005</v>
      </c>
      <c r="L183">
        <f>[1]data!I184*(_xlfn.XLOOKUP([1]data!$C184,[2]data!$B$2:$B$218,[2]data!H$2:H$218)/100)</f>
        <v>10.601979480000001</v>
      </c>
      <c r="M183">
        <f>[1]data!J184*(_xlfn.XLOOKUP([1]data!$C184,[2]data!$B$2:$B$218,[2]data!I$2:I$218)/100)</f>
        <v>13.420566486</v>
      </c>
      <c r="N183">
        <f>[1]data!K184*(_xlfn.XLOOKUP([1]data!$C184,[2]data!$B$2:$B$218,[2]data!J$2:J$218)/100)</f>
        <v>16.338870912000001</v>
      </c>
      <c r="O183">
        <f>[1]data!L184*(_xlfn.XLOOKUP([1]data!$C184,[2]data!$B$2:$B$218,[2]data!K$2:K$218)/100)</f>
        <v>19.110336827999998</v>
      </c>
      <c r="P183">
        <f>[1]data!M184*(_xlfn.XLOOKUP([1]data!$C184,[2]data!$B$2:$B$218,[2]data!L$2:L$218)/100)</f>
        <v>25.489527788</v>
      </c>
      <c r="Q183">
        <f>[1]data!N184*(_xlfn.XLOOKUP([1]data!$C184,[2]data!$B$2:$B$218,[2]data!M$2:M$218)/100)</f>
        <v>31.860511744000004</v>
      </c>
      <c r="R183">
        <f>[1]data!O184*(_xlfn.XLOOKUP([1]data!$C184,[2]data!$B$2:$B$218,[2]data!N$2:N$218)/100)</f>
        <v>36.527254775999999</v>
      </c>
      <c r="S183">
        <f>[1]data!P184*(_xlfn.XLOOKUP([1]data!$C184,[2]data!$B$2:$B$218,[2]data!O$2:O$218)/100)</f>
        <v>41.178330528000004</v>
      </c>
      <c r="T183">
        <f>[1]data!Q184*(_xlfn.XLOOKUP([1]data!$C184,[2]data!$B$2:$B$218,[2]data!P$2:P$218)/100)</f>
        <v>46.274079012000001</v>
      </c>
      <c r="U183">
        <f>[1]data!R184*(_xlfn.XLOOKUP([1]data!$C184,[2]data!$B$2:$B$218,[2]data!Q$2:Q$218)/100)</f>
        <v>51.474058884000002</v>
      </c>
      <c r="V183">
        <f>[1]data!S184*(_xlfn.XLOOKUP([1]data!$C184,[2]data!$B$2:$B$218,[2]data!R$2:R$218)/100)</f>
        <v>58.119196064</v>
      </c>
      <c r="W183">
        <f>[1]data!T184*(_xlfn.XLOOKUP([1]data!$C184,[2]data!$B$2:$B$218,[2]data!S$2:S$218)/100)</f>
        <v>63.780686196999994</v>
      </c>
      <c r="X183">
        <f>[1]data!U184*(_xlfn.XLOOKUP([1]data!$C184,[2]data!$B$2:$B$218,[2]data!T$2:T$218)/100)</f>
        <v>67.462470263580002</v>
      </c>
      <c r="Y183">
        <f>[1]data!V184*(_xlfn.XLOOKUP([1]data!$C184,[2]data!$B$2:$B$218,[2]data!U$2:U$218)/100)</f>
        <v>70.850458863729997</v>
      </c>
      <c r="Z183">
        <f>[1]data!W184*(_xlfn.XLOOKUP([1]data!$C184,[2]data!$B$2:$B$218,[2]data!V$2:V$218)/100)</f>
        <v>73.812916711819994</v>
      </c>
      <c r="AA183">
        <f>[1]data!X184*(_xlfn.XLOOKUP([1]data!$C184,[2]data!$B$2:$B$218,[2]data!W$2:W$218)/100)</f>
        <v>76.410460811310003</v>
      </c>
      <c r="AB183">
        <f>[1]data!Y184*(_xlfn.XLOOKUP([1]data!$C184,[2]data!$B$2:$B$218,[2]data!X$2:X$218)/100)</f>
        <v>78.605570410829998</v>
      </c>
      <c r="AC183">
        <f>[1]data!Z184*(_xlfn.XLOOKUP([1]data!$C184,[2]data!$B$2:$B$218,[2]data!Y$2:Y$218)/100)</f>
        <v>80.273245906559922</v>
      </c>
      <c r="AD183">
        <f>[1]data!AA184*(_xlfn.XLOOKUP([1]data!$C184,[2]data!$B$2:$B$218,[2]data!Z$2:Z$218)/100)</f>
        <v>81.413412543160007</v>
      </c>
      <c r="AE183">
        <f>[1]data!AB184*(_xlfn.XLOOKUP([1]data!$C184,[2]data!$B$2:$B$218,[2]data!AA$2:AA$218)/100)</f>
        <v>82.002201704010005</v>
      </c>
      <c r="AF183">
        <f>[1]data!AC184*(_xlfn.XLOOKUP([1]data!$C184,[2]data!$B$2:$B$218,[2]data!AB$2:AB$218)/100)</f>
        <v>82.143727402500076</v>
      </c>
      <c r="AG183">
        <f>[1]data!AD184*(_xlfn.XLOOKUP([1]data!$C184,[2]data!$B$2:$B$218,[2]data!AC$2:AC$218)/100)</f>
        <v>81.952742248199996</v>
      </c>
      <c r="AH183">
        <f>[1]data!AE184*(_xlfn.XLOOKUP([1]data!$C184,[2]data!$B$2:$B$218,[2]data!AD$2:AD$218)/100)</f>
        <v>81.487814959620081</v>
      </c>
      <c r="AI183">
        <f>[1]data!AF184*(_xlfn.XLOOKUP([1]data!$C184,[2]data!$B$2:$B$218,[2]data!AE$2:AE$218)/100)</f>
        <v>80.784734659709997</v>
      </c>
      <c r="AJ183">
        <f>[1]data!AG184*(_xlfn.XLOOKUP([1]data!$C184,[2]data!$B$2:$B$218,[2]data!AF$2:AF$218)/100)</f>
        <v>79.878686116229915</v>
      </c>
      <c r="AK183">
        <f>[1]data!AH184*(_xlfn.XLOOKUP([1]data!$C184,[2]data!$B$2:$B$218,[2]data!AG$2:AG$218)/100)</f>
        <v>78.814294445940007</v>
      </c>
      <c r="AL183">
        <f>[1]data!AI184*(_xlfn.XLOOKUP([1]data!$C184,[2]data!$B$2:$B$218,[2]data!AH$2:AH$218)/100)</f>
        <v>77.634212833100094</v>
      </c>
      <c r="AM183">
        <f>[1]data!AJ184*(_xlfn.XLOOKUP([1]data!$C184,[2]data!$B$2:$B$218,[2]data!AI$2:AI$218)/100)</f>
        <v>76.35514655610001</v>
      </c>
    </row>
    <row r="184" spans="1:39" x14ac:dyDescent="0.25">
      <c r="A184" t="s">
        <v>30</v>
      </c>
      <c r="B184" t="s">
        <v>31</v>
      </c>
      <c r="C184" t="s">
        <v>215</v>
      </c>
      <c r="D184" t="e">
        <v>#N/A</v>
      </c>
      <c r="E184" t="e">
        <f>_xlfn.XLOOKUP(D184,[6]Feuil1!$C$2:$C$248,[6]Feuil1!$B$2:$B$248)</f>
        <v>#N/A</v>
      </c>
      <c r="F184" t="s">
        <v>33</v>
      </c>
      <c r="G184" t="str">
        <f>_xlfn.XLOOKUP(C184,[3]Sheet1!$B$2:$B$172,[3]Sheet1!$D$2:$D$172)</f>
        <v>China region</v>
      </c>
      <c r="H184" t="s">
        <v>34</v>
      </c>
      <c r="I184">
        <f>[1]data!F185*(_xlfn.XLOOKUP([1]data!$C185,[2]data!$B$2:$B$218,[2]data!E$2:E$218)/100)</f>
        <v>2.0015424560000001</v>
      </c>
      <c r="J184">
        <f>[1]data!G185*(_xlfn.XLOOKUP([1]data!$C185,[2]data!$B$2:$B$218,[2]data!F$2:F$218)/100)</f>
        <v>2.6369861280000007</v>
      </c>
      <c r="K184">
        <f>[1]data!H185*(_xlfn.XLOOKUP([1]data!$C185,[2]data!$B$2:$B$218,[2]data!G$2:G$218)/100)</f>
        <v>3.3891725020000001</v>
      </c>
      <c r="L184">
        <f>[1]data!I185*(_xlfn.XLOOKUP([1]data!$C185,[2]data!$B$2:$B$218,[2]data!H$2:H$218)/100)</f>
        <v>4.3557255719999999</v>
      </c>
      <c r="M184">
        <f>[1]data!J185*(_xlfn.XLOOKUP([1]data!$C185,[2]data!$B$2:$B$218,[2]data!I$2:I$218)/100)</f>
        <v>5.3979039699999998</v>
      </c>
      <c r="N184">
        <f>[1]data!K185*(_xlfn.XLOOKUP([1]data!$C185,[2]data!$B$2:$B$218,[2]data!J$2:J$218)/100)</f>
        <v>6.5263164399999996</v>
      </c>
      <c r="O184">
        <f>[1]data!L185*(_xlfn.XLOOKUP([1]data!$C185,[2]data!$B$2:$B$218,[2]data!K$2:K$218)/100)</f>
        <v>8.7407987240000011</v>
      </c>
      <c r="P184">
        <f>[1]data!M185*(_xlfn.XLOOKUP([1]data!$C185,[2]data!$B$2:$B$218,[2]data!L$2:L$218)/100)</f>
        <v>11.184128903000003</v>
      </c>
      <c r="Q184">
        <f>[1]data!N185*(_xlfn.XLOOKUP([1]data!$C185,[2]data!$B$2:$B$218,[2]data!M$2:M$218)/100)</f>
        <v>13.588081571999998</v>
      </c>
      <c r="R184">
        <f>[1]data!O185*(_xlfn.XLOOKUP([1]data!$C185,[2]data!$B$2:$B$218,[2]data!N$2:N$218)/100)</f>
        <v>14.621285232000002</v>
      </c>
      <c r="S184">
        <f>[1]data!P185*(_xlfn.XLOOKUP([1]data!$C185,[2]data!$B$2:$B$218,[2]data!O$2:O$218)/100)</f>
        <v>15.467046309000001</v>
      </c>
      <c r="T184">
        <f>[1]data!Q185*(_xlfn.XLOOKUP([1]data!$C185,[2]data!$B$2:$B$218,[2]data!P$2:P$218)/100)</f>
        <v>16.451061747000001</v>
      </c>
      <c r="U184">
        <f>[1]data!R185*(_xlfn.XLOOKUP([1]data!$C185,[2]data!$B$2:$B$218,[2]data!Q$2:Q$218)/100)</f>
        <v>17.229490758000001</v>
      </c>
      <c r="V184">
        <f>[1]data!S185*(_xlfn.XLOOKUP([1]data!$C185,[2]data!$B$2:$B$218,[2]data!R$2:R$218)/100)</f>
        <v>18.046572865000002</v>
      </c>
      <c r="W184">
        <f>[1]data!T185*(_xlfn.XLOOKUP([1]data!$C185,[2]data!$B$2:$B$218,[2]data!S$2:S$218)/100)</f>
        <v>18.778906155000001</v>
      </c>
      <c r="X184">
        <f>[1]data!U185*(_xlfn.XLOOKUP([1]data!$C185,[2]data!$B$2:$B$218,[2]data!T$2:T$218)/100)</f>
        <v>18.782647221330002</v>
      </c>
      <c r="Y184">
        <f>[1]data!V185*(_xlfn.XLOOKUP([1]data!$C185,[2]data!$B$2:$B$218,[2]data!U$2:U$218)/100)</f>
        <v>18.70008572627</v>
      </c>
      <c r="Z184">
        <f>[1]data!W185*(_xlfn.XLOOKUP([1]data!$C185,[2]data!$B$2:$B$218,[2]data!V$2:V$218)/100)</f>
        <v>18.50171009224</v>
      </c>
      <c r="AA184">
        <f>[1]data!X185*(_xlfn.XLOOKUP([1]data!$C185,[2]data!$B$2:$B$218,[2]data!W$2:W$218)/100)</f>
        <v>18.148861913520001</v>
      </c>
      <c r="AB184">
        <f>[1]data!Y185*(_xlfn.XLOOKUP([1]data!$C185,[2]data!$B$2:$B$218,[2]data!X$2:X$218)/100)</f>
        <v>17.668095298560001</v>
      </c>
      <c r="AC184">
        <f>[1]data!Z185*(_xlfn.XLOOKUP([1]data!$C185,[2]data!$B$2:$B$218,[2]data!Y$2:Y$218)/100)</f>
        <v>17.115430236449999</v>
      </c>
      <c r="AD184">
        <f>[1]data!AA185*(_xlfn.XLOOKUP([1]data!$C185,[2]data!$B$2:$B$218,[2]data!Z$2:Z$218)/100)</f>
        <v>16.468639345319996</v>
      </c>
      <c r="AE184">
        <f>[1]data!AB185*(_xlfn.XLOOKUP([1]data!$C185,[2]data!$B$2:$B$218,[2]data!AA$2:AA$218)/100)</f>
        <v>15.778978814429998</v>
      </c>
      <c r="AF184">
        <f>[1]data!AC185*(_xlfn.XLOOKUP([1]data!$C185,[2]data!$B$2:$B$218,[2]data!AB$2:AB$218)/100)</f>
        <v>15.090891999610005</v>
      </c>
      <c r="AG184">
        <f>[1]data!AD185*(_xlfn.XLOOKUP([1]data!$C185,[2]data!$B$2:$B$218,[2]data!AC$2:AC$218)/100)</f>
        <v>14.405631626050001</v>
      </c>
      <c r="AH184">
        <f>[1]data!AE185*(_xlfn.XLOOKUP([1]data!$C185,[2]data!$B$2:$B$218,[2]data!AD$2:AD$218)/100)</f>
        <v>13.734818160080001</v>
      </c>
      <c r="AI184">
        <f>[1]data!AF185*(_xlfn.XLOOKUP([1]data!$C185,[2]data!$B$2:$B$218,[2]data!AE$2:AE$218)/100)</f>
        <v>13.110178988200001</v>
      </c>
      <c r="AJ184">
        <f>[1]data!AG185*(_xlfn.XLOOKUP([1]data!$C185,[2]data!$B$2:$B$218,[2]data!AF$2:AF$218)/100)</f>
        <v>12.54940038594</v>
      </c>
      <c r="AK184">
        <f>[1]data!AH185*(_xlfn.XLOOKUP([1]data!$C185,[2]data!$B$2:$B$218,[2]data!AG$2:AG$218)/100)</f>
        <v>12.05360957623</v>
      </c>
      <c r="AL184">
        <f>[1]data!AI185*(_xlfn.XLOOKUP([1]data!$C185,[2]data!$B$2:$B$218,[2]data!AH$2:AH$218)/100)</f>
        <v>11.618403369110002</v>
      </c>
      <c r="AM184">
        <f>[1]data!AJ185*(_xlfn.XLOOKUP([1]data!$C185,[2]data!$B$2:$B$218,[2]data!AI$2:AI$218)/100)</f>
        <v>11.233796413199999</v>
      </c>
    </row>
    <row r="185" spans="1:39" x14ac:dyDescent="0.25">
      <c r="A185" t="s">
        <v>30</v>
      </c>
      <c r="B185" t="s">
        <v>31</v>
      </c>
      <c r="C185" t="s">
        <v>216</v>
      </c>
      <c r="D185" t="s">
        <v>436</v>
      </c>
      <c r="E185" t="str">
        <f>_xlfn.XLOOKUP(D185,[6]Feuil1!$C$2:$C$248,[6]Feuil1!$B$2:$B$248)</f>
        <v>TZ</v>
      </c>
      <c r="F185" t="s">
        <v>33</v>
      </c>
      <c r="G185" t="str">
        <f>_xlfn.XLOOKUP(C185,[3]Sheet1!$B$2:$B$172,[3]Sheet1!$D$2:$D$172)</f>
        <v>Rest of Southern Africa</v>
      </c>
      <c r="H185" t="s">
        <v>34</v>
      </c>
      <c r="I185">
        <f>[1]data!F186*(_xlfn.XLOOKUP([1]data!$C186,[2]data!$B$2:$B$218,[2]data!E$2:E$218)/100)</f>
        <v>0.26366606000000004</v>
      </c>
      <c r="J185">
        <f>[1]data!G186*(_xlfn.XLOOKUP([1]data!$C186,[2]data!$B$2:$B$218,[2]data!F$2:F$218)/100)</f>
        <v>0.37864882000000005</v>
      </c>
      <c r="K185">
        <f>[1]data!H186*(_xlfn.XLOOKUP([1]data!$C186,[2]data!$B$2:$B$218,[2]data!G$2:G$218)/100)</f>
        <v>0.51474321600000006</v>
      </c>
      <c r="L185">
        <f>[1]data!I186*(_xlfn.XLOOKUP([1]data!$C186,[2]data!$B$2:$B$218,[2]data!H$2:H$218)/100)</f>
        <v>0.68749554000000002</v>
      </c>
      <c r="M185">
        <f>[1]data!J186*(_xlfn.XLOOKUP([1]data!$C186,[2]data!$B$2:$B$218,[2]data!I$2:I$218)/100)</f>
        <v>1.0575959100000001</v>
      </c>
      <c r="N185">
        <f>[1]data!K186*(_xlfn.XLOOKUP([1]data!$C186,[2]data!$B$2:$B$218,[2]data!J$2:J$218)/100)</f>
        <v>1.7706362579999999</v>
      </c>
      <c r="O185">
        <f>[1]data!L186*(_xlfn.XLOOKUP([1]data!$C186,[2]data!$B$2:$B$218,[2]data!K$2:K$218)/100)</f>
        <v>2.7746790460000001</v>
      </c>
      <c r="P185">
        <f>[1]data!M186*(_xlfn.XLOOKUP([1]data!$C186,[2]data!$B$2:$B$218,[2]data!L$2:L$218)/100)</f>
        <v>3.7265032560000004</v>
      </c>
      <c r="Q185">
        <f>[1]data!N186*(_xlfn.XLOOKUP([1]data!$C186,[2]data!$B$2:$B$218,[2]data!M$2:M$218)/100)</f>
        <v>4.8885751529999988</v>
      </c>
      <c r="R185">
        <f>[1]data!O186*(_xlfn.XLOOKUP([1]data!$C186,[2]data!$B$2:$B$218,[2]data!N$2:N$218)/100)</f>
        <v>6.1878829749999991</v>
      </c>
      <c r="S185">
        <f>[1]data!P186*(_xlfn.XLOOKUP([1]data!$C186,[2]data!$B$2:$B$218,[2]data!O$2:O$218)/100)</f>
        <v>7.5757832060000014</v>
      </c>
      <c r="T185">
        <f>[1]data!Q186*(_xlfn.XLOOKUP([1]data!$C186,[2]data!$B$2:$B$218,[2]data!P$2:P$218)/100)</f>
        <v>9.6440583360000005</v>
      </c>
      <c r="U185">
        <f>[1]data!R186*(_xlfn.XLOOKUP([1]data!$C186,[2]data!$B$2:$B$218,[2]data!Q$2:Q$218)/100)</f>
        <v>12.497381989000003</v>
      </c>
      <c r="V185">
        <f>[1]data!S186*(_xlfn.XLOOKUP([1]data!$C186,[2]data!$B$2:$B$218,[2]data!R$2:R$218)/100)</f>
        <v>16.308258823999999</v>
      </c>
      <c r="W185">
        <f>[1]data!T186*(_xlfn.XLOOKUP([1]data!$C186,[2]data!$B$2:$B$218,[2]data!S$2:S$218)/100)</f>
        <v>21.391732384000001</v>
      </c>
      <c r="X185">
        <f>[1]data!U186*(_xlfn.XLOOKUP([1]data!$C186,[2]data!$B$2:$B$218,[2]data!T$2:T$218)/100)</f>
        <v>26.830616154969967</v>
      </c>
      <c r="Y185">
        <f>[1]data!V186*(_xlfn.XLOOKUP([1]data!$C186,[2]data!$B$2:$B$218,[2]data!U$2:U$218)/100)</f>
        <v>33.057832971869964</v>
      </c>
      <c r="Z185">
        <f>[1]data!W186*(_xlfn.XLOOKUP([1]data!$C186,[2]data!$B$2:$B$218,[2]data!V$2:V$218)/100)</f>
        <v>40.024392559580008</v>
      </c>
      <c r="AA185">
        <f>[1]data!X186*(_xlfn.XLOOKUP([1]data!$C186,[2]data!$B$2:$B$218,[2]data!W$2:W$218)/100)</f>
        <v>47.673305669279998</v>
      </c>
      <c r="AB185">
        <f>[1]data!Y186*(_xlfn.XLOOKUP([1]data!$C186,[2]data!$B$2:$B$218,[2]data!X$2:X$218)/100)</f>
        <v>55.926322322930012</v>
      </c>
      <c r="AC185">
        <f>[1]data!Z186*(_xlfn.XLOOKUP([1]data!$C186,[2]data!$B$2:$B$218,[2]data!Y$2:Y$218)/100)</f>
        <v>64.634279315439997</v>
      </c>
      <c r="AD185">
        <f>[1]data!AA186*(_xlfn.XLOOKUP([1]data!$C186,[2]data!$B$2:$B$218,[2]data!Z$2:Z$218)/100)</f>
        <v>73.502892792959997</v>
      </c>
      <c r="AE185">
        <f>[1]data!AB186*(_xlfn.XLOOKUP([1]data!$C186,[2]data!$B$2:$B$218,[2]data!AA$2:AA$218)/100)</f>
        <v>82.444770130799995</v>
      </c>
      <c r="AF185">
        <f>[1]data!AC186*(_xlfn.XLOOKUP([1]data!$C186,[2]data!$B$2:$B$218,[2]data!AB$2:AB$218)/100)</f>
        <v>91.288603310879992</v>
      </c>
      <c r="AG185">
        <f>[1]data!AD186*(_xlfn.XLOOKUP([1]data!$C186,[2]data!$B$2:$B$218,[2]data!AC$2:AC$218)/100)</f>
        <v>99.858344224130022</v>
      </c>
      <c r="AH185">
        <f>[1]data!AE186*(_xlfn.XLOOKUP([1]data!$C186,[2]data!$B$2:$B$218,[2]data!AD$2:AD$218)/100)</f>
        <v>108.15219922913001</v>
      </c>
      <c r="AI185">
        <f>[1]data!AF186*(_xlfn.XLOOKUP([1]data!$C186,[2]data!$B$2:$B$218,[2]data!AE$2:AE$218)/100)</f>
        <v>115.84913823792</v>
      </c>
      <c r="AJ185">
        <f>[1]data!AG186*(_xlfn.XLOOKUP([1]data!$C186,[2]data!$B$2:$B$218,[2]data!AF$2:AF$218)/100)</f>
        <v>122.72007075570001</v>
      </c>
      <c r="AK185">
        <f>[1]data!AH186*(_xlfn.XLOOKUP([1]data!$C186,[2]data!$B$2:$B$218,[2]data!AG$2:AG$218)/100)</f>
        <v>128.71752400008</v>
      </c>
      <c r="AL185">
        <f>[1]data!AI186*(_xlfn.XLOOKUP([1]data!$C186,[2]data!$B$2:$B$218,[2]data!AH$2:AH$218)/100)</f>
        <v>133.95721307815998</v>
      </c>
      <c r="AM185">
        <f>[1]data!AJ186*(_xlfn.XLOOKUP([1]data!$C186,[2]data!$B$2:$B$218,[2]data!AI$2:AI$218)/100)</f>
        <v>138.52564828791</v>
      </c>
    </row>
    <row r="186" spans="1:39" x14ac:dyDescent="0.25">
      <c r="A186" t="s">
        <v>30</v>
      </c>
      <c r="B186" t="s">
        <v>31</v>
      </c>
      <c r="C186" t="s">
        <v>217</v>
      </c>
      <c r="D186" t="s">
        <v>437</v>
      </c>
      <c r="E186" t="str">
        <f>_xlfn.XLOOKUP(D186,[6]Feuil1!$C$2:$C$248,[6]Feuil1!$B$2:$B$248)</f>
        <v>UG</v>
      </c>
      <c r="F186" t="s">
        <v>33</v>
      </c>
      <c r="G186" t="str">
        <f>_xlfn.XLOOKUP(C186,[3]Sheet1!$B$2:$B$172,[3]Sheet1!$D$2:$D$172)</f>
        <v>Eastern Africa</v>
      </c>
      <c r="H186" t="s">
        <v>34</v>
      </c>
      <c r="I186">
        <f>[1]data!F187*(_xlfn.XLOOKUP([1]data!$C187,[2]data!$B$2:$B$218,[2]data!E$2:E$218)/100)</f>
        <v>0.15881499199999999</v>
      </c>
      <c r="J186">
        <f>[1]data!G187*(_xlfn.XLOOKUP([1]data!$C187,[2]data!$B$2:$B$218,[2]data!F$2:F$218)/100)</f>
        <v>0.22782665500000002</v>
      </c>
      <c r="K186">
        <f>[1]data!H187*(_xlfn.XLOOKUP([1]data!$C187,[2]data!$B$2:$B$218,[2]data!G$2:G$218)/100)</f>
        <v>0.33041971600000003</v>
      </c>
      <c r="L186">
        <f>[1]data!I187*(_xlfn.XLOOKUP([1]data!$C187,[2]data!$B$2:$B$218,[2]data!H$2:H$218)/100)</f>
        <v>0.47818166000000001</v>
      </c>
      <c r="M186">
        <f>[1]data!J187*(_xlfn.XLOOKUP([1]data!$C187,[2]data!$B$2:$B$218,[2]data!I$2:I$218)/100)</f>
        <v>0.68082653000000004</v>
      </c>
      <c r="N186">
        <f>[1]data!K187*(_xlfn.XLOOKUP([1]data!$C187,[2]data!$B$2:$B$218,[2]data!J$2:J$218)/100)</f>
        <v>0.81035066</v>
      </c>
      <c r="O186">
        <f>[1]data!L187*(_xlfn.XLOOKUP([1]data!$C187,[2]data!$B$2:$B$218,[2]data!K$2:K$218)/100)</f>
        <v>0.98644155</v>
      </c>
      <c r="P186">
        <f>[1]data!M187*(_xlfn.XLOOKUP([1]data!$C187,[2]data!$B$2:$B$218,[2]data!L$2:L$218)/100)</f>
        <v>1.364039196</v>
      </c>
      <c r="Q186">
        <f>[1]data!N187*(_xlfn.XLOOKUP([1]data!$C187,[2]data!$B$2:$B$218,[2]data!M$2:M$218)/100)</f>
        <v>1.9208080470000002</v>
      </c>
      <c r="R186">
        <f>[1]data!O187*(_xlfn.XLOOKUP([1]data!$C187,[2]data!$B$2:$B$218,[2]data!N$2:N$218)/100)</f>
        <v>2.6179676160000001</v>
      </c>
      <c r="S186">
        <f>[1]data!P187*(_xlfn.XLOOKUP([1]data!$C187,[2]data!$B$2:$B$218,[2]data!O$2:O$218)/100)</f>
        <v>3.4997105640000004</v>
      </c>
      <c r="T186">
        <f>[1]data!Q187*(_xlfn.XLOOKUP([1]data!$C187,[2]data!$B$2:$B$218,[2]data!P$2:P$218)/100)</f>
        <v>4.6819575900000006</v>
      </c>
      <c r="U186">
        <f>[1]data!R187*(_xlfn.XLOOKUP([1]data!$C187,[2]data!$B$2:$B$218,[2]data!Q$2:Q$218)/100)</f>
        <v>6.1829192919999993</v>
      </c>
      <c r="V186">
        <f>[1]data!S187*(_xlfn.XLOOKUP([1]data!$C187,[2]data!$B$2:$B$218,[2]data!R$2:R$218)/100)</f>
        <v>8.153527811</v>
      </c>
      <c r="W186">
        <f>[1]data!T187*(_xlfn.XLOOKUP([1]data!$C187,[2]data!$B$2:$B$218,[2]data!S$2:S$218)/100)</f>
        <v>10.9214655</v>
      </c>
      <c r="X186">
        <f>[1]data!U187*(_xlfn.XLOOKUP([1]data!$C187,[2]data!$B$2:$B$218,[2]data!T$2:T$218)/100)</f>
        <v>13.866518168390002</v>
      </c>
      <c r="Y186">
        <f>[1]data!V187*(_xlfn.XLOOKUP([1]data!$C187,[2]data!$B$2:$B$218,[2]data!U$2:U$218)/100)</f>
        <v>17.344626507450002</v>
      </c>
      <c r="Z186">
        <f>[1]data!W187*(_xlfn.XLOOKUP([1]data!$C187,[2]data!$B$2:$B$218,[2]data!V$2:V$218)/100)</f>
        <v>21.3425886918</v>
      </c>
      <c r="AA186">
        <f>[1]data!X187*(_xlfn.XLOOKUP([1]data!$C187,[2]data!$B$2:$B$218,[2]data!W$2:W$218)/100)</f>
        <v>25.834310214789998</v>
      </c>
      <c r="AB186">
        <f>[1]data!Y187*(_xlfn.XLOOKUP([1]data!$C187,[2]data!$B$2:$B$218,[2]data!X$2:X$218)/100)</f>
        <v>30.807263462959995</v>
      </c>
      <c r="AC186">
        <f>[1]data!Z187*(_xlfn.XLOOKUP([1]data!$C187,[2]data!$B$2:$B$218,[2]data!Y$2:Y$218)/100)</f>
        <v>36.217766659099993</v>
      </c>
      <c r="AD186">
        <f>[1]data!AA187*(_xlfn.XLOOKUP([1]data!$C187,[2]data!$B$2:$B$218,[2]data!Z$2:Z$218)/100)</f>
        <v>41.893589048219994</v>
      </c>
      <c r="AE186">
        <f>[1]data!AB187*(_xlfn.XLOOKUP([1]data!$C187,[2]data!$B$2:$B$218,[2]data!AA$2:AA$218)/100)</f>
        <v>47.789332071249994</v>
      </c>
      <c r="AF186">
        <f>[1]data!AC187*(_xlfn.XLOOKUP([1]data!$C187,[2]data!$B$2:$B$218,[2]data!AB$2:AB$218)/100)</f>
        <v>53.787015814440004</v>
      </c>
      <c r="AG186">
        <f>[1]data!AD187*(_xlfn.XLOOKUP([1]data!$C187,[2]data!$B$2:$B$218,[2]data!AC$2:AC$218)/100)</f>
        <v>59.868839977219999</v>
      </c>
      <c r="AH186">
        <f>[1]data!AE187*(_xlfn.XLOOKUP([1]data!$C187,[2]data!$B$2:$B$218,[2]data!AD$2:AD$218)/100)</f>
        <v>65.812672607210004</v>
      </c>
      <c r="AI186">
        <f>[1]data!AF187*(_xlfn.XLOOKUP([1]data!$C187,[2]data!$B$2:$B$218,[2]data!AE$2:AE$218)/100)</f>
        <v>71.491251828700001</v>
      </c>
      <c r="AJ186">
        <f>[1]data!AG187*(_xlfn.XLOOKUP([1]data!$C187,[2]data!$B$2:$B$218,[2]data!AF$2:AF$218)/100)</f>
        <v>76.801074657960015</v>
      </c>
      <c r="AK186">
        <f>[1]data!AH187*(_xlfn.XLOOKUP([1]data!$C187,[2]data!$B$2:$B$218,[2]data!AG$2:AG$218)/100)</f>
        <v>81.703944020739996</v>
      </c>
      <c r="AL186">
        <f>[1]data!AI187*(_xlfn.XLOOKUP([1]data!$C187,[2]data!$B$2:$B$218,[2]data!AH$2:AH$218)/100)</f>
        <v>86.238651476270007</v>
      </c>
      <c r="AM186">
        <f>[1]data!AJ187*(_xlfn.XLOOKUP([1]data!$C187,[2]data!$B$2:$B$218,[2]data!AI$2:AI$218)/100)</f>
        <v>90.405947807719983</v>
      </c>
    </row>
    <row r="187" spans="1:39" x14ac:dyDescent="0.25">
      <c r="A187" t="s">
        <v>30</v>
      </c>
      <c r="B187" t="s">
        <v>31</v>
      </c>
      <c r="C187" t="s">
        <v>218</v>
      </c>
      <c r="D187" t="s">
        <v>438</v>
      </c>
      <c r="E187" t="str">
        <f>_xlfn.XLOOKUP(D187,[6]Feuil1!$C$2:$C$248,[6]Feuil1!$B$2:$B$248)</f>
        <v>UA</v>
      </c>
      <c r="F187" t="s">
        <v>33</v>
      </c>
      <c r="G187" t="str">
        <f>_xlfn.XLOOKUP(C187,[3]Sheet1!$B$2:$B$172,[3]Sheet1!$D$2:$D$172)</f>
        <v>Ukraine region</v>
      </c>
      <c r="H187" t="s">
        <v>34</v>
      </c>
      <c r="I187">
        <f>[1]data!F188*(_xlfn.XLOOKUP([1]data!$C188,[2]data!$B$2:$B$218,[2]data!E$2:E$218)/100)</f>
        <v>13.157389139999999</v>
      </c>
      <c r="J187">
        <f>[1]data!G188*(_xlfn.XLOOKUP([1]data!$C188,[2]data!$B$2:$B$218,[2]data!F$2:F$218)/100)</f>
        <v>16.377329952</v>
      </c>
      <c r="K187">
        <f>[1]data!H188*(_xlfn.XLOOKUP([1]data!$C188,[2]data!$B$2:$B$218,[2]data!G$2:G$218)/100)</f>
        <v>19.872572616000003</v>
      </c>
      <c r="L187">
        <f>[1]data!I188*(_xlfn.XLOOKUP([1]data!$C188,[2]data!$B$2:$B$218,[2]data!H$2:H$218)/100)</f>
        <v>22.86200092</v>
      </c>
      <c r="M187">
        <f>[1]data!J188*(_xlfn.XLOOKUP([1]data!$C188,[2]data!$B$2:$B$218,[2]data!I$2:I$218)/100)</f>
        <v>25.841622807999997</v>
      </c>
      <c r="N187">
        <f>[1]data!K188*(_xlfn.XLOOKUP([1]data!$C188,[2]data!$B$2:$B$218,[2]data!J$2:J$218)/100)</f>
        <v>28.474134719999999</v>
      </c>
      <c r="O187">
        <f>[1]data!L188*(_xlfn.XLOOKUP([1]data!$C188,[2]data!$B$2:$B$218,[2]data!K$2:K$218)/100)</f>
        <v>30.763202290999999</v>
      </c>
      <c r="P187">
        <f>[1]data!M188*(_xlfn.XLOOKUP([1]data!$C188,[2]data!$B$2:$B$218,[2]data!L$2:L$218)/100)</f>
        <v>32.898481310000008</v>
      </c>
      <c r="Q187">
        <f>[1]data!N188*(_xlfn.XLOOKUP([1]data!$C188,[2]data!$B$2:$B$218,[2]data!M$2:M$218)/100)</f>
        <v>34.435932395999998</v>
      </c>
      <c r="R187">
        <f>[1]data!O188*(_xlfn.XLOOKUP([1]data!$C188,[2]data!$B$2:$B$218,[2]data!N$2:N$218)/100)</f>
        <v>34.351851400000001</v>
      </c>
      <c r="S187">
        <f>[1]data!P188*(_xlfn.XLOOKUP([1]data!$C188,[2]data!$B$2:$B$218,[2]data!O$2:O$218)/100)</f>
        <v>32.950190415999998</v>
      </c>
      <c r="T187">
        <f>[1]data!Q188*(_xlfn.XLOOKUP([1]data!$C188,[2]data!$B$2:$B$218,[2]data!P$2:P$218)/100)</f>
        <v>31.927057967999996</v>
      </c>
      <c r="U187">
        <f>[1]data!R188*(_xlfn.XLOOKUP([1]data!$C188,[2]data!$B$2:$B$218,[2]data!Q$2:Q$218)/100)</f>
        <v>31.403764937999998</v>
      </c>
      <c r="V187">
        <f>[1]data!S188*(_xlfn.XLOOKUP([1]data!$C188,[2]data!$B$2:$B$218,[2]data!R$2:R$218)/100)</f>
        <v>31.129613571999997</v>
      </c>
      <c r="W187">
        <f>[1]data!T188*(_xlfn.XLOOKUP([1]data!$C188,[2]data!$B$2:$B$218,[2]data!S$2:S$218)/100)</f>
        <v>30.687125807999994</v>
      </c>
      <c r="X187">
        <f>[1]data!U188*(_xlfn.XLOOKUP([1]data!$C188,[2]data!$B$2:$B$218,[2]data!T$2:T$218)/100)</f>
        <v>25.833984395939996</v>
      </c>
      <c r="Y187">
        <f>[1]data!V188*(_xlfn.XLOOKUP([1]data!$C188,[2]data!$B$2:$B$218,[2]data!U$2:U$218)/100)</f>
        <v>26.732415910199997</v>
      </c>
      <c r="Z187">
        <f>[1]data!W188*(_xlfn.XLOOKUP([1]data!$C188,[2]data!$B$2:$B$218,[2]data!V$2:V$218)/100)</f>
        <v>27.230229195910006</v>
      </c>
      <c r="AA187">
        <f>[1]data!X188*(_xlfn.XLOOKUP([1]data!$C188,[2]data!$B$2:$B$218,[2]data!W$2:W$218)/100)</f>
        <v>27.396424648539995</v>
      </c>
      <c r="AB187">
        <f>[1]data!Y188*(_xlfn.XLOOKUP([1]data!$C188,[2]data!$B$2:$B$218,[2]data!X$2:X$218)/100)</f>
        <v>27.327704115720003</v>
      </c>
      <c r="AC187">
        <f>[1]data!Z188*(_xlfn.XLOOKUP([1]data!$C188,[2]data!$B$2:$B$218,[2]data!Y$2:Y$218)/100)</f>
        <v>27.153432737759999</v>
      </c>
      <c r="AD187">
        <f>[1]data!AA188*(_xlfn.XLOOKUP([1]data!$C188,[2]data!$B$2:$B$218,[2]data!Z$2:Z$218)/100)</f>
        <v>26.908975748640003</v>
      </c>
      <c r="AE187">
        <f>[1]data!AB188*(_xlfn.XLOOKUP([1]data!$C188,[2]data!$B$2:$B$218,[2]data!AA$2:AA$218)/100)</f>
        <v>26.639829423519917</v>
      </c>
      <c r="AF187">
        <f>[1]data!AC188*(_xlfn.XLOOKUP([1]data!$C188,[2]data!$B$2:$B$218,[2]data!AB$2:AB$218)/100)</f>
        <v>26.33523371115</v>
      </c>
      <c r="AG187">
        <f>[1]data!AD188*(_xlfn.XLOOKUP([1]data!$C188,[2]data!$B$2:$B$218,[2]data!AC$2:AC$218)/100)</f>
        <v>26.01096357174</v>
      </c>
      <c r="AH187">
        <f>[1]data!AE188*(_xlfn.XLOOKUP([1]data!$C188,[2]data!$B$2:$B$218,[2]data!AD$2:AD$218)/100)</f>
        <v>25.682127016700001</v>
      </c>
      <c r="AI187">
        <f>[1]data!AF188*(_xlfn.XLOOKUP([1]data!$C188,[2]data!$B$2:$B$218,[2]data!AE$2:AE$218)/100)</f>
        <v>25.357789184000001</v>
      </c>
      <c r="AJ187">
        <f>[1]data!AG188*(_xlfn.XLOOKUP([1]data!$C188,[2]data!$B$2:$B$218,[2]data!AF$2:AF$218)/100)</f>
        <v>25.037441955600006</v>
      </c>
      <c r="AK187">
        <f>[1]data!AH188*(_xlfn.XLOOKUP([1]data!$C188,[2]data!$B$2:$B$218,[2]data!AG$2:AG$218)/100)</f>
        <v>24.719566930700005</v>
      </c>
      <c r="AL187">
        <f>[1]data!AI188*(_xlfn.XLOOKUP([1]data!$C188,[2]data!$B$2:$B$218,[2]data!AH$2:AH$218)/100)</f>
        <v>24.386548766160004</v>
      </c>
      <c r="AM187">
        <f>[1]data!AJ188*(_xlfn.XLOOKUP([1]data!$C188,[2]data!$B$2:$B$218,[2]data!AI$2:AI$218)/100)</f>
        <v>24.004964245500002</v>
      </c>
    </row>
    <row r="188" spans="1:39" x14ac:dyDescent="0.25">
      <c r="A188" t="s">
        <v>30</v>
      </c>
      <c r="B188" t="s">
        <v>31</v>
      </c>
      <c r="C188" t="s">
        <v>219</v>
      </c>
      <c r="D188" t="s">
        <v>439</v>
      </c>
      <c r="E188" t="str">
        <f>_xlfn.XLOOKUP(D188,[6]Feuil1!$C$2:$C$248,[6]Feuil1!$B$2:$B$248)</f>
        <v>UY</v>
      </c>
      <c r="F188" t="s">
        <v>33</v>
      </c>
      <c r="G188" t="str">
        <f>_xlfn.XLOOKUP(C188,[3]Sheet1!$B$2:$B$172,[3]Sheet1!$D$2:$D$172)</f>
        <v>Rest of South America</v>
      </c>
      <c r="H188" t="s">
        <v>34</v>
      </c>
      <c r="I188">
        <f>[1]data!F189*(_xlfn.XLOOKUP([1]data!$C189,[2]data!$B$2:$B$218,[2]data!E$2:E$218)/100)</f>
        <v>1.7324134260000001</v>
      </c>
      <c r="J188">
        <f>[1]data!G189*(_xlfn.XLOOKUP([1]data!$C189,[2]data!$B$2:$B$218,[2]data!F$2:F$218)/100)</f>
        <v>1.8596030320000001</v>
      </c>
      <c r="K188">
        <f>[1]data!H189*(_xlfn.XLOOKUP([1]data!$C189,[2]data!$B$2:$B$218,[2]data!G$2:G$218)/100)</f>
        <v>2.015223094</v>
      </c>
      <c r="L188">
        <f>[1]data!I189*(_xlfn.XLOOKUP([1]data!$C189,[2]data!$B$2:$B$218,[2]data!H$2:H$218)/100)</f>
        <v>2.1680677499999996</v>
      </c>
      <c r="M188">
        <f>[1]data!J189*(_xlfn.XLOOKUP([1]data!$C189,[2]data!$B$2:$B$218,[2]data!I$2:I$218)/100)</f>
        <v>2.293042856</v>
      </c>
      <c r="N188">
        <f>[1]data!K189*(_xlfn.XLOOKUP([1]data!$C189,[2]data!$B$2:$B$218,[2]data!J$2:J$218)/100)</f>
        <v>2.3872632840000003</v>
      </c>
      <c r="O188">
        <f>[1]data!L189*(_xlfn.XLOOKUP([1]data!$C189,[2]data!$B$2:$B$218,[2]data!K$2:K$218)/100)</f>
        <v>2.5173443400000006</v>
      </c>
      <c r="P188">
        <f>[1]data!M189*(_xlfn.XLOOKUP([1]data!$C189,[2]data!$B$2:$B$218,[2]data!L$2:L$218)/100)</f>
        <v>2.6299014239999998</v>
      </c>
      <c r="Q188">
        <f>[1]data!N189*(_xlfn.XLOOKUP([1]data!$C189,[2]data!$B$2:$B$218,[2]data!M$2:M$218)/100)</f>
        <v>2.76604435</v>
      </c>
      <c r="R188">
        <f>[1]data!O189*(_xlfn.XLOOKUP([1]data!$C189,[2]data!$B$2:$B$218,[2]data!N$2:N$218)/100)</f>
        <v>2.8952950050000004</v>
      </c>
      <c r="S188">
        <f>[1]data!P189*(_xlfn.XLOOKUP([1]data!$C189,[2]data!$B$2:$B$218,[2]data!O$2:O$218)/100)</f>
        <v>3.0238651999999999</v>
      </c>
      <c r="T188">
        <f>[1]data!Q189*(_xlfn.XLOOKUP([1]data!$C189,[2]data!$B$2:$B$218,[2]data!P$2:P$218)/100)</f>
        <v>3.0936787199999998</v>
      </c>
      <c r="U188">
        <f>[1]data!R189*(_xlfn.XLOOKUP([1]data!$C189,[2]data!$B$2:$B$218,[2]data!Q$2:Q$218)/100)</f>
        <v>3.1607838720000005</v>
      </c>
      <c r="V188">
        <f>[1]data!S189*(_xlfn.XLOOKUP([1]data!$C189,[2]data!$B$2:$B$218,[2]data!R$2:R$218)/100)</f>
        <v>3.2271177</v>
      </c>
      <c r="W188">
        <f>[1]data!T189*(_xlfn.XLOOKUP([1]data!$C189,[2]data!$B$2:$B$218,[2]data!S$2:S$218)/100)</f>
        <v>3.2739949849999999</v>
      </c>
      <c r="X188">
        <f>[1]data!U189*(_xlfn.XLOOKUP([1]data!$C189,[2]data!$B$2:$B$218,[2]data!T$2:T$218)/100)</f>
        <v>3.2612587242599997</v>
      </c>
      <c r="Y188">
        <f>[1]data!V189*(_xlfn.XLOOKUP([1]data!$C189,[2]data!$B$2:$B$218,[2]data!U$2:U$218)/100)</f>
        <v>3.2552066170800003</v>
      </c>
      <c r="Z188">
        <f>[1]data!W189*(_xlfn.XLOOKUP([1]data!$C189,[2]data!$B$2:$B$218,[2]data!V$2:V$218)/100)</f>
        <v>3.2450670098999996</v>
      </c>
      <c r="AA188">
        <f>[1]data!X189*(_xlfn.XLOOKUP([1]data!$C189,[2]data!$B$2:$B$218,[2]data!W$2:W$218)/100)</f>
        <v>3.2268616205799998</v>
      </c>
      <c r="AB188">
        <f>[1]data!Y189*(_xlfn.XLOOKUP([1]data!$C189,[2]data!$B$2:$B$218,[2]data!X$2:X$218)/100)</f>
        <v>3.1980767912800001</v>
      </c>
      <c r="AC188">
        <f>[1]data!Z189*(_xlfn.XLOOKUP([1]data!$C189,[2]data!$B$2:$B$218,[2]data!Y$2:Y$218)/100)</f>
        <v>3.1572400167999999</v>
      </c>
      <c r="AD188">
        <f>[1]data!AA189*(_xlfn.XLOOKUP([1]data!$C189,[2]data!$B$2:$B$218,[2]data!Z$2:Z$218)/100)</f>
        <v>3.1046687190399997</v>
      </c>
      <c r="AE188">
        <f>[1]data!AB189*(_xlfn.XLOOKUP([1]data!$C189,[2]data!$B$2:$B$218,[2]data!AA$2:AA$218)/100)</f>
        <v>3.0425102193400004</v>
      </c>
      <c r="AF188">
        <f>[1]data!AC189*(_xlfn.XLOOKUP([1]data!$C189,[2]data!$B$2:$B$218,[2]data!AB$2:AB$218)/100)</f>
        <v>2.9752957780000004</v>
      </c>
      <c r="AG188">
        <f>[1]data!AD189*(_xlfn.XLOOKUP([1]data!$C189,[2]data!$B$2:$B$218,[2]data!AC$2:AC$218)/100)</f>
        <v>2.9037604131000001</v>
      </c>
      <c r="AH188">
        <f>[1]data!AE189*(_xlfn.XLOOKUP([1]data!$C189,[2]data!$B$2:$B$218,[2]data!AD$2:AD$218)/100)</f>
        <v>2.8272008933100001</v>
      </c>
      <c r="AI188">
        <f>[1]data!AF189*(_xlfn.XLOOKUP([1]data!$C189,[2]data!$B$2:$B$218,[2]data!AE$2:AE$218)/100)</f>
        <v>2.7452494023000003</v>
      </c>
      <c r="AJ188">
        <f>[1]data!AG189*(_xlfn.XLOOKUP([1]data!$C189,[2]data!$B$2:$B$218,[2]data!AF$2:AF$218)/100)</f>
        <v>2.6582255314799998</v>
      </c>
      <c r="AK188">
        <f>[1]data!AH189*(_xlfn.XLOOKUP([1]data!$C189,[2]data!$B$2:$B$218,[2]data!AG$2:AG$218)/100)</f>
        <v>2.5671895243500003</v>
      </c>
      <c r="AL188">
        <f>[1]data!AI189*(_xlfn.XLOOKUP([1]data!$C189,[2]data!$B$2:$B$218,[2]data!AH$2:AH$218)/100)</f>
        <v>2.47375436451</v>
      </c>
      <c r="AM188">
        <f>[1]data!AJ189*(_xlfn.XLOOKUP([1]data!$C189,[2]data!$B$2:$B$218,[2]data!AI$2:AI$218)/100)</f>
        <v>2.38067503125</v>
      </c>
    </row>
    <row r="189" spans="1:39" x14ac:dyDescent="0.25">
      <c r="A189" t="s">
        <v>30</v>
      </c>
      <c r="B189" t="s">
        <v>31</v>
      </c>
      <c r="C189" t="s">
        <v>220</v>
      </c>
      <c r="D189" t="s">
        <v>238</v>
      </c>
      <c r="E189" t="str">
        <f>_xlfn.XLOOKUP(D189,[6]Feuil1!$C$2:$C$248,[6]Feuil1!$B$2:$B$248)</f>
        <v>US</v>
      </c>
      <c r="F189" t="s">
        <v>33</v>
      </c>
      <c r="G189" t="str">
        <f>_xlfn.XLOOKUP(C189,[3]Sheet1!$B$2:$B$172,[3]Sheet1!$D$2:$D$172)</f>
        <v>USA</v>
      </c>
      <c r="H189" t="s">
        <v>34</v>
      </c>
      <c r="I189">
        <f>[1]data!F190*(_xlfn.XLOOKUP([1]data!$C190,[2]data!$B$2:$B$218,[2]data!E$2:E$218)/100)</f>
        <v>94.435546614000003</v>
      </c>
      <c r="J189">
        <f>[1]data!G190*(_xlfn.XLOOKUP([1]data!$C190,[2]data!$B$2:$B$218,[2]data!F$2:F$218)/100)</f>
        <v>107.293622688</v>
      </c>
      <c r="K189">
        <f>[1]data!H190*(_xlfn.XLOOKUP([1]data!$C190,[2]data!$B$2:$B$218,[2]data!G$2:G$218)/100)</f>
        <v>122.31534139999998</v>
      </c>
      <c r="L189">
        <f>[1]data!I190*(_xlfn.XLOOKUP([1]data!$C190,[2]data!$B$2:$B$218,[2]data!H$2:H$218)/100)</f>
        <v>135.57250025600001</v>
      </c>
      <c r="M189">
        <f>[1]data!J190*(_xlfn.XLOOKUP([1]data!$C190,[2]data!$B$2:$B$218,[2]data!I$2:I$218)/100)</f>
        <v>146.45242345599999</v>
      </c>
      <c r="N189">
        <f>[1]data!K190*(_xlfn.XLOOKUP([1]data!$C190,[2]data!$B$2:$B$218,[2]data!J$2:J$218)/100)</f>
        <v>154.96144533100002</v>
      </c>
      <c r="O189">
        <f>[1]data!L190*(_xlfn.XLOOKUP([1]data!$C190,[2]data!$B$2:$B$218,[2]data!K$2:K$218)/100)</f>
        <v>163.457337384</v>
      </c>
      <c r="P189">
        <f>[1]data!M190*(_xlfn.XLOOKUP([1]data!$C190,[2]data!$B$2:$B$218,[2]data!L$2:L$218)/100)</f>
        <v>174.28534172000002</v>
      </c>
      <c r="Q189">
        <f>[1]data!N190*(_xlfn.XLOOKUP([1]data!$C190,[2]data!$B$2:$B$218,[2]data!M$2:M$218)/100)</f>
        <v>185.513326167</v>
      </c>
      <c r="R189">
        <f>[1]data!O190*(_xlfn.XLOOKUP([1]data!$C190,[2]data!$B$2:$B$218,[2]data!N$2:N$218)/100)</f>
        <v>204.08730076199998</v>
      </c>
      <c r="S189">
        <f>[1]data!P190*(_xlfn.XLOOKUP([1]data!$C190,[2]data!$B$2:$B$218,[2]data!O$2:O$218)/100)</f>
        <v>222.12595195699996</v>
      </c>
      <c r="T189">
        <f>[1]data!Q190*(_xlfn.XLOOKUP([1]data!$C190,[2]data!$B$2:$B$218,[2]data!P$2:P$218)/100)</f>
        <v>236.03748627200002</v>
      </c>
      <c r="U189">
        <f>[1]data!R190*(_xlfn.XLOOKUP([1]data!$C190,[2]data!$B$2:$B$218,[2]data!Q$2:Q$218)/100)</f>
        <v>250.38632371200001</v>
      </c>
      <c r="V189">
        <f>[1]data!S190*(_xlfn.XLOOKUP([1]data!$C190,[2]data!$B$2:$B$218,[2]data!R$2:R$218)/100)</f>
        <v>264.17584378200007</v>
      </c>
      <c r="W189">
        <f>[1]data!T190*(_xlfn.XLOOKUP([1]data!$C190,[2]data!$B$2:$B$218,[2]data!S$2:S$218)/100)</f>
        <v>277.36607117200003</v>
      </c>
      <c r="X189">
        <f>[1]data!U190*(_xlfn.XLOOKUP([1]data!$C190,[2]data!$B$2:$B$218,[2]data!T$2:T$218)/100)</f>
        <v>286.45475158632001</v>
      </c>
      <c r="Y189">
        <f>[1]data!V190*(_xlfn.XLOOKUP([1]data!$C190,[2]data!$B$2:$B$218,[2]data!U$2:U$218)/100)</f>
        <v>296.56333317619993</v>
      </c>
      <c r="Z189">
        <f>[1]data!W190*(_xlfn.XLOOKUP([1]data!$C190,[2]data!$B$2:$B$218,[2]data!V$2:V$218)/100)</f>
        <v>306.64727812460001</v>
      </c>
      <c r="AA189">
        <f>[1]data!X190*(_xlfn.XLOOKUP([1]data!$C190,[2]data!$B$2:$B$218,[2]data!W$2:W$218)/100)</f>
        <v>316.4325792958</v>
      </c>
      <c r="AB189">
        <f>[1]data!Y190*(_xlfn.XLOOKUP([1]data!$C190,[2]data!$B$2:$B$218,[2]data!X$2:X$218)/100)</f>
        <v>325.74953500596001</v>
      </c>
      <c r="AC189">
        <f>[1]data!Z190*(_xlfn.XLOOKUP([1]data!$C190,[2]data!$B$2:$B$218,[2]data!Y$2:Y$218)/100)</f>
        <v>334.71537878920003</v>
      </c>
      <c r="AD189">
        <f>[1]data!AA190*(_xlfn.XLOOKUP([1]data!$C190,[2]data!$B$2:$B$218,[2]data!Z$2:Z$218)/100)</f>
        <v>342.87098709969001</v>
      </c>
      <c r="AE189">
        <f>[1]data!AB190*(_xlfn.XLOOKUP([1]data!$C190,[2]data!$B$2:$B$218,[2]data!AA$2:AA$218)/100)</f>
        <v>350.79781997876</v>
      </c>
      <c r="AF189">
        <f>[1]data!AC190*(_xlfn.XLOOKUP([1]data!$C190,[2]data!$B$2:$B$218,[2]data!AB$2:AB$218)/100)</f>
        <v>358.49976059560004</v>
      </c>
      <c r="AG189">
        <f>[1]data!AD190*(_xlfn.XLOOKUP([1]data!$C190,[2]data!$B$2:$B$218,[2]data!AC$2:AC$218)/100)</f>
        <v>365.921174275</v>
      </c>
      <c r="AH189">
        <f>[1]data!AE190*(_xlfn.XLOOKUP([1]data!$C190,[2]data!$B$2:$B$218,[2]data!AD$2:AD$218)/100)</f>
        <v>372.69644076101997</v>
      </c>
      <c r="AI189">
        <f>[1]data!AF190*(_xlfn.XLOOKUP([1]data!$C190,[2]data!$B$2:$B$218,[2]data!AE$2:AE$218)/100)</f>
        <v>378.32319404783999</v>
      </c>
      <c r="AJ189">
        <f>[1]data!AG190*(_xlfn.XLOOKUP([1]data!$C190,[2]data!$B$2:$B$218,[2]data!AF$2:AF$218)/100)</f>
        <v>382.55892474856</v>
      </c>
      <c r="AK189">
        <f>[1]data!AH190*(_xlfn.XLOOKUP([1]data!$C190,[2]data!$B$2:$B$218,[2]data!AG$2:AG$218)/100)</f>
        <v>385.49967803999994</v>
      </c>
      <c r="AL189">
        <f>[1]data!AI190*(_xlfn.XLOOKUP([1]data!$C190,[2]data!$B$2:$B$218,[2]data!AH$2:AH$218)/100)</f>
        <v>387.45599954024004</v>
      </c>
      <c r="AM189">
        <f>[1]data!AJ190*(_xlfn.XLOOKUP([1]data!$C190,[2]data!$B$2:$B$218,[2]data!AI$2:AI$218)/100)</f>
        <v>388.57698567941998</v>
      </c>
    </row>
    <row r="190" spans="1:39" x14ac:dyDescent="0.25">
      <c r="A190" t="s">
        <v>30</v>
      </c>
      <c r="B190" t="s">
        <v>31</v>
      </c>
      <c r="C190" t="s">
        <v>221</v>
      </c>
      <c r="D190" t="s">
        <v>440</v>
      </c>
      <c r="E190" t="str">
        <f>_xlfn.XLOOKUP(D190,[6]Feuil1!$C$2:$C$248,[6]Feuil1!$B$2:$B$248)</f>
        <v>UZ</v>
      </c>
      <c r="F190" t="s">
        <v>33</v>
      </c>
      <c r="G190" t="str">
        <f>_xlfn.XLOOKUP(C190,[3]Sheet1!$B$2:$B$172,[3]Sheet1!$D$2:$D$172)</f>
        <v>Central Asia</v>
      </c>
      <c r="H190" t="s">
        <v>34</v>
      </c>
      <c r="I190">
        <f>[1]data!F191*(_xlfn.XLOOKUP([1]data!$C191,[2]data!$B$2:$B$218,[2]data!E$2:E$218)/100)</f>
        <v>1.7825519999999999</v>
      </c>
      <c r="J190">
        <f>[1]data!G191*(_xlfn.XLOOKUP([1]data!$C191,[2]data!$B$2:$B$218,[2]data!F$2:F$218)/100)</f>
        <v>2.2240629840000001</v>
      </c>
      <c r="K190">
        <f>[1]data!H191*(_xlfn.XLOOKUP([1]data!$C191,[2]data!$B$2:$B$218,[2]data!G$2:G$218)/100)</f>
        <v>2.7954014600000003</v>
      </c>
      <c r="L190">
        <f>[1]data!I191*(_xlfn.XLOOKUP([1]data!$C191,[2]data!$B$2:$B$218,[2]data!H$2:H$218)/100)</f>
        <v>3.509639666</v>
      </c>
      <c r="M190">
        <f>[1]data!J191*(_xlfn.XLOOKUP([1]data!$C191,[2]data!$B$2:$B$218,[2]data!I$2:I$218)/100)</f>
        <v>4.3420052590000004</v>
      </c>
      <c r="N190">
        <f>[1]data!K191*(_xlfn.XLOOKUP([1]data!$C191,[2]data!$B$2:$B$218,[2]data!J$2:J$218)/100)</f>
        <v>5.3533592960000007</v>
      </c>
      <c r="O190">
        <f>[1]data!L191*(_xlfn.XLOOKUP([1]data!$C191,[2]data!$B$2:$B$218,[2]data!K$2:K$218)/100)</f>
        <v>6.4280595839999997</v>
      </c>
      <c r="P190">
        <f>[1]data!M191*(_xlfn.XLOOKUP([1]data!$C191,[2]data!$B$2:$B$218,[2]data!L$2:L$218)/100)</f>
        <v>7.253645982000001</v>
      </c>
      <c r="Q190">
        <f>[1]data!N191*(_xlfn.XLOOKUP([1]data!$C191,[2]data!$B$2:$B$218,[2]data!M$2:M$218)/100)</f>
        <v>8.4225190859999994</v>
      </c>
      <c r="R190">
        <f>[1]data!O191*(_xlfn.XLOOKUP([1]data!$C191,[2]data!$B$2:$B$218,[2]data!N$2:N$218)/100)</f>
        <v>9.9632713759999998</v>
      </c>
      <c r="S190">
        <f>[1]data!P191*(_xlfn.XLOOKUP([1]data!$C191,[2]data!$B$2:$B$218,[2]data!O$2:O$218)/100)</f>
        <v>11.417935516000002</v>
      </c>
      <c r="T190">
        <f>[1]data!Q191*(_xlfn.XLOOKUP([1]data!$C191,[2]data!$B$2:$B$218,[2]data!P$2:P$218)/100)</f>
        <v>12.8052416</v>
      </c>
      <c r="U190">
        <f>[1]data!R191*(_xlfn.XLOOKUP([1]data!$C191,[2]data!$B$2:$B$218,[2]data!Q$2:Q$218)/100)</f>
        <v>14.479890930000002</v>
      </c>
      <c r="V190">
        <f>[1]data!S191*(_xlfn.XLOOKUP([1]data!$C191,[2]data!$B$2:$B$218,[2]data!R$2:R$218)/100)</f>
        <v>15.592720148</v>
      </c>
      <c r="W190">
        <f>[1]data!T191*(_xlfn.XLOOKUP([1]data!$C191,[2]data!$B$2:$B$218,[2]data!S$2:S$218)/100)</f>
        <v>16.754709888000001</v>
      </c>
      <c r="X190">
        <f>[1]data!U191*(_xlfn.XLOOKUP([1]data!$C191,[2]data!$B$2:$B$218,[2]data!T$2:T$218)/100)</f>
        <v>18.963717599519995</v>
      </c>
      <c r="Y190">
        <f>[1]data!V191*(_xlfn.XLOOKUP([1]data!$C191,[2]data!$B$2:$B$218,[2]data!U$2:U$218)/100)</f>
        <v>21.073408569000005</v>
      </c>
      <c r="Z190">
        <f>[1]data!W191*(_xlfn.XLOOKUP([1]data!$C191,[2]data!$B$2:$B$218,[2]data!V$2:V$218)/100)</f>
        <v>23.114360537330001</v>
      </c>
      <c r="AA190">
        <f>[1]data!X191*(_xlfn.XLOOKUP([1]data!$C191,[2]data!$B$2:$B$218,[2]data!W$2:W$218)/100)</f>
        <v>25.154166887520002</v>
      </c>
      <c r="AB190">
        <f>[1]data!Y191*(_xlfn.XLOOKUP([1]data!$C191,[2]data!$B$2:$B$218,[2]data!X$2:X$218)/100)</f>
        <v>27.189311447750001</v>
      </c>
      <c r="AC190">
        <f>[1]data!Z191*(_xlfn.XLOOKUP([1]data!$C191,[2]data!$B$2:$B$218,[2]data!Y$2:Y$218)/100)</f>
        <v>29.144907153439938</v>
      </c>
      <c r="AD190">
        <f>[1]data!AA191*(_xlfn.XLOOKUP([1]data!$C191,[2]data!$B$2:$B$218,[2]data!Z$2:Z$218)/100)</f>
        <v>30.889884048029934</v>
      </c>
      <c r="AE190">
        <f>[1]data!AB191*(_xlfn.XLOOKUP([1]data!$C191,[2]data!$B$2:$B$218,[2]data!AA$2:AA$218)/100)</f>
        <v>32.392539403379992</v>
      </c>
      <c r="AF190">
        <f>[1]data!AC191*(_xlfn.XLOOKUP([1]data!$C191,[2]data!$B$2:$B$218,[2]data!AB$2:AB$218)/100)</f>
        <v>33.681141141520008</v>
      </c>
      <c r="AG190">
        <f>[1]data!AD191*(_xlfn.XLOOKUP([1]data!$C191,[2]data!$B$2:$B$218,[2]data!AC$2:AC$218)/100)</f>
        <v>34.820441130330003</v>
      </c>
      <c r="AH190">
        <f>[1]data!AE191*(_xlfn.XLOOKUP([1]data!$C191,[2]data!$B$2:$B$218,[2]data!AD$2:AD$218)/100)</f>
        <v>35.819145879400068</v>
      </c>
      <c r="AI190">
        <f>[1]data!AF191*(_xlfn.XLOOKUP([1]data!$C191,[2]data!$B$2:$B$218,[2]data!AE$2:AE$218)/100)</f>
        <v>36.668593895759997</v>
      </c>
      <c r="AJ190">
        <f>[1]data!AG191*(_xlfn.XLOOKUP([1]data!$C191,[2]data!$B$2:$B$218,[2]data!AF$2:AF$218)/100)</f>
        <v>37.37991906233993</v>
      </c>
      <c r="AK190">
        <f>[1]data!AH191*(_xlfn.XLOOKUP([1]data!$C191,[2]data!$B$2:$B$218,[2]data!AG$2:AG$218)/100)</f>
        <v>37.983598617200002</v>
      </c>
      <c r="AL190">
        <f>[1]data!AI191*(_xlfn.XLOOKUP([1]data!$C191,[2]data!$B$2:$B$218,[2]data!AH$2:AH$218)/100)</f>
        <v>38.498320104720001</v>
      </c>
      <c r="AM190">
        <f>[1]data!AJ191*(_xlfn.XLOOKUP([1]data!$C191,[2]data!$B$2:$B$218,[2]data!AI$2:AI$218)/100)</f>
        <v>38.883820029119995</v>
      </c>
    </row>
    <row r="191" spans="1:39" x14ac:dyDescent="0.25">
      <c r="A191" t="s">
        <v>30</v>
      </c>
      <c r="B191" t="s">
        <v>31</v>
      </c>
      <c r="C191" t="s">
        <v>222</v>
      </c>
      <c r="D191" t="e">
        <v>#N/A</v>
      </c>
      <c r="E191" t="e">
        <f>_xlfn.XLOOKUP(D191,[6]Feuil1!$C$2:$C$248,[6]Feuil1!$B$2:$B$248)</f>
        <v>#N/A</v>
      </c>
      <c r="F191" t="s">
        <v>33</v>
      </c>
      <c r="G191" t="e">
        <f>_xlfn.XLOOKUP(C191,[3]Sheet1!$B$2:$B$172,[3]Sheet1!$D$2:$D$172)</f>
        <v>#N/A</v>
      </c>
      <c r="H191" t="s">
        <v>34</v>
      </c>
      <c r="I191">
        <f>[1]data!F192*(_xlfn.XLOOKUP([1]data!$C192,[2]data!$B$2:$B$218,[2]data!E$2:E$218)/100)</f>
        <v>1.3156058999999999E-2</v>
      </c>
      <c r="J191">
        <f>[1]data!G192*(_xlfn.XLOOKUP([1]data!$C192,[2]data!$B$2:$B$218,[2]data!F$2:F$218)/100)</f>
        <v>1.6826838E-2</v>
      </c>
      <c r="K191">
        <f>[1]data!H192*(_xlfn.XLOOKUP([1]data!$C192,[2]data!$B$2:$B$218,[2]data!G$2:G$218)/100)</f>
        <v>2.1594643E-2</v>
      </c>
      <c r="L191">
        <f>[1]data!I192*(_xlfn.XLOOKUP([1]data!$C192,[2]data!$B$2:$B$218,[2]data!H$2:H$218)/100)</f>
        <v>2.5687344000000004E-2</v>
      </c>
      <c r="M191">
        <f>[1]data!J192*(_xlfn.XLOOKUP([1]data!$C192,[2]data!$B$2:$B$218,[2]data!I$2:I$218)/100)</f>
        <v>3.0026442E-2</v>
      </c>
      <c r="N191">
        <f>[1]data!K192*(_xlfn.XLOOKUP([1]data!$C192,[2]data!$B$2:$B$218,[2]data!J$2:J$218)/100)</f>
        <v>3.4346396000000001E-2</v>
      </c>
      <c r="O191">
        <f>[1]data!L192*(_xlfn.XLOOKUP([1]data!$C192,[2]data!$B$2:$B$218,[2]data!K$2:K$218)/100)</f>
        <v>3.8476902E-2</v>
      </c>
      <c r="P191">
        <f>[1]data!M192*(_xlfn.XLOOKUP([1]data!$C192,[2]data!$B$2:$B$218,[2]data!L$2:L$218)/100)</f>
        <v>4.2706268000000006E-2</v>
      </c>
      <c r="Q191">
        <f>[1]data!N192*(_xlfn.XLOOKUP([1]data!$C192,[2]data!$B$2:$B$218,[2]data!M$2:M$218)/100)</f>
        <v>4.6544363999999998E-2</v>
      </c>
      <c r="R191">
        <f>[1]data!O192*(_xlfn.XLOOKUP([1]data!$C192,[2]data!$B$2:$B$218,[2]data!N$2:N$218)/100)</f>
        <v>4.9509417999999999E-2</v>
      </c>
      <c r="S191">
        <f>[1]data!P192*(_xlfn.XLOOKUP([1]data!$C192,[2]data!$B$2:$B$218,[2]data!O$2:O$218)/100)</f>
        <v>5.1484156000000003E-2</v>
      </c>
      <c r="T191">
        <f>[1]data!Q192*(_xlfn.XLOOKUP([1]data!$C192,[2]data!$B$2:$B$218,[2]data!P$2:P$218)/100)</f>
        <v>5.2798859999999996E-2</v>
      </c>
      <c r="U191">
        <f>[1]data!R192*(_xlfn.XLOOKUP([1]data!$C192,[2]data!$B$2:$B$218,[2]data!Q$2:Q$218)/100)</f>
        <v>5.36991E-2</v>
      </c>
      <c r="V191">
        <f>[1]data!S192*(_xlfn.XLOOKUP([1]data!$C192,[2]data!$B$2:$B$218,[2]data!R$2:R$218)/100)</f>
        <v>5.4422100000000001E-2</v>
      </c>
      <c r="W191">
        <f>[1]data!T192*(_xlfn.XLOOKUP([1]data!$C192,[2]data!$B$2:$B$218,[2]data!S$2:S$218)/100)</f>
        <v>5.5495240000000001E-2</v>
      </c>
      <c r="X191">
        <f>[1]data!U192*(_xlfn.XLOOKUP([1]data!$C192,[2]data!$B$2:$B$218,[2]data!T$2:T$218)/100)</f>
        <v>5.6498468400000015E-2</v>
      </c>
      <c r="Y191">
        <f>[1]data!V192*(_xlfn.XLOOKUP([1]data!$C192,[2]data!$B$2:$B$218,[2]data!U$2:U$218)/100)</f>
        <v>5.8016462019999999E-2</v>
      </c>
      <c r="Z191">
        <f>[1]data!W192*(_xlfn.XLOOKUP([1]data!$C192,[2]data!$B$2:$B$218,[2]data!V$2:V$218)/100)</f>
        <v>5.915027196E-2</v>
      </c>
      <c r="AA191">
        <f>[1]data!X192*(_xlfn.XLOOKUP([1]data!$C192,[2]data!$B$2:$B$218,[2]data!W$2:W$218)/100)</f>
        <v>5.9950971500000012E-2</v>
      </c>
      <c r="AB191">
        <f>[1]data!Y192*(_xlfn.XLOOKUP([1]data!$C192,[2]data!$B$2:$B$218,[2]data!X$2:X$218)/100)</f>
        <v>6.0417544260000011E-2</v>
      </c>
      <c r="AC191">
        <f>[1]data!Z192*(_xlfn.XLOOKUP([1]data!$C192,[2]data!$B$2:$B$218,[2]data!Y$2:Y$218)/100)</f>
        <v>6.0471739300000001E-2</v>
      </c>
      <c r="AD191">
        <f>[1]data!AA192*(_xlfn.XLOOKUP([1]data!$C192,[2]data!$B$2:$B$218,[2]data!Z$2:Z$218)/100)</f>
        <v>6.0189019950000013E-2</v>
      </c>
      <c r="AE191">
        <f>[1]data!AB192*(_xlfn.XLOOKUP([1]data!$C192,[2]data!$B$2:$B$218,[2]data!AA$2:AA$218)/100)</f>
        <v>5.968181328000001E-2</v>
      </c>
      <c r="AF191">
        <f>[1]data!AC192*(_xlfn.XLOOKUP([1]data!$C192,[2]data!$B$2:$B$218,[2]data!AB$2:AB$218)/100)</f>
        <v>5.9186461180000004E-2</v>
      </c>
      <c r="AG191">
        <f>[1]data!AD192*(_xlfn.XLOOKUP([1]data!$C192,[2]data!$B$2:$B$218,[2]data!AC$2:AC$218)/100)</f>
        <v>5.8726076820000007E-2</v>
      </c>
      <c r="AH191">
        <f>[1]data!AE192*(_xlfn.XLOOKUP([1]data!$C192,[2]data!$B$2:$B$218,[2]data!AD$2:AD$218)/100)</f>
        <v>5.8285972799999995E-2</v>
      </c>
      <c r="AI191">
        <f>[1]data!AF192*(_xlfn.XLOOKUP([1]data!$C192,[2]data!$B$2:$B$218,[2]data!AE$2:AE$218)/100)</f>
        <v>5.7847139999999998E-2</v>
      </c>
      <c r="AJ191">
        <f>[1]data!AG192*(_xlfn.XLOOKUP([1]data!$C192,[2]data!$B$2:$B$218,[2]data!AF$2:AF$218)/100)</f>
        <v>5.742158750000001E-2</v>
      </c>
      <c r="AK191">
        <f>[1]data!AH192*(_xlfn.XLOOKUP([1]data!$C192,[2]data!$B$2:$B$218,[2]data!AG$2:AG$218)/100)</f>
        <v>5.7019944119999999E-2</v>
      </c>
      <c r="AL191">
        <f>[1]data!AI192*(_xlfn.XLOOKUP([1]data!$C192,[2]data!$B$2:$B$218,[2]data!AH$2:AH$218)/100)</f>
        <v>5.6667238020000003E-2</v>
      </c>
      <c r="AM191">
        <f>[1]data!AJ192*(_xlfn.XLOOKUP([1]data!$C192,[2]data!$B$2:$B$218,[2]data!AI$2:AI$218)/100)</f>
        <v>5.6374247400000008E-2</v>
      </c>
    </row>
    <row r="192" spans="1:39" x14ac:dyDescent="0.25">
      <c r="A192" t="s">
        <v>30</v>
      </c>
      <c r="B192" t="s">
        <v>31</v>
      </c>
      <c r="C192" t="s">
        <v>223</v>
      </c>
      <c r="D192" t="s">
        <v>271</v>
      </c>
      <c r="E192" t="str">
        <f>_xlfn.XLOOKUP(D192,[6]Feuil1!$C$2:$C$248,[6]Feuil1!$B$2:$B$248)</f>
        <v>VE</v>
      </c>
      <c r="F192" t="s">
        <v>33</v>
      </c>
      <c r="G192" t="str">
        <f>_xlfn.XLOOKUP(C192,[3]Sheet1!$B$2:$B$172,[3]Sheet1!$D$2:$D$172)</f>
        <v>Rest of South America</v>
      </c>
      <c r="H192" t="s">
        <v>34</v>
      </c>
      <c r="I192">
        <f>[1]data!F193*(_xlfn.XLOOKUP([1]data!$C193,[2]data!$B$2:$B$218,[2]data!E$2:E$218)/100)</f>
        <v>2.5391032589999996</v>
      </c>
      <c r="J192">
        <f>[1]data!G193*(_xlfn.XLOOKUP([1]data!$C193,[2]data!$B$2:$B$218,[2]data!F$2:F$218)/100)</f>
        <v>3.6142955940000006</v>
      </c>
      <c r="K192">
        <f>[1]data!H193*(_xlfn.XLOOKUP([1]data!$C193,[2]data!$B$2:$B$218,[2]data!G$2:G$218)/100)</f>
        <v>4.9343515760000001</v>
      </c>
      <c r="L192">
        <f>[1]data!I193*(_xlfn.XLOOKUP([1]data!$C193,[2]data!$B$2:$B$218,[2]data!H$2:H$218)/100)</f>
        <v>6.3839435800000004</v>
      </c>
      <c r="M192">
        <f>[1]data!J193*(_xlfn.XLOOKUP([1]data!$C193,[2]data!$B$2:$B$218,[2]data!I$2:I$218)/100)</f>
        <v>8.0396358290000016</v>
      </c>
      <c r="N192">
        <f>[1]data!K193*(_xlfn.XLOOKUP([1]data!$C193,[2]data!$B$2:$B$218,[2]data!J$2:J$218)/100)</f>
        <v>9.8418598720000006</v>
      </c>
      <c r="O192">
        <f>[1]data!L193*(_xlfn.XLOOKUP([1]data!$C193,[2]data!$B$2:$B$218,[2]data!K$2:K$218)/100)</f>
        <v>11.878572024000002</v>
      </c>
      <c r="P192">
        <f>[1]data!M193*(_xlfn.XLOOKUP([1]data!$C193,[2]data!$B$2:$B$218,[2]data!L$2:L$218)/100)</f>
        <v>14.067487980000001</v>
      </c>
      <c r="Q192">
        <f>[1]data!N193*(_xlfn.XLOOKUP([1]data!$C193,[2]data!$B$2:$B$218,[2]data!M$2:M$218)/100)</f>
        <v>16.449290399999999</v>
      </c>
      <c r="R192">
        <f>[1]data!O193*(_xlfn.XLOOKUP([1]data!$C193,[2]data!$B$2:$B$218,[2]data!N$2:N$218)/100)</f>
        <v>18.811913479999998</v>
      </c>
      <c r="S192">
        <f>[1]data!P193*(_xlfn.XLOOKUP([1]data!$C193,[2]data!$B$2:$B$218,[2]data!O$2:O$218)/100)</f>
        <v>21.196953059999998</v>
      </c>
      <c r="T192">
        <f>[1]data!Q193*(_xlfn.XLOOKUP([1]data!$C193,[2]data!$B$2:$B$218,[2]data!P$2:P$218)/100)</f>
        <v>23.275357600000003</v>
      </c>
      <c r="U192">
        <f>[1]data!R193*(_xlfn.XLOOKUP([1]data!$C193,[2]data!$B$2:$B$218,[2]data!Q$2:Q$218)/100)</f>
        <v>25.12827845</v>
      </c>
      <c r="V192">
        <f>[1]data!S193*(_xlfn.XLOOKUP([1]data!$C193,[2]data!$B$2:$B$218,[2]data!R$2:R$218)/100)</f>
        <v>26.783342963999999</v>
      </c>
      <c r="W192">
        <f>[1]data!T193*(_xlfn.XLOOKUP([1]data!$C193,[2]data!$B$2:$B$218,[2]data!S$2:S$218)/100)</f>
        <v>25.279256007000004</v>
      </c>
      <c r="X192">
        <f>[1]data!U193*(_xlfn.XLOOKUP([1]data!$C193,[2]data!$B$2:$B$218,[2]data!T$2:T$218)/100)</f>
        <v>26.55703900948</v>
      </c>
      <c r="Y192">
        <f>[1]data!V193*(_xlfn.XLOOKUP([1]data!$C193,[2]data!$B$2:$B$218,[2]data!U$2:U$218)/100)</f>
        <v>27.930103755179996</v>
      </c>
      <c r="Z192">
        <f>[1]data!W193*(_xlfn.XLOOKUP([1]data!$C193,[2]data!$B$2:$B$218,[2]data!V$2:V$218)/100)</f>
        <v>29.221472622450001</v>
      </c>
      <c r="AA192">
        <f>[1]data!X193*(_xlfn.XLOOKUP([1]data!$C193,[2]data!$B$2:$B$218,[2]data!W$2:W$218)/100)</f>
        <v>30.340756406279997</v>
      </c>
      <c r="AB192">
        <f>[1]data!Y193*(_xlfn.XLOOKUP([1]data!$C193,[2]data!$B$2:$B$218,[2]data!X$2:X$218)/100)</f>
        <v>31.265953421120003</v>
      </c>
      <c r="AC192">
        <f>[1]data!Z193*(_xlfn.XLOOKUP([1]data!$C193,[2]data!$B$2:$B$218,[2]data!Y$2:Y$218)/100)</f>
        <v>32.014841330840007</v>
      </c>
      <c r="AD192">
        <f>[1]data!AA193*(_xlfn.XLOOKUP([1]data!$C193,[2]data!$B$2:$B$218,[2]data!Z$2:Z$218)/100)</f>
        <v>32.643719873489999</v>
      </c>
      <c r="AE192">
        <f>[1]data!AB193*(_xlfn.XLOOKUP([1]data!$C193,[2]data!$B$2:$B$218,[2]data!AA$2:AA$218)/100)</f>
        <v>33.175423149530005</v>
      </c>
      <c r="AF192">
        <f>[1]data!AC193*(_xlfn.XLOOKUP([1]data!$C193,[2]data!$B$2:$B$218,[2]data!AB$2:AB$218)/100)</f>
        <v>33.595090647420008</v>
      </c>
      <c r="AG192">
        <f>[1]data!AD193*(_xlfn.XLOOKUP([1]data!$C193,[2]data!$B$2:$B$218,[2]data!AC$2:AC$218)/100)</f>
        <v>33.905229438360003</v>
      </c>
      <c r="AH192">
        <f>[1]data!AE193*(_xlfn.XLOOKUP([1]data!$C193,[2]data!$B$2:$B$218,[2]data!AD$2:AD$218)/100)</f>
        <v>34.115474688420001</v>
      </c>
      <c r="AI192">
        <f>[1]data!AF193*(_xlfn.XLOOKUP([1]data!$C193,[2]data!$B$2:$B$218,[2]data!AE$2:AE$218)/100)</f>
        <v>34.230406756260003</v>
      </c>
      <c r="AJ192">
        <f>[1]data!AG193*(_xlfn.XLOOKUP([1]data!$C193,[2]data!$B$2:$B$218,[2]data!AF$2:AF$218)/100)</f>
        <v>34.260424856</v>
      </c>
      <c r="AK192">
        <f>[1]data!AH193*(_xlfn.XLOOKUP([1]data!$C193,[2]data!$B$2:$B$218,[2]data!AG$2:AG$218)/100)</f>
        <v>34.194042906430006</v>
      </c>
      <c r="AL192">
        <f>[1]data!AI193*(_xlfn.XLOOKUP([1]data!$C193,[2]data!$B$2:$B$218,[2]data!AH$2:AH$218)/100)</f>
        <v>34.007462344800004</v>
      </c>
      <c r="AM192">
        <f>[1]data!AJ193*(_xlfn.XLOOKUP([1]data!$C193,[2]data!$B$2:$B$218,[2]data!AI$2:AI$218)/100)</f>
        <v>33.700805429100008</v>
      </c>
    </row>
    <row r="193" spans="1:39" x14ac:dyDescent="0.25">
      <c r="A193" t="s">
        <v>30</v>
      </c>
      <c r="B193" t="s">
        <v>31</v>
      </c>
      <c r="C193" t="s">
        <v>224</v>
      </c>
      <c r="D193" t="s">
        <v>272</v>
      </c>
      <c r="E193" t="str">
        <f>_xlfn.XLOOKUP(D193,[6]Feuil1!$C$2:$C$248,[6]Feuil1!$B$2:$B$248)</f>
        <v>VI</v>
      </c>
      <c r="F193" t="s">
        <v>33</v>
      </c>
      <c r="G193" t="s">
        <v>238</v>
      </c>
      <c r="H193" t="s">
        <v>34</v>
      </c>
      <c r="I193">
        <f>[1]data!F194*(_xlfn.XLOOKUP([1]data!$C194,[2]data!$B$2:$B$218,[2]data!E$2:E$218)/100)</f>
        <v>1.5541614E-2</v>
      </c>
      <c r="J193">
        <f>[1]data!G194*(_xlfn.XLOOKUP([1]data!$C194,[2]data!$B$2:$B$218,[2]data!F$2:F$218)/100)</f>
        <v>1.6625752000000001E-2</v>
      </c>
      <c r="K193">
        <f>[1]data!H194*(_xlfn.XLOOKUP([1]data!$C194,[2]data!$B$2:$B$218,[2]data!G$2:G$218)/100)</f>
        <v>1.8043274999999998E-2</v>
      </c>
      <c r="L193">
        <f>[1]data!I194*(_xlfn.XLOOKUP([1]data!$C194,[2]data!$B$2:$B$218,[2]data!H$2:H$218)/100)</f>
        <v>2.8225470000000003E-2</v>
      </c>
      <c r="M193">
        <f>[1]data!J194*(_xlfn.XLOOKUP([1]data!$C194,[2]data!$B$2:$B$218,[2]data!I$2:I$218)/100)</f>
        <v>4.2934848000000005E-2</v>
      </c>
      <c r="N193">
        <f>[1]data!K194*(_xlfn.XLOOKUP([1]data!$C194,[2]data!$B$2:$B$218,[2]data!J$2:J$218)/100)</f>
        <v>5.9919360000000012E-2</v>
      </c>
      <c r="O193">
        <f>[1]data!L194*(_xlfn.XLOOKUP([1]data!$C194,[2]data!$B$2:$B$218,[2]data!K$2:K$218)/100)</f>
        <v>7.6723784999999989E-2</v>
      </c>
      <c r="P193">
        <f>[1]data!M194*(_xlfn.XLOOKUP([1]data!$C194,[2]data!$B$2:$B$218,[2]data!L$2:L$218)/100)</f>
        <v>8.5810655999999999E-2</v>
      </c>
      <c r="Q193">
        <f>[1]data!N194*(_xlfn.XLOOKUP([1]data!$C194,[2]data!$B$2:$B$218,[2]data!M$2:M$218)/100)</f>
        <v>8.8254264000000013E-2</v>
      </c>
      <c r="R193">
        <f>[1]data!O194*(_xlfn.XLOOKUP([1]data!$C194,[2]data!$B$2:$B$218,[2]data!N$2:N$218)/100)</f>
        <v>9.2991768000000002E-2</v>
      </c>
      <c r="S193">
        <f>[1]data!P194*(_xlfn.XLOOKUP([1]data!$C194,[2]data!$B$2:$B$218,[2]data!O$2:O$218)/100)</f>
        <v>0.10025339</v>
      </c>
      <c r="T193">
        <f>[1]data!Q194*(_xlfn.XLOOKUP([1]data!$C194,[2]data!$B$2:$B$218,[2]data!P$2:P$218)/100)</f>
        <v>9.9747398000000001E-2</v>
      </c>
      <c r="U193">
        <f>[1]data!R194*(_xlfn.XLOOKUP([1]data!$C194,[2]data!$B$2:$B$218,[2]data!Q$2:Q$218)/100)</f>
        <v>0.100713052</v>
      </c>
      <c r="V193">
        <f>[1]data!S194*(_xlfn.XLOOKUP([1]data!$C194,[2]data!$B$2:$B$218,[2]data!R$2:R$218)/100)</f>
        <v>9.8318286000000005E-2</v>
      </c>
      <c r="W193">
        <f>[1]data!T194*(_xlfn.XLOOKUP([1]data!$C194,[2]data!$B$2:$B$218,[2]data!S$2:S$218)/100)</f>
        <v>9.6421696000000001E-2</v>
      </c>
      <c r="X193">
        <f>[1]data!U194*(_xlfn.XLOOKUP([1]data!$C194,[2]data!$B$2:$B$218,[2]data!T$2:T$218)/100)</f>
        <v>9.4281910400000016E-2</v>
      </c>
      <c r="Y193">
        <f>[1]data!V194*(_xlfn.XLOOKUP([1]data!$C194,[2]data!$B$2:$B$218,[2]data!U$2:U$218)/100)</f>
        <v>9.2413538550000021E-2</v>
      </c>
      <c r="Z193">
        <f>[1]data!W194*(_xlfn.XLOOKUP([1]data!$C194,[2]data!$B$2:$B$218,[2]data!V$2:V$218)/100)</f>
        <v>9.0682420359999988E-2</v>
      </c>
      <c r="AA193">
        <f>[1]data!X194*(_xlfn.XLOOKUP([1]data!$C194,[2]data!$B$2:$B$218,[2]data!W$2:W$218)/100)</f>
        <v>8.9181072949999982E-2</v>
      </c>
      <c r="AB193">
        <f>[1]data!Y194*(_xlfn.XLOOKUP([1]data!$C194,[2]data!$B$2:$B$218,[2]data!X$2:X$218)/100)</f>
        <v>8.8029232200000002E-2</v>
      </c>
      <c r="AC193">
        <f>[1]data!Z194*(_xlfn.XLOOKUP([1]data!$C194,[2]data!$B$2:$B$218,[2]data!Y$2:Y$218)/100)</f>
        <v>8.7243176000000006E-2</v>
      </c>
      <c r="AD193">
        <f>[1]data!AA194*(_xlfn.XLOOKUP([1]data!$C194,[2]data!$B$2:$B$218,[2]data!Z$2:Z$218)/100)</f>
        <v>8.6758234319999045E-2</v>
      </c>
      <c r="AE193">
        <f>[1]data!AB194*(_xlfn.XLOOKUP([1]data!$C194,[2]data!$B$2:$B$218,[2]data!AA$2:AA$218)/100)</f>
        <v>8.6491129199999989E-2</v>
      </c>
      <c r="AF193">
        <f>[1]data!AC194*(_xlfn.XLOOKUP([1]data!$C194,[2]data!$B$2:$B$218,[2]data!AB$2:AB$218)/100)</f>
        <v>8.6334264370000011E-2</v>
      </c>
      <c r="AG193">
        <f>[1]data!AD194*(_xlfn.XLOOKUP([1]data!$C194,[2]data!$B$2:$B$218,[2]data!AC$2:AC$218)/100)</f>
        <v>8.630536803000001E-2</v>
      </c>
      <c r="AH193">
        <f>[1]data!AE194*(_xlfn.XLOOKUP([1]data!$C194,[2]data!$B$2:$B$218,[2]data!AD$2:AD$218)/100)</f>
        <v>8.6467871069999994E-2</v>
      </c>
      <c r="AI193">
        <f>[1]data!AF194*(_xlfn.XLOOKUP([1]data!$C194,[2]data!$B$2:$B$218,[2]data!AE$2:AE$218)/100)</f>
        <v>8.672250095999999E-2</v>
      </c>
      <c r="AJ193">
        <f>[1]data!AG194*(_xlfn.XLOOKUP([1]data!$C194,[2]data!$B$2:$B$218,[2]data!AF$2:AF$218)/100)</f>
        <v>8.7000556800000003E-2</v>
      </c>
      <c r="AK193">
        <f>[1]data!AH194*(_xlfn.XLOOKUP([1]data!$C194,[2]data!$B$2:$B$218,[2]data!AG$2:AG$218)/100)</f>
        <v>8.7224513219999994E-2</v>
      </c>
      <c r="AL193">
        <f>[1]data!AI194*(_xlfn.XLOOKUP([1]data!$C194,[2]data!$B$2:$B$218,[2]data!AH$2:AH$218)/100)</f>
        <v>8.7330935139999039E-2</v>
      </c>
      <c r="AM193">
        <f>[1]data!AJ194*(_xlfn.XLOOKUP([1]data!$C194,[2]data!$B$2:$B$218,[2]data!AI$2:AI$218)/100)</f>
        <v>8.7278499689999997E-2</v>
      </c>
    </row>
    <row r="194" spans="1:39" x14ac:dyDescent="0.25">
      <c r="A194" t="s">
        <v>30</v>
      </c>
      <c r="B194" t="s">
        <v>31</v>
      </c>
      <c r="C194" t="s">
        <v>239</v>
      </c>
      <c r="D194" t="s">
        <v>273</v>
      </c>
      <c r="E194" t="str">
        <f>_xlfn.XLOOKUP(D194,[6]Feuil1!$C$2:$C$248,[6]Feuil1!$B$2:$B$248)</f>
        <v>VN</v>
      </c>
      <c r="F194" t="s">
        <v>33</v>
      </c>
      <c r="G194" t="str">
        <f>_xlfn.XLOOKUP(C194,[3]Sheet1!$B$2:$B$172,[3]Sheet1!$D$2:$D$172)</f>
        <v>Southeastern Asia</v>
      </c>
      <c r="H194" t="s">
        <v>34</v>
      </c>
      <c r="I194">
        <f>[1]data!F195*(_xlfn.XLOOKUP([1]data!$C195,[2]data!$B$2:$B$218,[2]data!E$2:E$218)/100)</f>
        <v>2.880278492</v>
      </c>
      <c r="J194">
        <f>[1]data!G195*(_xlfn.XLOOKUP([1]data!$C195,[2]data!$B$2:$B$218,[2]data!F$2:F$218)/100)</f>
        <v>3.6530315470000003</v>
      </c>
      <c r="K194">
        <f>[1]data!H195*(_xlfn.XLOOKUP([1]data!$C195,[2]data!$B$2:$B$218,[2]data!G$2:G$218)/100)</f>
        <v>4.7377863329999998</v>
      </c>
      <c r="L194">
        <f>[1]data!I195*(_xlfn.XLOOKUP([1]data!$C195,[2]data!$B$2:$B$218,[2]data!H$2:H$218)/100)</f>
        <v>6.0673067719999993</v>
      </c>
      <c r="M194">
        <f>[1]data!J195*(_xlfn.XLOOKUP([1]data!$C195,[2]data!$B$2:$B$218,[2]data!I$2:I$218)/100)</f>
        <v>7.5883230179999996</v>
      </c>
      <c r="N194">
        <f>[1]data!K195*(_xlfn.XLOOKUP([1]data!$C195,[2]data!$B$2:$B$218,[2]data!J$2:J$218)/100)</f>
        <v>8.7203937239999991</v>
      </c>
      <c r="O194">
        <f>[1]data!L195*(_xlfn.XLOOKUP([1]data!$C195,[2]data!$B$2:$B$218,[2]data!K$2:K$218)/100)</f>
        <v>10.046049216000002</v>
      </c>
      <c r="P194">
        <f>[1]data!M195*(_xlfn.XLOOKUP([1]data!$C195,[2]data!$B$2:$B$218,[2]data!L$2:L$218)/100)</f>
        <v>11.585113512000001</v>
      </c>
      <c r="Q194">
        <f>[1]data!N195*(_xlfn.XLOOKUP([1]data!$C195,[2]data!$B$2:$B$218,[2]data!M$2:M$218)/100)</f>
        <v>13.436967474000001</v>
      </c>
      <c r="R194">
        <f>[1]data!O195*(_xlfn.XLOOKUP([1]data!$C195,[2]data!$B$2:$B$218,[2]data!N$2:N$218)/100)</f>
        <v>16.237631892000003</v>
      </c>
      <c r="S194">
        <f>[1]data!P195*(_xlfn.XLOOKUP([1]data!$C195,[2]data!$B$2:$B$218,[2]data!O$2:O$218)/100)</f>
        <v>19.176112255999996</v>
      </c>
      <c r="T194">
        <f>[1]data!Q195*(_xlfn.XLOOKUP([1]data!$C195,[2]data!$B$2:$B$218,[2]data!P$2:P$218)/100)</f>
        <v>22.585706871000003</v>
      </c>
      <c r="U194">
        <f>[1]data!R195*(_xlfn.XLOOKUP([1]data!$C195,[2]data!$B$2:$B$218,[2]data!Q$2:Q$218)/100)</f>
        <v>26.431268143999997</v>
      </c>
      <c r="V194">
        <f>[1]data!S195*(_xlfn.XLOOKUP([1]data!$C195,[2]data!$B$2:$B$218,[2]data!R$2:R$218)/100)</f>
        <v>31.000349717999995</v>
      </c>
      <c r="W194">
        <f>[1]data!T195*(_xlfn.XLOOKUP([1]data!$C195,[2]data!$B$2:$B$218,[2]data!S$2:S$218)/100)</f>
        <v>35.883939443000003</v>
      </c>
      <c r="X194">
        <f>[1]data!U195*(_xlfn.XLOOKUP([1]data!$C195,[2]data!$B$2:$B$218,[2]data!T$2:T$218)/100)</f>
        <v>40.11929236550997</v>
      </c>
      <c r="Y194">
        <f>[1]data!V195*(_xlfn.XLOOKUP([1]data!$C195,[2]data!$B$2:$B$218,[2]data!U$2:U$218)/100)</f>
        <v>44.213289047829996</v>
      </c>
      <c r="Z194">
        <f>[1]data!W195*(_xlfn.XLOOKUP([1]data!$C195,[2]data!$B$2:$B$218,[2]data!V$2:V$218)/100)</f>
        <v>48.01894260816001</v>
      </c>
      <c r="AA194">
        <f>[1]data!X195*(_xlfn.XLOOKUP([1]data!$C195,[2]data!$B$2:$B$218,[2]data!W$2:W$218)/100)</f>
        <v>51.542461131000003</v>
      </c>
      <c r="AB194">
        <f>[1]data!Y195*(_xlfn.XLOOKUP([1]data!$C195,[2]data!$B$2:$B$218,[2]data!X$2:X$218)/100)</f>
        <v>54.761598516420001</v>
      </c>
      <c r="AC194">
        <f>[1]data!Z195*(_xlfn.XLOOKUP([1]data!$C195,[2]data!$B$2:$B$218,[2]data!Y$2:Y$218)/100)</f>
        <v>57.655038320000003</v>
      </c>
      <c r="AD194">
        <f>[1]data!AA195*(_xlfn.XLOOKUP([1]data!$C195,[2]data!$B$2:$B$218,[2]data!Z$2:Z$218)/100)</f>
        <v>60.185702715379996</v>
      </c>
      <c r="AE194">
        <f>[1]data!AB195*(_xlfn.XLOOKUP([1]data!$C195,[2]data!$B$2:$B$218,[2]data!AA$2:AA$218)/100)</f>
        <v>62.28823648374</v>
      </c>
      <c r="AF194">
        <f>[1]data!AC195*(_xlfn.XLOOKUP([1]data!$C195,[2]data!$B$2:$B$218,[2]data!AB$2:AB$218)/100)</f>
        <v>63.943761706740005</v>
      </c>
      <c r="AG194">
        <f>[1]data!AD195*(_xlfn.XLOOKUP([1]data!$C195,[2]data!$B$2:$B$218,[2]data!AC$2:AC$218)/100)</f>
        <v>65.169081967419999</v>
      </c>
      <c r="AH194">
        <f>[1]data!AE195*(_xlfn.XLOOKUP([1]data!$C195,[2]data!$B$2:$B$218,[2]data!AD$2:AD$218)/100)</f>
        <v>65.991503239019991</v>
      </c>
      <c r="AI194">
        <f>[1]data!AF195*(_xlfn.XLOOKUP([1]data!$C195,[2]data!$B$2:$B$218,[2]data!AE$2:AE$218)/100)</f>
        <v>66.49707489091</v>
      </c>
      <c r="AJ194">
        <f>[1]data!AG195*(_xlfn.XLOOKUP([1]data!$C195,[2]data!$B$2:$B$218,[2]data!AF$2:AF$218)/100)</f>
        <v>66.764706638580009</v>
      </c>
      <c r="AK194">
        <f>[1]data!AH195*(_xlfn.XLOOKUP([1]data!$C195,[2]data!$B$2:$B$218,[2]data!AG$2:AG$218)/100)</f>
        <v>66.856770209169994</v>
      </c>
      <c r="AL194">
        <f>[1]data!AI195*(_xlfn.XLOOKUP([1]data!$C195,[2]data!$B$2:$B$218,[2]data!AH$2:AH$218)/100)</f>
        <v>66.823393627999934</v>
      </c>
      <c r="AM194">
        <f>[1]data!AJ195*(_xlfn.XLOOKUP([1]data!$C195,[2]data!$B$2:$B$218,[2]data!AI$2:AI$218)/100)</f>
        <v>66.680636148900078</v>
      </c>
    </row>
    <row r="195" spans="1:39" x14ac:dyDescent="0.25">
      <c r="A195" t="s">
        <v>30</v>
      </c>
      <c r="B195" t="s">
        <v>31</v>
      </c>
      <c r="C195" t="s">
        <v>226</v>
      </c>
      <c r="D195" t="s">
        <v>441</v>
      </c>
      <c r="E195" t="str">
        <f>_xlfn.XLOOKUP(D195,[6]Feuil1!$C$2:$C$248,[6]Feuil1!$B$2:$B$248)</f>
        <v>VU</v>
      </c>
      <c r="F195" t="s">
        <v>33</v>
      </c>
      <c r="G195" t="s">
        <v>250</v>
      </c>
      <c r="H195" t="s">
        <v>34</v>
      </c>
      <c r="I195">
        <f>[1]data!F196*(_xlfn.XLOOKUP([1]data!$C196,[2]data!$B$2:$B$218,[2]data!E$2:E$218)/100)</f>
        <v>4.4989120000000007E-3</v>
      </c>
      <c r="J195">
        <f>[1]data!G196*(_xlfn.XLOOKUP([1]data!$C196,[2]data!$B$2:$B$218,[2]data!F$2:F$218)/100)</f>
        <v>5.3333E-3</v>
      </c>
      <c r="K195">
        <f>[1]data!H196*(_xlfn.XLOOKUP([1]data!$C196,[2]data!$B$2:$B$218,[2]data!G$2:G$218)/100)</f>
        <v>6.6246960000000011E-3</v>
      </c>
      <c r="L195">
        <f>[1]data!I196*(_xlfn.XLOOKUP([1]data!$C196,[2]data!$B$2:$B$218,[2]data!H$2:H$218)/100)</f>
        <v>8.3125060000000008E-3</v>
      </c>
      <c r="M195">
        <f>[1]data!J196*(_xlfn.XLOOKUP([1]data!$C196,[2]data!$B$2:$B$218,[2]data!I$2:I$218)/100)</f>
        <v>1.0536057000000003E-2</v>
      </c>
      <c r="N195">
        <f>[1]data!K196*(_xlfn.XLOOKUP([1]data!$C196,[2]data!$B$2:$B$218,[2]data!J$2:J$218)/100)</f>
        <v>1.3449312000000001E-2</v>
      </c>
      <c r="O195">
        <f>[1]data!L196*(_xlfn.XLOOKUP([1]data!$C196,[2]data!$B$2:$B$218,[2]data!K$2:K$218)/100)</f>
        <v>1.7173275000000002E-2</v>
      </c>
      <c r="P195">
        <f>[1]data!M196*(_xlfn.XLOOKUP([1]data!$C196,[2]data!$B$2:$B$218,[2]data!L$2:L$218)/100)</f>
        <v>2.1955322999999999E-2</v>
      </c>
      <c r="Q195">
        <f>[1]data!N196*(_xlfn.XLOOKUP([1]data!$C196,[2]data!$B$2:$B$218,[2]data!M$2:M$218)/100)</f>
        <v>2.7865431E-2</v>
      </c>
      <c r="R195">
        <f>[1]data!O196*(_xlfn.XLOOKUP([1]data!$C196,[2]data!$B$2:$B$218,[2]data!N$2:N$218)/100)</f>
        <v>3.4052149999999996E-2</v>
      </c>
      <c r="S195">
        <f>[1]data!P196*(_xlfn.XLOOKUP([1]data!$C196,[2]data!$B$2:$B$218,[2]data!O$2:O$218)/100)</f>
        <v>4.1153833000000001E-2</v>
      </c>
      <c r="T195">
        <f>[1]data!Q196*(_xlfn.XLOOKUP([1]data!$C196,[2]data!$B$2:$B$218,[2]data!P$2:P$218)/100)</f>
        <v>4.9667078999999996E-2</v>
      </c>
      <c r="U195">
        <f>[1]data!R196*(_xlfn.XLOOKUP([1]data!$C196,[2]data!$B$2:$B$218,[2]data!Q$2:Q$218)/100)</f>
        <v>5.9430139999999999E-2</v>
      </c>
      <c r="V195">
        <f>[1]data!S196*(_xlfn.XLOOKUP([1]data!$C196,[2]data!$B$2:$B$218,[2]data!R$2:R$218)/100)</f>
        <v>6.8290000000000003E-2</v>
      </c>
      <c r="W195">
        <f>[1]data!T196*(_xlfn.XLOOKUP([1]data!$C196,[2]data!$B$2:$B$218,[2]data!S$2:S$218)/100)</f>
        <v>7.8534900000000005E-2</v>
      </c>
      <c r="X195">
        <f>[1]data!U196*(_xlfn.XLOOKUP([1]data!$C196,[2]data!$B$2:$B$218,[2]data!T$2:T$218)/100)</f>
        <v>9.6373762800000012E-2</v>
      </c>
      <c r="Y195">
        <f>[1]data!V196*(_xlfn.XLOOKUP([1]data!$C196,[2]data!$B$2:$B$218,[2]data!U$2:U$218)/100)</f>
        <v>0.11616891303999971</v>
      </c>
      <c r="Z195">
        <f>[1]data!W196*(_xlfn.XLOOKUP([1]data!$C196,[2]data!$B$2:$B$218,[2]data!V$2:V$218)/100)</f>
        <v>0.13802798624999998</v>
      </c>
      <c r="AA195">
        <f>[1]data!X196*(_xlfn.XLOOKUP([1]data!$C196,[2]data!$B$2:$B$218,[2]data!W$2:W$218)/100)</f>
        <v>0.16179904890000002</v>
      </c>
      <c r="AB195">
        <f>[1]data!Y196*(_xlfn.XLOOKUP([1]data!$C196,[2]data!$B$2:$B$218,[2]data!X$2:X$218)/100)</f>
        <v>0.18716998564999998</v>
      </c>
      <c r="AC195">
        <f>[1]data!Z196*(_xlfn.XLOOKUP([1]data!$C196,[2]data!$B$2:$B$218,[2]data!Y$2:Y$218)/100)</f>
        <v>0.21339767325000003</v>
      </c>
      <c r="AD195">
        <f>[1]data!AA196*(_xlfn.XLOOKUP([1]data!$C196,[2]data!$B$2:$B$218,[2]data!Z$2:Z$218)/100)</f>
        <v>0.23973109874999959</v>
      </c>
      <c r="AE195">
        <f>[1]data!AB196*(_xlfn.XLOOKUP([1]data!$C196,[2]data!$B$2:$B$218,[2]data!AA$2:AA$218)/100)</f>
        <v>0.26590420980000001</v>
      </c>
      <c r="AF195">
        <f>[1]data!AC196*(_xlfn.XLOOKUP([1]data!$C196,[2]data!$B$2:$B$218,[2]data!AB$2:AB$218)/100)</f>
        <v>0.29149254360000004</v>
      </c>
      <c r="AG195">
        <f>[1]data!AD196*(_xlfn.XLOOKUP([1]data!$C196,[2]data!$B$2:$B$218,[2]data!AC$2:AC$218)/100)</f>
        <v>0.31599732199999997</v>
      </c>
      <c r="AH195">
        <f>[1]data!AE196*(_xlfn.XLOOKUP([1]data!$C196,[2]data!$B$2:$B$218,[2]data!AD$2:AD$218)/100)</f>
        <v>0.33888523606000004</v>
      </c>
      <c r="AI195">
        <f>[1]data!AF196*(_xlfn.XLOOKUP([1]data!$C196,[2]data!$B$2:$B$218,[2]data!AE$2:AE$218)/100)</f>
        <v>0.36033863332999999</v>
      </c>
      <c r="AJ195">
        <f>[1]data!AG196*(_xlfn.XLOOKUP([1]data!$C196,[2]data!$B$2:$B$218,[2]data!AF$2:AF$218)/100)</f>
        <v>0.38031214608000002</v>
      </c>
      <c r="AK195">
        <f>[1]data!AH196*(_xlfn.XLOOKUP([1]data!$C196,[2]data!$B$2:$B$218,[2]data!AG$2:AG$218)/100)</f>
        <v>0.39863248895999942</v>
      </c>
      <c r="AL195">
        <f>[1]data!AI196*(_xlfn.XLOOKUP([1]data!$C196,[2]data!$B$2:$B$218,[2]data!AH$2:AH$218)/100)</f>
        <v>0.41510987327999993</v>
      </c>
      <c r="AM195">
        <f>[1]data!AJ196*(_xlfn.XLOOKUP([1]data!$C196,[2]data!$B$2:$B$218,[2]data!AI$2:AI$218)/100)</f>
        <v>0.42923549069999933</v>
      </c>
    </row>
    <row r="196" spans="1:39" x14ac:dyDescent="0.25">
      <c r="A196" t="s">
        <v>30</v>
      </c>
      <c r="B196" t="s">
        <v>31</v>
      </c>
      <c r="C196" t="s">
        <v>227</v>
      </c>
      <c r="D196" t="s">
        <v>442</v>
      </c>
      <c r="E196" t="str">
        <f>_xlfn.XLOOKUP(D196,[6]Feuil1!$C$2:$C$248,[6]Feuil1!$B$2:$B$248)</f>
        <v>WS</v>
      </c>
      <c r="F196" t="s">
        <v>33</v>
      </c>
      <c r="G196" t="s">
        <v>250</v>
      </c>
      <c r="H196" t="s">
        <v>34</v>
      </c>
      <c r="I196">
        <f>[1]data!F197*(_xlfn.XLOOKUP([1]data!$C197,[2]data!$B$2:$B$218,[2]data!E$2:E$218)/100)</f>
        <v>1.1225193E-2</v>
      </c>
      <c r="J196">
        <f>[1]data!G197*(_xlfn.XLOOKUP([1]data!$C197,[2]data!$B$2:$B$218,[2]data!F$2:F$218)/100)</f>
        <v>1.6879392E-2</v>
      </c>
      <c r="K196">
        <f>[1]data!H197*(_xlfn.XLOOKUP([1]data!$C197,[2]data!$B$2:$B$218,[2]data!G$2:G$218)/100)</f>
        <v>2.1086351999999996E-2</v>
      </c>
      <c r="L196">
        <f>[1]data!I197*(_xlfn.XLOOKUP([1]data!$C197,[2]data!$B$2:$B$218,[2]data!H$2:H$218)/100)</f>
        <v>2.4727546000000003E-2</v>
      </c>
      <c r="M196">
        <f>[1]data!J197*(_xlfn.XLOOKUP([1]data!$C197,[2]data!$B$2:$B$218,[2]data!I$2:I$218)/100)</f>
        <v>2.8889664000000002E-2</v>
      </c>
      <c r="N196">
        <f>[1]data!K197*(_xlfn.XLOOKUP([1]data!$C197,[2]data!$B$2:$B$218,[2]data!J$2:J$218)/100)</f>
        <v>3.2291069999999998E-2</v>
      </c>
      <c r="O196">
        <f>[1]data!L197*(_xlfn.XLOOKUP([1]data!$C197,[2]data!$B$2:$B$218,[2]data!K$2:K$218)/100)</f>
        <v>3.4812943999999998E-2</v>
      </c>
      <c r="P196">
        <f>[1]data!M197*(_xlfn.XLOOKUP([1]data!$C197,[2]data!$B$2:$B$218,[2]data!L$2:L$218)/100)</f>
        <v>3.5331284000000004E-2</v>
      </c>
      <c r="Q196">
        <f>[1]data!N197*(_xlfn.XLOOKUP([1]data!$C197,[2]data!$B$2:$B$218,[2]data!M$2:M$218)/100)</f>
        <v>3.5628508000000003E-2</v>
      </c>
      <c r="R196">
        <f>[1]data!O197*(_xlfn.XLOOKUP([1]data!$C197,[2]data!$B$2:$B$218,[2]data!N$2:N$218)/100)</f>
        <v>3.7410000000000006E-2</v>
      </c>
      <c r="S196">
        <f>[1]data!P197*(_xlfn.XLOOKUP([1]data!$C197,[2]data!$B$2:$B$218,[2]data!O$2:O$218)/100)</f>
        <v>4.028574E-2</v>
      </c>
      <c r="T196">
        <f>[1]data!Q197*(_xlfn.XLOOKUP([1]data!$C197,[2]data!$B$2:$B$218,[2]data!P$2:P$218)/100)</f>
        <v>3.9933591999999997E-2</v>
      </c>
      <c r="U196">
        <f>[1]data!R197*(_xlfn.XLOOKUP([1]data!$C197,[2]data!$B$2:$B$218,[2]data!Q$2:Q$218)/100)</f>
        <v>3.8966463000000007E-2</v>
      </c>
      <c r="V196">
        <f>[1]data!S197*(_xlfn.XLOOKUP([1]data!$C197,[2]data!$B$2:$B$218,[2]data!R$2:R$218)/100)</f>
        <v>3.8303117999999997E-2</v>
      </c>
      <c r="W196">
        <f>[1]data!T197*(_xlfn.XLOOKUP([1]data!$C197,[2]data!$B$2:$B$218,[2]data!S$2:S$218)/100)</f>
        <v>3.8138098000000002E-2</v>
      </c>
      <c r="X196">
        <f>[1]data!U197*(_xlfn.XLOOKUP([1]data!$C197,[2]data!$B$2:$B$218,[2]data!T$2:T$218)/100)</f>
        <v>4.5312200330000003E-2</v>
      </c>
      <c r="Y196">
        <f>[1]data!V197*(_xlfn.XLOOKUP([1]data!$C197,[2]data!$B$2:$B$218,[2]data!U$2:U$218)/100)</f>
        <v>5.2991719139999775E-2</v>
      </c>
      <c r="Z196">
        <f>[1]data!W197*(_xlfn.XLOOKUP([1]data!$C197,[2]data!$B$2:$B$218,[2]data!V$2:V$218)/100)</f>
        <v>6.1094345759999995E-2</v>
      </c>
      <c r="AA196">
        <f>[1]data!X197*(_xlfn.XLOOKUP([1]data!$C197,[2]data!$B$2:$B$218,[2]data!W$2:W$218)/100)</f>
        <v>6.9531480000000007E-2</v>
      </c>
      <c r="AB196">
        <f>[1]data!Y197*(_xlfn.XLOOKUP([1]data!$C197,[2]data!$B$2:$B$218,[2]data!X$2:X$218)/100)</f>
        <v>7.8187486479999999E-2</v>
      </c>
      <c r="AC196">
        <f>[1]data!Z197*(_xlfn.XLOOKUP([1]data!$C197,[2]data!$B$2:$B$218,[2]data!Y$2:Y$218)/100)</f>
        <v>8.6772104749999981E-2</v>
      </c>
      <c r="AD196">
        <f>[1]data!AA197*(_xlfn.XLOOKUP([1]data!$C197,[2]data!$B$2:$B$218,[2]data!Z$2:Z$218)/100)</f>
        <v>9.4920860100000018E-2</v>
      </c>
      <c r="AE196">
        <f>[1]data!AB197*(_xlfn.XLOOKUP([1]data!$C197,[2]data!$B$2:$B$218,[2]data!AA$2:AA$218)/100)</f>
        <v>0.10245644607000001</v>
      </c>
      <c r="AF196">
        <f>[1]data!AC197*(_xlfn.XLOOKUP([1]data!$C197,[2]data!$B$2:$B$218,[2]data!AB$2:AB$218)/100)</f>
        <v>0.10986518976</v>
      </c>
      <c r="AG196">
        <f>[1]data!AD197*(_xlfn.XLOOKUP([1]data!$C197,[2]data!$B$2:$B$218,[2]data!AC$2:AC$218)/100)</f>
        <v>0.11708621331000001</v>
      </c>
      <c r="AH196">
        <f>[1]data!AE197*(_xlfn.XLOOKUP([1]data!$C197,[2]data!$B$2:$B$218,[2]data!AD$2:AD$218)/100)</f>
        <v>0.12415656546000002</v>
      </c>
      <c r="AI196">
        <f>[1]data!AF197*(_xlfn.XLOOKUP([1]data!$C197,[2]data!$B$2:$B$218,[2]data!AE$2:AE$218)/100)</f>
        <v>0.13118275065000004</v>
      </c>
      <c r="AJ196">
        <f>[1]data!AG197*(_xlfn.XLOOKUP([1]data!$C197,[2]data!$B$2:$B$218,[2]data!AF$2:AF$218)/100)</f>
        <v>0.13819117784999999</v>
      </c>
      <c r="AK196">
        <f>[1]data!AH197*(_xlfn.XLOOKUP([1]data!$C197,[2]data!$B$2:$B$218,[2]data!AG$2:AG$218)/100)</f>
        <v>0.14511644994</v>
      </c>
      <c r="AL196">
        <f>[1]data!AI197*(_xlfn.XLOOKUP([1]data!$C197,[2]data!$B$2:$B$218,[2]data!AH$2:AH$218)/100)</f>
        <v>0.15203186880000003</v>
      </c>
      <c r="AM196">
        <f>[1]data!AJ197*(_xlfn.XLOOKUP([1]data!$C197,[2]data!$B$2:$B$218,[2]data!AI$2:AI$218)/100)</f>
        <v>0.15888124950999999</v>
      </c>
    </row>
    <row r="197" spans="1:39" x14ac:dyDescent="0.25">
      <c r="A197" t="s">
        <v>30</v>
      </c>
      <c r="B197" t="s">
        <v>31</v>
      </c>
      <c r="C197" t="s">
        <v>228</v>
      </c>
      <c r="D197" t="s">
        <v>274</v>
      </c>
      <c r="E197" t="str">
        <f>_xlfn.XLOOKUP(D197,[6]Feuil1!$C$2:$C$248,[6]Feuil1!$B$2:$B$248)</f>
        <v>YE</v>
      </c>
      <c r="F197" t="s">
        <v>33</v>
      </c>
      <c r="G197" t="str">
        <f>_xlfn.XLOOKUP(C197,[3]Sheet1!$B$2:$B$172,[3]Sheet1!$D$2:$D$172)</f>
        <v>Middle East</v>
      </c>
      <c r="H197" t="s">
        <v>34</v>
      </c>
      <c r="I197">
        <f>[1]data!F198*(_xlfn.XLOOKUP([1]data!$C198,[2]data!$B$2:$B$218,[2]data!E$2:E$218)/100)</f>
        <v>0.27136216400000002</v>
      </c>
      <c r="J197">
        <f>[1]data!G198*(_xlfn.XLOOKUP([1]data!$C198,[2]data!$B$2:$B$218,[2]data!F$2:F$218)/100)</f>
        <v>0.36868613499999997</v>
      </c>
      <c r="K197">
        <f>[1]data!H198*(_xlfn.XLOOKUP([1]data!$C198,[2]data!$B$2:$B$218,[2]data!G$2:G$218)/100)</f>
        <v>0.49974561000000001</v>
      </c>
      <c r="L197">
        <f>[1]data!I198*(_xlfn.XLOOKUP([1]data!$C198,[2]data!$B$2:$B$218,[2]data!H$2:H$218)/100)</f>
        <v>0.66372438</v>
      </c>
      <c r="M197">
        <f>[1]data!J198*(_xlfn.XLOOKUP([1]data!$C198,[2]data!$B$2:$B$218,[2]data!I$2:I$218)/100)</f>
        <v>0.89855584700000013</v>
      </c>
      <c r="N197">
        <f>[1]data!K198*(_xlfn.XLOOKUP([1]data!$C198,[2]data!$B$2:$B$218,[2]data!J$2:J$218)/100)</f>
        <v>1.1454223200000002</v>
      </c>
      <c r="O197">
        <f>[1]data!L198*(_xlfn.XLOOKUP([1]data!$C198,[2]data!$B$2:$B$218,[2]data!K$2:K$218)/100)</f>
        <v>1.492855155</v>
      </c>
      <c r="P197">
        <f>[1]data!M198*(_xlfn.XLOOKUP([1]data!$C198,[2]data!$B$2:$B$218,[2]data!L$2:L$218)/100)</f>
        <v>1.991843056</v>
      </c>
      <c r="Q197">
        <f>[1]data!N198*(_xlfn.XLOOKUP([1]data!$C198,[2]data!$B$2:$B$218,[2]data!M$2:M$218)/100)</f>
        <v>2.7418893919999996</v>
      </c>
      <c r="R197">
        <f>[1]data!O198*(_xlfn.XLOOKUP([1]data!$C198,[2]data!$B$2:$B$218,[2]data!N$2:N$218)/100)</f>
        <v>3.7692638340000006</v>
      </c>
      <c r="S197">
        <f>[1]data!P198*(_xlfn.XLOOKUP([1]data!$C198,[2]data!$B$2:$B$218,[2]data!O$2:O$218)/100)</f>
        <v>4.8315680030000001</v>
      </c>
      <c r="T197">
        <f>[1]data!Q198*(_xlfn.XLOOKUP([1]data!$C198,[2]data!$B$2:$B$218,[2]data!P$2:P$218)/100)</f>
        <v>6.0718972249999998</v>
      </c>
      <c r="U197">
        <f>[1]data!R198*(_xlfn.XLOOKUP([1]data!$C198,[2]data!$B$2:$B$218,[2]data!Q$2:Q$218)/100)</f>
        <v>7.7537831879999999</v>
      </c>
      <c r="V197">
        <f>[1]data!S198*(_xlfn.XLOOKUP([1]data!$C198,[2]data!$B$2:$B$218,[2]data!R$2:R$218)/100)</f>
        <v>9.79240332</v>
      </c>
      <c r="W197">
        <f>[1]data!T198*(_xlfn.XLOOKUP([1]data!$C198,[2]data!$B$2:$B$218,[2]data!S$2:S$218)/100)</f>
        <v>12.100383786</v>
      </c>
      <c r="X197">
        <f>[1]data!U198*(_xlfn.XLOOKUP([1]data!$C198,[2]data!$B$2:$B$218,[2]data!T$2:T$218)/100)</f>
        <v>14.605481680090003</v>
      </c>
      <c r="Y197">
        <f>[1]data!V198*(_xlfn.XLOOKUP([1]data!$C198,[2]data!$B$2:$B$218,[2]data!U$2:U$218)/100)</f>
        <v>17.339368373980001</v>
      </c>
      <c r="Z197">
        <f>[1]data!W198*(_xlfn.XLOOKUP([1]data!$C198,[2]data!$B$2:$B$218,[2]data!V$2:V$218)/100)</f>
        <v>20.204927732639998</v>
      </c>
      <c r="AA197">
        <f>[1]data!X198*(_xlfn.XLOOKUP([1]data!$C198,[2]data!$B$2:$B$218,[2]data!W$2:W$218)/100)</f>
        <v>23.143448304499998</v>
      </c>
      <c r="AB197">
        <f>[1]data!Y198*(_xlfn.XLOOKUP([1]data!$C198,[2]data!$B$2:$B$218,[2]data!X$2:X$218)/100)</f>
        <v>26.114112790850005</v>
      </c>
      <c r="AC197">
        <f>[1]data!Z198*(_xlfn.XLOOKUP([1]data!$C198,[2]data!$B$2:$B$218,[2]data!Y$2:Y$218)/100)</f>
        <v>29.029862783999999</v>
      </c>
      <c r="AD197">
        <f>[1]data!AA198*(_xlfn.XLOOKUP([1]data!$C198,[2]data!$B$2:$B$218,[2]data!Z$2:Z$218)/100)</f>
        <v>31.806692639960001</v>
      </c>
      <c r="AE197">
        <f>[1]data!AB198*(_xlfn.XLOOKUP([1]data!$C198,[2]data!$B$2:$B$218,[2]data!AA$2:AA$218)/100)</f>
        <v>34.41064997445001</v>
      </c>
      <c r="AF197">
        <f>[1]data!AC198*(_xlfn.XLOOKUP([1]data!$C198,[2]data!$B$2:$B$218,[2]data!AB$2:AB$218)/100)</f>
        <v>36.767668812159997</v>
      </c>
      <c r="AG197">
        <f>[1]data!AD198*(_xlfn.XLOOKUP([1]data!$C198,[2]data!$B$2:$B$218,[2]data!AC$2:AC$218)/100)</f>
        <v>38.814647351600001</v>
      </c>
      <c r="AH197">
        <f>[1]data!AE198*(_xlfn.XLOOKUP([1]data!$C198,[2]data!$B$2:$B$218,[2]data!AD$2:AD$218)/100)</f>
        <v>40.550607408799998</v>
      </c>
      <c r="AI197">
        <f>[1]data!AF198*(_xlfn.XLOOKUP([1]data!$C198,[2]data!$B$2:$B$218,[2]data!AE$2:AE$218)/100)</f>
        <v>42.027882457079997</v>
      </c>
      <c r="AJ197">
        <f>[1]data!AG198*(_xlfn.XLOOKUP([1]data!$C198,[2]data!$B$2:$B$218,[2]data!AF$2:AF$218)/100)</f>
        <v>43.305900360160003</v>
      </c>
      <c r="AK197">
        <f>[1]data!AH198*(_xlfn.XLOOKUP([1]data!$C198,[2]data!$B$2:$B$218,[2]data!AG$2:AG$218)/100)</f>
        <v>44.383022427959929</v>
      </c>
      <c r="AL197">
        <f>[1]data!AI198*(_xlfn.XLOOKUP([1]data!$C198,[2]data!$B$2:$B$218,[2]data!AH$2:AH$218)/100)</f>
        <v>45.230580972719999</v>
      </c>
      <c r="AM197">
        <f>[1]data!AJ198*(_xlfn.XLOOKUP([1]data!$C198,[2]data!$B$2:$B$218,[2]data!AI$2:AI$218)/100)</f>
        <v>45.820661526640002</v>
      </c>
    </row>
    <row r="198" spans="1:39" x14ac:dyDescent="0.25">
      <c r="A198" t="s">
        <v>30</v>
      </c>
      <c r="B198" t="s">
        <v>31</v>
      </c>
      <c r="C198" t="s">
        <v>229</v>
      </c>
      <c r="D198" t="s">
        <v>443</v>
      </c>
      <c r="E198" t="str">
        <f>_xlfn.XLOOKUP(D198,[6]Feuil1!$C$2:$C$248,[6]Feuil1!$B$2:$B$248)</f>
        <v>ZA</v>
      </c>
      <c r="F198" t="s">
        <v>33</v>
      </c>
      <c r="G198" t="str">
        <f>_xlfn.XLOOKUP(C198,[3]Sheet1!$B$2:$B$172,[3]Sheet1!$D$2:$D$172)</f>
        <v>South Africa</v>
      </c>
      <c r="H198" t="s">
        <v>34</v>
      </c>
      <c r="I198">
        <f>[1]data!F199*(_xlfn.XLOOKUP([1]data!$C199,[2]data!$B$2:$B$218,[2]data!E$2:E$218)/100)</f>
        <v>5.4470557300000007</v>
      </c>
      <c r="J198">
        <f>[1]data!G199*(_xlfn.XLOOKUP([1]data!$C199,[2]data!$B$2:$B$218,[2]data!F$2:F$218)/100)</f>
        <v>6.4028991360000003</v>
      </c>
      <c r="K198">
        <f>[1]data!H199*(_xlfn.XLOOKUP([1]data!$C199,[2]data!$B$2:$B$218,[2]data!G$2:G$218)/100)</f>
        <v>7.596208216</v>
      </c>
      <c r="L198">
        <f>[1]data!I199*(_xlfn.XLOOKUP([1]data!$C199,[2]data!$B$2:$B$218,[2]data!H$2:H$218)/100)</f>
        <v>8.9156589760000013</v>
      </c>
      <c r="M198">
        <f>[1]data!J199*(_xlfn.XLOOKUP([1]data!$C199,[2]data!$B$2:$B$218,[2]data!I$2:I$218)/100)</f>
        <v>10.532462319999999</v>
      </c>
      <c r="N198">
        <f>[1]data!K199*(_xlfn.XLOOKUP([1]data!$C199,[2]data!$B$2:$B$218,[2]data!J$2:J$218)/100)</f>
        <v>12.229574591</v>
      </c>
      <c r="O198">
        <f>[1]data!L199*(_xlfn.XLOOKUP([1]data!$C199,[2]data!$B$2:$B$218,[2]data!K$2:K$218)/100)</f>
        <v>14.073186203999999</v>
      </c>
      <c r="P198">
        <f>[1]data!M199*(_xlfn.XLOOKUP([1]data!$C199,[2]data!$B$2:$B$218,[2]data!L$2:L$218)/100)</f>
        <v>16.41860376</v>
      </c>
      <c r="Q198">
        <f>[1]data!N199*(_xlfn.XLOOKUP([1]data!$C199,[2]data!$B$2:$B$218,[2]data!M$2:M$218)/100)</f>
        <v>20.437325480000002</v>
      </c>
      <c r="R198">
        <f>[1]data!O199*(_xlfn.XLOOKUP([1]data!$C199,[2]data!$B$2:$B$218,[2]data!N$2:N$218)/100)</f>
        <v>23.782309970000004</v>
      </c>
      <c r="S198">
        <f>[1]data!P199*(_xlfn.XLOOKUP([1]data!$C199,[2]data!$B$2:$B$218,[2]data!O$2:O$218)/100)</f>
        <v>26.519281717999998</v>
      </c>
      <c r="T198">
        <f>[1]data!Q199*(_xlfn.XLOOKUP([1]data!$C199,[2]data!$B$2:$B$218,[2]data!P$2:P$218)/100)</f>
        <v>29.028476225000002</v>
      </c>
      <c r="U198">
        <f>[1]data!R199*(_xlfn.XLOOKUP([1]data!$C199,[2]data!$B$2:$B$218,[2]data!Q$2:Q$218)/100)</f>
        <v>32.011572721999997</v>
      </c>
      <c r="V198">
        <f>[1]data!S199*(_xlfn.XLOOKUP([1]data!$C199,[2]data!$B$2:$B$218,[2]data!R$2:R$218)/100)</f>
        <v>35.782285896000005</v>
      </c>
      <c r="W198">
        <f>[1]data!T199*(_xlfn.XLOOKUP([1]data!$C199,[2]data!$B$2:$B$218,[2]data!S$2:S$218)/100)</f>
        <v>39.406182404000006</v>
      </c>
      <c r="X198">
        <f>[1]data!U199*(_xlfn.XLOOKUP([1]data!$C199,[2]data!$B$2:$B$218,[2]data!T$2:T$218)/100)</f>
        <v>41.835733127600001</v>
      </c>
      <c r="Y198">
        <f>[1]data!V199*(_xlfn.XLOOKUP([1]data!$C199,[2]data!$B$2:$B$218,[2]data!U$2:U$218)/100)</f>
        <v>44.374305268739995</v>
      </c>
      <c r="Z198">
        <f>[1]data!W199*(_xlfn.XLOOKUP([1]data!$C199,[2]data!$B$2:$B$218,[2]data!V$2:V$218)/100)</f>
        <v>46.629053122709998</v>
      </c>
      <c r="AA198">
        <f>[1]data!X199*(_xlfn.XLOOKUP([1]data!$C199,[2]data!$B$2:$B$218,[2]data!W$2:W$218)/100)</f>
        <v>48.591798055080005</v>
      </c>
      <c r="AB198">
        <f>[1]data!Y199*(_xlfn.XLOOKUP([1]data!$C199,[2]data!$B$2:$B$218,[2]data!X$2:X$218)/100)</f>
        <v>50.244190698099999</v>
      </c>
      <c r="AC198">
        <f>[1]data!Z199*(_xlfn.XLOOKUP([1]data!$C199,[2]data!$B$2:$B$218,[2]data!Y$2:Y$218)/100)</f>
        <v>51.512577654340006</v>
      </c>
      <c r="AD198">
        <f>[1]data!AA199*(_xlfn.XLOOKUP([1]data!$C199,[2]data!$B$2:$B$218,[2]data!Z$2:Z$218)/100)</f>
        <v>52.459187831179989</v>
      </c>
      <c r="AE198">
        <f>[1]data!AB199*(_xlfn.XLOOKUP([1]data!$C199,[2]data!$B$2:$B$218,[2]data!AA$2:AA$218)/100)</f>
        <v>53.101590415929998</v>
      </c>
      <c r="AF198">
        <f>[1]data!AC199*(_xlfn.XLOOKUP([1]data!$C199,[2]data!$B$2:$B$218,[2]data!AB$2:AB$218)/100)</f>
        <v>53.475613852400002</v>
      </c>
      <c r="AG198">
        <f>[1]data!AD199*(_xlfn.XLOOKUP([1]data!$C199,[2]data!$B$2:$B$218,[2]data!AC$2:AC$218)/100)</f>
        <v>53.584569813270001</v>
      </c>
      <c r="AH198">
        <f>[1]data!AE199*(_xlfn.XLOOKUP([1]data!$C199,[2]data!$B$2:$B$218,[2]data!AD$2:AD$218)/100)</f>
        <v>53.462953313600003</v>
      </c>
      <c r="AI198">
        <f>[1]data!AF199*(_xlfn.XLOOKUP([1]data!$C199,[2]data!$B$2:$B$218,[2]data!AE$2:AE$218)/100)</f>
        <v>53.118461883740004</v>
      </c>
      <c r="AJ198">
        <f>[1]data!AG199*(_xlfn.XLOOKUP([1]data!$C199,[2]data!$B$2:$B$218,[2]data!AF$2:AF$218)/100)</f>
        <v>52.636832751780013</v>
      </c>
      <c r="AK198">
        <f>[1]data!AH199*(_xlfn.XLOOKUP([1]data!$C199,[2]data!$B$2:$B$218,[2]data!AG$2:AG$218)/100)</f>
        <v>52.029868863240004</v>
      </c>
      <c r="AL198">
        <f>[1]data!AI199*(_xlfn.XLOOKUP([1]data!$C199,[2]data!$B$2:$B$218,[2]data!AH$2:AH$218)/100)</f>
        <v>51.301330945239997</v>
      </c>
      <c r="AM198">
        <f>[1]data!AJ199*(_xlfn.XLOOKUP([1]data!$C199,[2]data!$B$2:$B$218,[2]data!AI$2:AI$218)/100)</f>
        <v>50.459501663999916</v>
      </c>
    </row>
    <row r="199" spans="1:39" x14ac:dyDescent="0.25">
      <c r="A199" t="s">
        <v>30</v>
      </c>
      <c r="B199" t="s">
        <v>31</v>
      </c>
      <c r="C199" t="s">
        <v>230</v>
      </c>
      <c r="D199" t="s">
        <v>444</v>
      </c>
      <c r="E199" t="str">
        <f>_xlfn.XLOOKUP(D199,[6]Feuil1!$C$2:$C$248,[6]Feuil1!$B$2:$B$248)</f>
        <v>ZM</v>
      </c>
      <c r="F199" t="s">
        <v>33</v>
      </c>
      <c r="G199" t="str">
        <f>_xlfn.XLOOKUP(C199,[3]Sheet1!$B$2:$B$172,[3]Sheet1!$D$2:$D$172)</f>
        <v>Rest of Southern Africa</v>
      </c>
      <c r="H199" t="s">
        <v>34</v>
      </c>
      <c r="I199">
        <f>[1]data!F200*(_xlfn.XLOOKUP([1]data!$C200,[2]data!$B$2:$B$218,[2]data!E$2:E$218)/100)</f>
        <v>0.26285756999999998</v>
      </c>
      <c r="J199">
        <f>[1]data!G200*(_xlfn.XLOOKUP([1]data!$C200,[2]data!$B$2:$B$218,[2]data!F$2:F$218)/100)</f>
        <v>0.38244605500000006</v>
      </c>
      <c r="K199">
        <f>[1]data!H200*(_xlfn.XLOOKUP([1]data!$C200,[2]data!$B$2:$B$218,[2]data!G$2:G$218)/100)</f>
        <v>0.55574529600000011</v>
      </c>
      <c r="L199">
        <f>[1]data!I200*(_xlfn.XLOOKUP([1]data!$C200,[2]data!$B$2:$B$218,[2]data!H$2:H$218)/100)</f>
        <v>0.84220320599999998</v>
      </c>
      <c r="M199">
        <f>[1]data!J200*(_xlfn.XLOOKUP([1]data!$C200,[2]data!$B$2:$B$218,[2]data!I$2:I$218)/100)</f>
        <v>1.284027904</v>
      </c>
      <c r="N199">
        <f>[1]data!K200*(_xlfn.XLOOKUP([1]data!$C200,[2]data!$B$2:$B$218,[2]data!J$2:J$218)/100)</f>
        <v>1.6955770629999998</v>
      </c>
      <c r="O199">
        <f>[1]data!L200*(_xlfn.XLOOKUP([1]data!$C200,[2]data!$B$2:$B$218,[2]data!K$2:K$218)/100)</f>
        <v>2.242956462</v>
      </c>
      <c r="P199">
        <f>[1]data!M200*(_xlfn.XLOOKUP([1]data!$C200,[2]data!$B$2:$B$218,[2]data!L$2:L$218)/100)</f>
        <v>2.6146344570000002</v>
      </c>
      <c r="Q199">
        <f>[1]data!N200*(_xlfn.XLOOKUP([1]data!$C200,[2]data!$B$2:$B$218,[2]data!M$2:M$218)/100)</f>
        <v>2.9901664700000001</v>
      </c>
      <c r="R199">
        <f>[1]data!O200*(_xlfn.XLOOKUP([1]data!$C200,[2]data!$B$2:$B$218,[2]data!N$2:N$218)/100)</f>
        <v>3.1823964480000004</v>
      </c>
      <c r="S199">
        <f>[1]data!P200*(_xlfn.XLOOKUP([1]data!$C200,[2]data!$B$2:$B$218,[2]data!O$2:O$218)/100)</f>
        <v>3.3930950039999996</v>
      </c>
      <c r="T199">
        <f>[1]data!Q200*(_xlfn.XLOOKUP([1]data!$C200,[2]data!$B$2:$B$218,[2]data!P$2:P$218)/100)</f>
        <v>4.1936086169999998</v>
      </c>
      <c r="U199">
        <f>[1]data!R200*(_xlfn.XLOOKUP([1]data!$C200,[2]data!$B$2:$B$218,[2]data!Q$2:Q$218)/100)</f>
        <v>5.3411428000000001</v>
      </c>
      <c r="V199">
        <f>[1]data!S200*(_xlfn.XLOOKUP([1]data!$C200,[2]data!$B$2:$B$218,[2]data!R$2:R$218)/100)</f>
        <v>6.700352605</v>
      </c>
      <c r="W199">
        <f>[1]data!T200*(_xlfn.XLOOKUP([1]data!$C200,[2]data!$B$2:$B$218,[2]data!S$2:S$218)/100)</f>
        <v>8.3200929820000002</v>
      </c>
      <c r="X199">
        <f>[1]data!U200*(_xlfn.XLOOKUP([1]data!$C200,[2]data!$B$2:$B$218,[2]data!T$2:T$218)/100)</f>
        <v>9.9644286124800008</v>
      </c>
      <c r="Y199">
        <f>[1]data!V200*(_xlfn.XLOOKUP([1]data!$C200,[2]data!$B$2:$B$218,[2]data!U$2:U$218)/100)</f>
        <v>11.772403541040001</v>
      </c>
      <c r="Z199">
        <f>[1]data!W200*(_xlfn.XLOOKUP([1]data!$C200,[2]data!$B$2:$B$218,[2]data!V$2:V$218)/100)</f>
        <v>13.720205361150002</v>
      </c>
      <c r="AA199">
        <f>[1]data!X200*(_xlfn.XLOOKUP([1]data!$C200,[2]data!$B$2:$B$218,[2]data!W$2:W$218)/100)</f>
        <v>15.775610254960002</v>
      </c>
      <c r="AB199">
        <f>[1]data!Y200*(_xlfn.XLOOKUP([1]data!$C200,[2]data!$B$2:$B$218,[2]data!X$2:X$218)/100)</f>
        <v>17.898580794930002</v>
      </c>
      <c r="AC199">
        <f>[1]data!Z200*(_xlfn.XLOOKUP([1]data!$C200,[2]data!$B$2:$B$218,[2]data!Y$2:Y$218)/100)</f>
        <v>20.037148508160001</v>
      </c>
      <c r="AD199">
        <f>[1]data!AA200*(_xlfn.XLOOKUP([1]data!$C200,[2]data!$B$2:$B$218,[2]data!Z$2:Z$218)/100)</f>
        <v>22.150309590559999</v>
      </c>
      <c r="AE199">
        <f>[1]data!AB200*(_xlfn.XLOOKUP([1]data!$C200,[2]data!$B$2:$B$218,[2]data!AA$2:AA$218)/100)</f>
        <v>24.216797756400005</v>
      </c>
      <c r="AF199">
        <f>[1]data!AC200*(_xlfn.XLOOKUP([1]data!$C200,[2]data!$B$2:$B$218,[2]data!AB$2:AB$218)/100)</f>
        <v>26.170735163300002</v>
      </c>
      <c r="AG199">
        <f>[1]data!AD200*(_xlfn.XLOOKUP([1]data!$C200,[2]data!$B$2:$B$218,[2]data!AC$2:AC$218)/100)</f>
        <v>27.979974812699933</v>
      </c>
      <c r="AH199">
        <f>[1]data!AE200*(_xlfn.XLOOKUP([1]data!$C200,[2]data!$B$2:$B$218,[2]data!AD$2:AD$218)/100)</f>
        <v>29.6000709984</v>
      </c>
      <c r="AI199">
        <f>[1]data!AF200*(_xlfn.XLOOKUP([1]data!$C200,[2]data!$B$2:$B$218,[2]data!AE$2:AE$218)/100)</f>
        <v>30.991014357059999</v>
      </c>
      <c r="AJ199">
        <f>[1]data!AG200*(_xlfn.XLOOKUP([1]data!$C200,[2]data!$B$2:$B$218,[2]data!AF$2:AF$218)/100)</f>
        <v>32.191827086860002</v>
      </c>
      <c r="AK199">
        <f>[1]data!AH200*(_xlfn.XLOOKUP([1]data!$C200,[2]data!$B$2:$B$218,[2]data!AG$2:AG$218)/100)</f>
        <v>33.208594053920002</v>
      </c>
      <c r="AL199">
        <f>[1]data!AI200*(_xlfn.XLOOKUP([1]data!$C200,[2]data!$B$2:$B$218,[2]data!AH$2:AH$218)/100)</f>
        <v>34.027393564150003</v>
      </c>
      <c r="AM199">
        <f>[1]data!AJ200*(_xlfn.XLOOKUP([1]data!$C200,[2]data!$B$2:$B$218,[2]data!AI$2:AI$218)/100)</f>
        <v>34.66139033076</v>
      </c>
    </row>
    <row r="200" spans="1:39" x14ac:dyDescent="0.25">
      <c r="A200" t="s">
        <v>30</v>
      </c>
      <c r="B200" t="s">
        <v>31</v>
      </c>
      <c r="C200" t="s">
        <v>231</v>
      </c>
      <c r="D200" t="s">
        <v>445</v>
      </c>
      <c r="E200" t="str">
        <f>_xlfn.XLOOKUP(D200,[6]Feuil1!$C$2:$C$248,[6]Feuil1!$B$2:$B$248)</f>
        <v>ZW</v>
      </c>
      <c r="F200" t="s">
        <v>33</v>
      </c>
      <c r="G200" t="str">
        <f>_xlfn.XLOOKUP(C200,[3]Sheet1!$B$2:$B$172,[3]Sheet1!$D$2:$D$172)</f>
        <v>Rest of Southern Africa</v>
      </c>
      <c r="H200" t="s">
        <v>34</v>
      </c>
      <c r="I200">
        <f>[1]data!F201*(_xlfn.XLOOKUP([1]data!$C201,[2]data!$B$2:$B$218,[2]data!E$2:E$218)/100)</f>
        <v>0.291117976</v>
      </c>
      <c r="J200">
        <f>[1]data!G201*(_xlfn.XLOOKUP([1]data!$C201,[2]data!$B$2:$B$218,[2]data!F$2:F$218)/100)</f>
        <v>0.37276483999999993</v>
      </c>
      <c r="K200">
        <f>[1]data!H201*(_xlfn.XLOOKUP([1]data!$C201,[2]data!$B$2:$B$218,[2]data!G$2:G$218)/100)</f>
        <v>0.47218147200000005</v>
      </c>
      <c r="L200">
        <f>[1]data!I201*(_xlfn.XLOOKUP([1]data!$C201,[2]data!$B$2:$B$218,[2]data!H$2:H$218)/100)</f>
        <v>0.63912945399999999</v>
      </c>
      <c r="M200">
        <f>[1]data!J201*(_xlfn.XLOOKUP([1]data!$C201,[2]data!$B$2:$B$218,[2]data!I$2:I$218)/100)</f>
        <v>0.89169118800000002</v>
      </c>
      <c r="N200">
        <f>[1]data!K201*(_xlfn.XLOOKUP([1]data!$C201,[2]data!$B$2:$B$218,[2]data!J$2:J$218)/100)</f>
        <v>1.1943283499999999</v>
      </c>
      <c r="O200">
        <f>[1]data!L201*(_xlfn.XLOOKUP([1]data!$C201,[2]data!$B$2:$B$218,[2]data!K$2:K$218)/100)</f>
        <v>1.5085947519999998</v>
      </c>
      <c r="P200">
        <f>[1]data!M201*(_xlfn.XLOOKUP([1]data!$C201,[2]data!$B$2:$B$218,[2]data!L$2:L$218)/100)</f>
        <v>2.1702102900000004</v>
      </c>
      <c r="Q200">
        <f>[1]data!N201*(_xlfn.XLOOKUP([1]data!$C201,[2]data!$B$2:$B$218,[2]data!M$2:M$218)/100)</f>
        <v>2.8944897099999998</v>
      </c>
      <c r="R200">
        <f>[1]data!O201*(_xlfn.XLOOKUP([1]data!$C201,[2]data!$B$2:$B$218,[2]data!N$2:N$218)/100)</f>
        <v>3.4557789870000004</v>
      </c>
      <c r="S200">
        <f>[1]data!P201*(_xlfn.XLOOKUP([1]data!$C201,[2]data!$B$2:$B$218,[2]data!O$2:O$218)/100)</f>
        <v>3.9854303319999995</v>
      </c>
      <c r="T200">
        <f>[1]data!Q201*(_xlfn.XLOOKUP([1]data!$C201,[2]data!$B$2:$B$218,[2]data!P$2:P$218)/100)</f>
        <v>4.1586920980000004</v>
      </c>
      <c r="U200">
        <f>[1]data!R201*(_xlfn.XLOOKUP([1]data!$C201,[2]data!$B$2:$B$218,[2]data!Q$2:Q$218)/100)</f>
        <v>4.2339986559999998</v>
      </c>
      <c r="V200">
        <f>[1]data!S201*(_xlfn.XLOOKUP([1]data!$C201,[2]data!$B$2:$B$218,[2]data!R$2:R$218)/100)</f>
        <v>4.5380373120000002</v>
      </c>
      <c r="W200">
        <f>[1]data!T201*(_xlfn.XLOOKUP([1]data!$C201,[2]data!$B$2:$B$218,[2]data!S$2:S$218)/100)</f>
        <v>4.9926805180000002</v>
      </c>
      <c r="X200">
        <f>[1]data!U201*(_xlfn.XLOOKUP([1]data!$C201,[2]data!$B$2:$B$218,[2]data!T$2:T$218)/100)</f>
        <v>5.9776535694000001</v>
      </c>
      <c r="Y200">
        <f>[1]data!V201*(_xlfn.XLOOKUP([1]data!$C201,[2]data!$B$2:$B$218,[2]data!U$2:U$218)/100)</f>
        <v>7.0368052004700017</v>
      </c>
      <c r="Z200">
        <f>[1]data!W201*(_xlfn.XLOOKUP([1]data!$C201,[2]data!$B$2:$B$218,[2]data!V$2:V$218)/100)</f>
        <v>8.146958628480002</v>
      </c>
      <c r="AA200">
        <f>[1]data!X201*(_xlfn.XLOOKUP([1]data!$C201,[2]data!$B$2:$B$218,[2]data!W$2:W$218)/100)</f>
        <v>9.2768898816600007</v>
      </c>
      <c r="AB200">
        <f>[1]data!Y201*(_xlfn.XLOOKUP([1]data!$C201,[2]data!$B$2:$B$218,[2]data!X$2:X$218)/100)</f>
        <v>10.405075041230001</v>
      </c>
      <c r="AC200">
        <f>[1]data!Z201*(_xlfn.XLOOKUP([1]data!$C201,[2]data!$B$2:$B$218,[2]data!Y$2:Y$218)/100)</f>
        <v>11.486275370580001</v>
      </c>
      <c r="AD200">
        <f>[1]data!AA201*(_xlfn.XLOOKUP([1]data!$C201,[2]data!$B$2:$B$218,[2]data!Z$2:Z$218)/100)</f>
        <v>12.4901894806</v>
      </c>
      <c r="AE200">
        <f>[1]data!AB201*(_xlfn.XLOOKUP([1]data!$C201,[2]data!$B$2:$B$218,[2]data!AA$2:AA$218)/100)</f>
        <v>13.384977503719998</v>
      </c>
      <c r="AF200">
        <f>[1]data!AC201*(_xlfn.XLOOKUP([1]data!$C201,[2]data!$B$2:$B$218,[2]data!AB$2:AB$218)/100)</f>
        <v>14.175669278039997</v>
      </c>
      <c r="AG200">
        <f>[1]data!AD201*(_xlfn.XLOOKUP([1]data!$C201,[2]data!$B$2:$B$218,[2]data!AC$2:AC$218)/100)</f>
        <v>14.85991303404</v>
      </c>
      <c r="AH200">
        <f>[1]data!AE201*(_xlfn.XLOOKUP([1]data!$C201,[2]data!$B$2:$B$218,[2]data!AD$2:AD$218)/100)</f>
        <v>15.4721760946</v>
      </c>
      <c r="AI200">
        <f>[1]data!AF201*(_xlfn.XLOOKUP([1]data!$C201,[2]data!$B$2:$B$218,[2]data!AE$2:AE$218)/100)</f>
        <v>16.01476260774</v>
      </c>
      <c r="AJ200">
        <f>[1]data!AG201*(_xlfn.XLOOKUP([1]data!$C201,[2]data!$B$2:$B$218,[2]data!AF$2:AF$218)/100)</f>
        <v>16.482278995199998</v>
      </c>
      <c r="AK200">
        <f>[1]data!AH201*(_xlfn.XLOOKUP([1]data!$C201,[2]data!$B$2:$B$218,[2]data!AG$2:AG$218)/100)</f>
        <v>16.856007608700001</v>
      </c>
      <c r="AL200">
        <f>[1]data!AI201*(_xlfn.XLOOKUP([1]data!$C201,[2]data!$B$2:$B$218,[2]data!AH$2:AH$218)/100)</f>
        <v>17.150070914439997</v>
      </c>
      <c r="AM200">
        <f>[1]data!AJ201*(_xlfn.XLOOKUP([1]data!$C201,[2]data!$B$2:$B$218,[2]data!AI$2:AI$218)/100)</f>
        <v>17.372257197570001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03BD-2F12-4D6E-A64A-A905FB75FB5D}">
  <dimension ref="A1:AM200"/>
  <sheetViews>
    <sheetView showGridLines="0"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7" max="7" width="45.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255</v>
      </c>
      <c r="E1" t="s">
        <v>446</v>
      </c>
      <c r="F1" t="s">
        <v>3</v>
      </c>
      <c r="G1" t="s">
        <v>235</v>
      </c>
      <c r="H1" t="s">
        <v>4</v>
      </c>
      <c r="I1">
        <v>1950</v>
      </c>
      <c r="J1">
        <v>1955</v>
      </c>
      <c r="K1">
        <v>1960</v>
      </c>
      <c r="L1">
        <v>1965</v>
      </c>
      <c r="M1">
        <v>1970</v>
      </c>
      <c r="N1">
        <v>1975</v>
      </c>
      <c r="O1">
        <v>1980</v>
      </c>
      <c r="P1">
        <v>1985</v>
      </c>
      <c r="Q1">
        <v>1990</v>
      </c>
      <c r="R1">
        <v>1995</v>
      </c>
      <c r="S1">
        <v>2000</v>
      </c>
      <c r="T1">
        <v>2005</v>
      </c>
      <c r="U1">
        <v>2010</v>
      </c>
      <c r="V1">
        <v>2015</v>
      </c>
      <c r="W1">
        <v>2020</v>
      </c>
      <c r="X1">
        <v>2025</v>
      </c>
      <c r="Y1">
        <v>2030</v>
      </c>
      <c r="Z1">
        <v>2035</v>
      </c>
      <c r="AA1">
        <v>2040</v>
      </c>
      <c r="AB1">
        <v>2045</v>
      </c>
      <c r="AC1">
        <v>2050</v>
      </c>
      <c r="AD1">
        <v>2055</v>
      </c>
      <c r="AE1">
        <v>2060</v>
      </c>
      <c r="AF1">
        <v>2065</v>
      </c>
      <c r="AG1">
        <v>2070</v>
      </c>
      <c r="AH1">
        <v>2075</v>
      </c>
      <c r="AI1">
        <v>2080</v>
      </c>
      <c r="AJ1">
        <v>2085</v>
      </c>
      <c r="AK1">
        <v>2090</v>
      </c>
      <c r="AL1">
        <v>2095</v>
      </c>
      <c r="AM1">
        <v>2100</v>
      </c>
    </row>
    <row r="2" spans="1:39" x14ac:dyDescent="0.25">
      <c r="A2" t="s">
        <v>30</v>
      </c>
      <c r="B2" t="s">
        <v>31</v>
      </c>
      <c r="C2" t="s">
        <v>32</v>
      </c>
      <c r="D2" t="str">
        <f>_xlfn.XLOOKUP(C2,'[5]Country Codes'!$A$2:$A$267,'[5]Country Codes'!$B$2:$B$267)</f>
        <v>ABW</v>
      </c>
      <c r="E2" t="str">
        <f>_xlfn.XLOOKUP(D2,[6]Feuil1!$C$2:$C$248,[6]Feuil1!$B$2:$B$248)</f>
        <v>AW</v>
      </c>
      <c r="F2" t="s">
        <v>33</v>
      </c>
      <c r="G2" t="str">
        <f>_xlfn.XLOOKUP(C2,'Urban population'!C2:C200,'Urban population'!G2:G200)</f>
        <v>Central America</v>
      </c>
      <c r="H2" t="s">
        <v>34</v>
      </c>
      <c r="I2">
        <f>[1]data!F2-'Urban population'!I2</f>
        <v>1.8718393E-2</v>
      </c>
      <c r="J2">
        <f>[1]data!G2-'Urban population'!J2</f>
        <v>2.2416114000000004E-2</v>
      </c>
      <c r="K2">
        <f>[1]data!H2-'Urban population'!K2</f>
        <v>2.6499119999999998E-2</v>
      </c>
      <c r="L2">
        <f>[1]data!I2-'Urban population'!L2</f>
        <v>2.8842472000000001E-2</v>
      </c>
      <c r="M2">
        <f>[1]data!J2-'Urban population'!M2</f>
        <v>2.9264559999999998E-2</v>
      </c>
      <c r="N2">
        <f>[1]data!K2-'Urban population'!N2</f>
        <v>2.9885624999999999E-2</v>
      </c>
      <c r="O2">
        <f>[1]data!L2-'Urban population'!O2</f>
        <v>3.0758309999999997E-2</v>
      </c>
      <c r="P2">
        <f>[1]data!M2-'Urban population'!P2</f>
        <v>3.1933968E-2</v>
      </c>
      <c r="Q2">
        <f>[1]data!N2-'Urban population'!Q2</f>
        <v>3.2252814999999997E-2</v>
      </c>
      <c r="R2">
        <f>[1]data!O2-'Urban population'!R2</f>
        <v>3.8852608000000004E-2</v>
      </c>
      <c r="S2">
        <f>[1]data!P2-'Urban population'!S2</f>
        <v>4.6969026000000004E-2</v>
      </c>
      <c r="T2">
        <f>[1]data!Q2-'Urban population'!T2</f>
        <v>5.1759838000000002E-2</v>
      </c>
      <c r="U2">
        <f>[1]data!R2-'Urban population'!U2</f>
        <v>5.6798149000000006E-2</v>
      </c>
      <c r="V2">
        <f>[1]data!S2-'Urban population'!V2</f>
        <v>5.9140153000000001E-2</v>
      </c>
      <c r="W2">
        <f>[1]data!T2-'Urban population'!W2</f>
        <v>6.0051831999999999E-2</v>
      </c>
      <c r="X2">
        <f>[1]data!U2-'Urban population'!X2</f>
        <v>5.8141343959999994E-2</v>
      </c>
      <c r="Y2">
        <f>[1]data!V2-'Urban population'!Y2</f>
        <v>5.6287568400000008E-2</v>
      </c>
      <c r="Z2">
        <f>[1]data!W2-'Urban population'!Z2</f>
        <v>5.4352090320000004E-2</v>
      </c>
      <c r="AA2">
        <f>[1]data!X2-'Urban population'!AA2</f>
        <v>5.2384806569999998E-2</v>
      </c>
      <c r="AB2">
        <f>[1]data!Y2-'Urban population'!AB2</f>
        <v>5.0378734880000012E-2</v>
      </c>
      <c r="AC2">
        <f>[1]data!Z2-'Urban population'!AC2</f>
        <v>4.8344137679999996E-2</v>
      </c>
      <c r="AD2">
        <f>[1]data!AA2-'Urban population'!AD2</f>
        <v>4.6364930100000007E-2</v>
      </c>
      <c r="AE2">
        <f>[1]data!AB2-'Urban population'!AE2</f>
        <v>4.4526648400000007E-2</v>
      </c>
      <c r="AF2">
        <f>[1]data!AC2-'Urban population'!AF2</f>
        <v>4.270345351999999E-2</v>
      </c>
      <c r="AG2">
        <f>[1]data!AD2-'Urban population'!AG2</f>
        <v>4.0898647499999996E-2</v>
      </c>
      <c r="AH2">
        <f>[1]data!AE2-'Urban population'!AH2</f>
        <v>3.9072189360000009E-2</v>
      </c>
      <c r="AI2">
        <f>[1]data!AF2-'Urban population'!AI2</f>
        <v>3.7178618459999993E-2</v>
      </c>
      <c r="AJ2">
        <f>[1]data!AG2-'Urban population'!AJ2</f>
        <v>3.5230417430000008E-2</v>
      </c>
      <c r="AK2">
        <f>[1]data!AH2-'Urban population'!AK2</f>
        <v>3.3246317970000008E-2</v>
      </c>
      <c r="AL2">
        <f>[1]data!AI2-'Urban population'!AL2</f>
        <v>3.1239487290000006E-2</v>
      </c>
      <c r="AM2">
        <f>[1]data!AJ2-'Urban population'!AM2</f>
        <v>2.9215479250000009E-2</v>
      </c>
    </row>
    <row r="3" spans="1:39" x14ac:dyDescent="0.25">
      <c r="A3" t="s">
        <v>30</v>
      </c>
      <c r="B3" t="s">
        <v>31</v>
      </c>
      <c r="C3" t="s">
        <v>35</v>
      </c>
      <c r="D3" t="str">
        <f>_xlfn.XLOOKUP(C3,'[5]Country Codes'!$A$2:$A$267,'[5]Country Codes'!$B$2:$B$267)</f>
        <v>AGO</v>
      </c>
      <c r="E3" t="str">
        <f>_xlfn.XLOOKUP(D3,[6]Feuil1!$C$2:$C$248,[6]Feuil1!$B$2:$B$248)</f>
        <v>AO</v>
      </c>
      <c r="F3" t="s">
        <v>33</v>
      </c>
      <c r="G3" t="str">
        <f>_xlfn.XLOOKUP(C3,'Urban population'!C3:C202,'Urban population'!G3:G202)</f>
        <v>Rest of Southern Africa</v>
      </c>
      <c r="H3" t="s">
        <v>34</v>
      </c>
      <c r="I3">
        <f>[1]data!F4-'Urban population'!I3</f>
        <v>4.0960106879999998</v>
      </c>
      <c r="J3">
        <f>[1]data!G4-'Urban population'!J3</f>
        <v>4.4596766040000002</v>
      </c>
      <c r="K3">
        <f>[1]data!H4-'Urban population'!K3</f>
        <v>4.7609183999999996</v>
      </c>
      <c r="L3">
        <f>[1]data!I4-'Urban population'!L3</f>
        <v>4.9942760000000002</v>
      </c>
      <c r="M3">
        <f>[1]data!J4-'Urban population'!M3</f>
        <v>5.0716950000000001</v>
      </c>
      <c r="N3">
        <f>[1]data!K4-'Urban population'!N3</f>
        <v>5.5955261639999989</v>
      </c>
      <c r="O3">
        <f>[1]data!L4-'Urban population'!O3</f>
        <v>6.1940116979999997</v>
      </c>
      <c r="P3">
        <f>[1]data!M4-'Urban population'!P3</f>
        <v>6.8244392170000001</v>
      </c>
      <c r="Q3">
        <f>[1]data!N4-'Urban population'!Q3</f>
        <v>7.3162279669999997</v>
      </c>
      <c r="R3">
        <f>[1]data!O4-'Urban population'!R3</f>
        <v>7.6339466640000007</v>
      </c>
      <c r="S3">
        <f>[1]data!P4-'Urban population'!S3</f>
        <v>8.0473565330000003</v>
      </c>
      <c r="T3">
        <f>[1]data!Q4-'Urban population'!T3</f>
        <v>8.4056834399999989</v>
      </c>
      <c r="U3">
        <f>[1]data!R4-'Urban population'!U3</f>
        <v>9.2158829640000004</v>
      </c>
      <c r="V3">
        <f>[1]data!S4-'Urban population'!V3</f>
        <v>10.110501119999999</v>
      </c>
      <c r="W3">
        <f>[1]data!T4-'Urban population'!W3</f>
        <v>10.922468664000004</v>
      </c>
      <c r="X3">
        <f>[1]data!U4-'Urban population'!X3</f>
        <v>12.122986577039999</v>
      </c>
      <c r="Y3">
        <f>[1]data!V4-'Urban population'!Y3</f>
        <v>13.259177123399997</v>
      </c>
      <c r="Z3">
        <f>[1]data!W4-'Urban population'!Z3</f>
        <v>14.330541850240003</v>
      </c>
      <c r="AA3">
        <f>[1]data!X4-'Urban population'!AA3</f>
        <v>15.313190109920001</v>
      </c>
      <c r="AB3">
        <f>[1]data!Y4-'Urban population'!AB3</f>
        <v>16.155982438199992</v>
      </c>
      <c r="AC3">
        <f>[1]data!Z4-'Urban population'!AC3</f>
        <v>16.842687769440005</v>
      </c>
      <c r="AD3">
        <f>[1]data!AA4-'Urban population'!AD3</f>
        <v>17.356757911020019</v>
      </c>
      <c r="AE3">
        <f>[1]data!AB4-'Urban population'!AE3</f>
        <v>17.711487985360002</v>
      </c>
      <c r="AF3">
        <f>[1]data!AC4-'Urban population'!AF3</f>
        <v>17.885834519040003</v>
      </c>
      <c r="AG3">
        <f>[1]data!AD4-'Urban population'!AG3</f>
        <v>17.871839468749997</v>
      </c>
      <c r="AH3">
        <f>[1]data!AE4-'Urban population'!AH3</f>
        <v>17.693713562580001</v>
      </c>
      <c r="AI3">
        <f>[1]data!AF4-'Urban population'!AI3</f>
        <v>17.345602428359996</v>
      </c>
      <c r="AJ3">
        <f>[1]data!AG4-'Urban population'!AJ3</f>
        <v>16.839950154120004</v>
      </c>
      <c r="AK3">
        <f>[1]data!AH4-'Urban population'!AK3</f>
        <v>16.195698465600003</v>
      </c>
      <c r="AL3">
        <f>[1]data!AI4-'Urban population'!AL3</f>
        <v>15.475095022860003</v>
      </c>
      <c r="AM3">
        <f>[1]data!AJ4-'Urban population'!AM3</f>
        <v>14.703046237879988</v>
      </c>
    </row>
    <row r="4" spans="1:39" x14ac:dyDescent="0.25">
      <c r="A4" t="s">
        <v>30</v>
      </c>
      <c r="B4" t="s">
        <v>31</v>
      </c>
      <c r="C4" t="s">
        <v>36</v>
      </c>
      <c r="D4" t="str">
        <f>_xlfn.XLOOKUP(C4,'[5]Country Codes'!$A$2:$A$267,'[5]Country Codes'!$B$2:$B$267)</f>
        <v>ALB</v>
      </c>
      <c r="E4" t="str">
        <f>_xlfn.XLOOKUP(D4,[6]Feuil1!$C$2:$C$248,[6]Feuil1!$B$2:$B$248)</f>
        <v>AL</v>
      </c>
      <c r="F4" t="s">
        <v>33</v>
      </c>
      <c r="G4" t="str">
        <f>_xlfn.XLOOKUP(C4,'Urban population'!C4:C203,'Urban population'!G4:G203)</f>
        <v>Central Europe</v>
      </c>
      <c r="H4" t="s">
        <v>34</v>
      </c>
      <c r="I4">
        <f>[1]data!F5-'Urban population'!I4</f>
        <v>0.98140682999999984</v>
      </c>
      <c r="J4">
        <f>[1]data!G5-'Urban population'!J4</f>
        <v>1.0458950629999999</v>
      </c>
      <c r="K4">
        <f>[1]data!H5-'Urban population'!K4</f>
        <v>1.1660813010000002</v>
      </c>
      <c r="L4">
        <f>[1]data!I5-'Urban population'!L4</f>
        <v>1.3618616000000001</v>
      </c>
      <c r="M4">
        <f>[1]data!J5-'Urban population'!M4</f>
        <v>1.5656415830000001</v>
      </c>
      <c r="N4">
        <f>[1]data!K5-'Urban population'!N4</f>
        <v>1.7618534299999999</v>
      </c>
      <c r="O4">
        <f>[1]data!L5-'Urban population'!O4</f>
        <v>1.9301953860000003</v>
      </c>
      <c r="P4">
        <f>[1]data!M5-'Urban population'!P4</f>
        <v>2.0461736899999998</v>
      </c>
      <c r="Q4">
        <f>[1]data!N5-'Urban population'!Q4</f>
        <v>2.0924794320000002</v>
      </c>
      <c r="R4">
        <f>[1]data!O5-'Urban population'!R4</f>
        <v>2.0101655599999999</v>
      </c>
      <c r="S4">
        <f>[1]data!P5-'Urban population'!S4</f>
        <v>1.8631006790000002</v>
      </c>
      <c r="T4">
        <f>[1]data!Q5-'Urban population'!T4</f>
        <v>1.6243009769999999</v>
      </c>
      <c r="U4">
        <f>[1]data!R5-'Urban population'!U4</f>
        <v>1.3961887660000001</v>
      </c>
      <c r="V4">
        <f>[1]data!S5-'Urban population'!V4</f>
        <v>1.2282244560000002</v>
      </c>
      <c r="W4">
        <f>[1]data!T5-'Urban population'!W4</f>
        <v>1.0885372700000002</v>
      </c>
      <c r="X4">
        <f>[1]data!U5-'Urban population'!X4</f>
        <v>0.98954956451999987</v>
      </c>
      <c r="Y4">
        <f>[1]data!V5-'Urban population'!Y4</f>
        <v>0.8999828704999997</v>
      </c>
      <c r="Z4">
        <f>[1]data!W5-'Urban population'!Z4</f>
        <v>0.81160432353000034</v>
      </c>
      <c r="AA4">
        <f>[1]data!X5-'Urban population'!AA4</f>
        <v>0.72784184498999971</v>
      </c>
      <c r="AB4">
        <f>[1]data!Y5-'Urban population'!AB4</f>
        <v>0.6507049604599997</v>
      </c>
      <c r="AC4">
        <f>[1]data!Z5-'Urban population'!AC4</f>
        <v>0.58091797429999992</v>
      </c>
      <c r="AD4">
        <f>[1]data!AA5-'Urban population'!AD4</f>
        <v>0.51840858970999992</v>
      </c>
      <c r="AE4">
        <f>[1]data!AB5-'Urban population'!AE4</f>
        <v>0.46279744503999987</v>
      </c>
      <c r="AF4">
        <f>[1]data!AC5-'Urban population'!AF4</f>
        <v>0.41483156504000007</v>
      </c>
      <c r="AG4">
        <f>[1]data!AD5-'Urban population'!AG4</f>
        <v>0.37330390675000014</v>
      </c>
      <c r="AH4">
        <f>[1]data!AE5-'Urban population'!AH4</f>
        <v>0.33692164390000001</v>
      </c>
      <c r="AI4">
        <f>[1]data!AF5-'Urban population'!AI4</f>
        <v>0.30464119763999986</v>
      </c>
      <c r="AJ4">
        <f>[1]data!AG5-'Urban population'!AJ4</f>
        <v>0.2757866137599998</v>
      </c>
      <c r="AK4">
        <f>[1]data!AH5-'Urban population'!AK4</f>
        <v>0.24991761028000004</v>
      </c>
      <c r="AL4">
        <f>[1]data!AI5-'Urban population'!AL4</f>
        <v>0.2271401446200001</v>
      </c>
      <c r="AM4">
        <f>[1]data!AJ5-'Urban population'!AM4</f>
        <v>0.20755740829000002</v>
      </c>
    </row>
    <row r="5" spans="1:39" x14ac:dyDescent="0.25">
      <c r="A5" t="s">
        <v>30</v>
      </c>
      <c r="B5" t="s">
        <v>31</v>
      </c>
      <c r="C5" t="s">
        <v>37</v>
      </c>
      <c r="D5" t="str">
        <f>_xlfn.XLOOKUP(C5,'[5]Country Codes'!$A$2:$A$267,'[5]Country Codes'!$B$2:$B$267)</f>
        <v>ARE</v>
      </c>
      <c r="E5" t="str">
        <f>_xlfn.XLOOKUP(D5,[6]Feuil1!$C$2:$C$248,[6]Feuil1!$B$2:$B$248)</f>
        <v>AE</v>
      </c>
      <c r="F5" t="s">
        <v>33</v>
      </c>
      <c r="G5" t="str">
        <f>_xlfn.XLOOKUP(C5,'Urban population'!C5:C204,'Urban population'!G5:G204)</f>
        <v>Middle East</v>
      </c>
      <c r="H5" t="s">
        <v>34</v>
      </c>
      <c r="I5">
        <f>[1]data!F6-'Urban population'!I5</f>
        <v>3.278184E-2</v>
      </c>
      <c r="J5">
        <f>[1]data!G6-'Urban population'!J5</f>
        <v>3.5027238000000016E-2</v>
      </c>
      <c r="K5">
        <f>[1]data!H6-'Urban population'!K5</f>
        <v>3.4381365000000011E-2</v>
      </c>
      <c r="L5">
        <f>[1]data!I6-'Urban population'!L5</f>
        <v>3.779760800000001E-2</v>
      </c>
      <c r="M5">
        <f>[1]data!J6-'Urban population'!M5</f>
        <v>5.5599288000000024E-2</v>
      </c>
      <c r="N5">
        <f>[1]data!K6-'Urban population'!N5</f>
        <v>0.10452591000000006</v>
      </c>
      <c r="O5">
        <f>[1]data!L6-'Urban population'!O5</f>
        <v>0.18550021299999997</v>
      </c>
      <c r="P5">
        <f>[1]data!M6-'Urban population'!P5</f>
        <v>0.27145285200000013</v>
      </c>
      <c r="Q5">
        <f>[1]data!N6-'Urban population'!Q5</f>
        <v>0.38581107400000025</v>
      </c>
      <c r="R5">
        <f>[1]data!O6-'Urban population'!R5</f>
        <v>0.51678376400000015</v>
      </c>
      <c r="S5">
        <f>[1]data!P6-'Urban population'!S5</f>
        <v>0.63085136399999975</v>
      </c>
      <c r="T5">
        <f>[1]data!Q6-'Urban population'!T5</f>
        <v>0.72273595800000034</v>
      </c>
      <c r="U5">
        <f>[1]data!R6-'Urban population'!U5</f>
        <v>1.3410045690000008</v>
      </c>
      <c r="V5">
        <f>[1]data!S6-'Urban population'!V5</f>
        <v>1.2694521840000004</v>
      </c>
      <c r="W5">
        <f>[1]data!T6-'Urban population'!W5</f>
        <v>1.2021820200000004</v>
      </c>
      <c r="X5">
        <f>[1]data!U6-'Urban population'!X5</f>
        <v>1.1712297319200005</v>
      </c>
      <c r="Y5">
        <f>[1]data!V6-'Urban population'!Y5</f>
        <v>1.135392683400001</v>
      </c>
      <c r="Z5">
        <f>[1]data!W6-'Urban population'!Z5</f>
        <v>1.0922925772800003</v>
      </c>
      <c r="AA5">
        <f>[1]data!X6-'Urban population'!AA5</f>
        <v>1.0450362555999995</v>
      </c>
      <c r="AB5">
        <f>[1]data!Y6-'Urban population'!AB5</f>
        <v>0.99737216459999978</v>
      </c>
      <c r="AC5">
        <f>[1]data!Z6-'Urban population'!AC5</f>
        <v>0.9501476562500013</v>
      </c>
      <c r="AD5">
        <f>[1]data!AA6-'Urban population'!AD5</f>
        <v>0.90068338332000053</v>
      </c>
      <c r="AE5">
        <f>[1]data!AB6-'Urban population'!AE5</f>
        <v>0.84706009707000085</v>
      </c>
      <c r="AF5">
        <f>[1]data!AC6-'Urban population'!AF5</f>
        <v>0.78743386995000009</v>
      </c>
      <c r="AG5">
        <f>[1]data!AD6-'Urban population'!AG5</f>
        <v>0.72347400179999966</v>
      </c>
      <c r="AH5">
        <f>[1]data!AE6-'Urban population'!AH5</f>
        <v>0.65786021065</v>
      </c>
      <c r="AI5">
        <f>[1]data!AF6-'Urban population'!AI5</f>
        <v>0.59435160741000104</v>
      </c>
      <c r="AJ5">
        <f>[1]data!AG6-'Urban population'!AJ5</f>
        <v>0.53585934622999964</v>
      </c>
      <c r="AK5">
        <f>[1]data!AH6-'Urban population'!AK5</f>
        <v>0.48404485376000039</v>
      </c>
      <c r="AL5">
        <f>[1]data!AI6-'Urban population'!AL5</f>
        <v>0.43935982874999979</v>
      </c>
      <c r="AM5">
        <f>[1]data!AJ6-'Urban population'!AM5</f>
        <v>0.39987851250000084</v>
      </c>
    </row>
    <row r="6" spans="1:39" x14ac:dyDescent="0.25">
      <c r="A6" t="s">
        <v>30</v>
      </c>
      <c r="B6" t="s">
        <v>31</v>
      </c>
      <c r="C6" t="s">
        <v>38</v>
      </c>
      <c r="D6" t="str">
        <f>_xlfn.XLOOKUP(C6,'[5]Country Codes'!$A$2:$A$267,'[5]Country Codes'!$B$2:$B$267)</f>
        <v>ARG</v>
      </c>
      <c r="E6" t="str">
        <f>_xlfn.XLOOKUP(D6,[6]Feuil1!$C$2:$C$248,[6]Feuil1!$B$2:$B$248)</f>
        <v>AR</v>
      </c>
      <c r="F6" t="s">
        <v>33</v>
      </c>
      <c r="G6" t="str">
        <f>_xlfn.XLOOKUP(C6,'Urban population'!C6:C205,'Urban population'!G6:G205)</f>
        <v>Rest of South America</v>
      </c>
      <c r="H6" t="s">
        <v>34</v>
      </c>
      <c r="I6">
        <f>[1]data!F7-'Urban population'!I6</f>
        <v>5.8468396540000001</v>
      </c>
      <c r="J6">
        <f>[1]data!G7-'Urban population'!J6</f>
        <v>5.6353392000000007</v>
      </c>
      <c r="K6">
        <f>[1]data!H7-'Urban population'!K6</f>
        <v>5.3295282480000008</v>
      </c>
      <c r="L6">
        <f>[1]data!I7-'Urban population'!L6</f>
        <v>5.1637352239999998</v>
      </c>
      <c r="M6">
        <f>[1]data!J7-'Urban population'!M6</f>
        <v>4.9907823669999978</v>
      </c>
      <c r="N6">
        <f>[1]data!K7-'Urban population'!N6</f>
        <v>4.8772566799999986</v>
      </c>
      <c r="O6">
        <f>[1]data!L7-'Urban population'!O6</f>
        <v>4.7545553069999968</v>
      </c>
      <c r="P6">
        <f>[1]data!M7-'Urban population'!P6</f>
        <v>4.508739300000002</v>
      </c>
      <c r="Q6">
        <f>[1]data!N7-'Urban population'!Q6</f>
        <v>4.2122810600000022</v>
      </c>
      <c r="R6">
        <f>[1]data!O7-'Urban population'!R6</f>
        <v>4.0970908619999982</v>
      </c>
      <c r="S6">
        <f>[1]data!P7-'Urban population'!S6</f>
        <v>4.018176000000004</v>
      </c>
      <c r="T6">
        <f>[1]data!Q7-'Urban population'!T6</f>
        <v>3.8867884000000004</v>
      </c>
      <c r="U6">
        <f>[1]data!R7-'Urban population'!U6</f>
        <v>3.7621355760000057</v>
      </c>
      <c r="V6">
        <f>[1]data!S7-'Urban population'!V6</f>
        <v>3.6585943950000015</v>
      </c>
      <c r="W6">
        <f>[1]data!T7-'Urban population'!W6</f>
        <v>3.5477668390000048</v>
      </c>
      <c r="X6">
        <f>[1]data!U7-'Urban population'!X6</f>
        <v>3.4193902921799975</v>
      </c>
      <c r="Y6">
        <f>[1]data!V7-'Urban population'!Y6</f>
        <v>3.3572802736600025</v>
      </c>
      <c r="Z6">
        <f>[1]data!W7-'Urban population'!Z6</f>
        <v>3.3302219122799954</v>
      </c>
      <c r="AA6">
        <f>[1]data!X7-'Urban population'!AA6</f>
        <v>3.3217435086599991</v>
      </c>
      <c r="AB6">
        <f>[1]data!Y7-'Urban population'!AB6</f>
        <v>3.3214544543699986</v>
      </c>
      <c r="AC6">
        <f>[1]data!Z7-'Urban population'!AC6</f>
        <v>3.3240474116799987</v>
      </c>
      <c r="AD6">
        <f>[1]data!AA7-'Urban population'!AD6</f>
        <v>3.3239562476399982</v>
      </c>
      <c r="AE6">
        <f>[1]data!AB7-'Urban population'!AE6</f>
        <v>3.3168758697799987</v>
      </c>
      <c r="AF6">
        <f>[1]data!AC7-'Urban population'!AF6</f>
        <v>3.3027908450999988</v>
      </c>
      <c r="AG6">
        <f>[1]data!AD7-'Urban population'!AG6</f>
        <v>3.2827060258300023</v>
      </c>
      <c r="AH6">
        <f>[1]data!AE7-'Urban population'!AH6</f>
        <v>3.2555259630000037</v>
      </c>
      <c r="AI6">
        <f>[1]data!AF7-'Urban population'!AI6</f>
        <v>3.2217126959999973</v>
      </c>
      <c r="AJ6">
        <f>[1]data!AG7-'Urban population'!AJ6</f>
        <v>3.1808978164999928</v>
      </c>
      <c r="AK6">
        <f>[1]data!AH7-'Urban population'!AK6</f>
        <v>3.1342890442199973</v>
      </c>
      <c r="AL6">
        <f>[1]data!AI7-'Urban population'!AL6</f>
        <v>3.0826701020000016</v>
      </c>
      <c r="AM6">
        <f>[1]data!AJ7-'Urban population'!AM6</f>
        <v>3.0275398248599998</v>
      </c>
    </row>
    <row r="7" spans="1:39" x14ac:dyDescent="0.25">
      <c r="A7" t="s">
        <v>30</v>
      </c>
      <c r="B7" t="s">
        <v>31</v>
      </c>
      <c r="C7" t="s">
        <v>39</v>
      </c>
      <c r="D7" t="str">
        <f>_xlfn.XLOOKUP(C7,'[5]Country Codes'!$A$2:$A$267,'[5]Country Codes'!$B$2:$B$267)</f>
        <v>ARM</v>
      </c>
      <c r="E7" t="str">
        <f>_xlfn.XLOOKUP(D7,[6]Feuil1!$C$2:$C$248,[6]Feuil1!$B$2:$B$248)</f>
        <v>AM</v>
      </c>
      <c r="F7" t="s">
        <v>33</v>
      </c>
      <c r="G7" t="str">
        <f>_xlfn.XLOOKUP(C7,'Urban population'!C7:C206,'Urban population'!G7:G206)</f>
        <v>Russia region</v>
      </c>
      <c r="H7" t="s">
        <v>34</v>
      </c>
      <c r="I7">
        <f>[1]data!F8-'Urban population'!I7</f>
        <v>0.815550357</v>
      </c>
      <c r="J7">
        <f>[1]data!G8-'Urban population'!J7</f>
        <v>0.85257684</v>
      </c>
      <c r="K7">
        <f>[1]data!H8-'Urban population'!K7</f>
        <v>0.91106791200000004</v>
      </c>
      <c r="L7">
        <f>[1]data!I8-'Urban population'!L7</f>
        <v>0.97809958800000008</v>
      </c>
      <c r="M7">
        <f>[1]data!J8-'Urban population'!M7</f>
        <v>1.004895173</v>
      </c>
      <c r="N7">
        <f>[1]data!K8-'Urban population'!N7</f>
        <v>1.0186984079999999</v>
      </c>
      <c r="O7">
        <f>[1]data!L8-'Urban population'!O7</f>
        <v>1.0573643910000001</v>
      </c>
      <c r="P7">
        <f>[1]data!M8-'Urban population'!P7</f>
        <v>1.0814457010000003</v>
      </c>
      <c r="Q7">
        <f>[1]data!N8-'Urban population'!Q7</f>
        <v>1.1494052579999998</v>
      </c>
      <c r="R7">
        <f>[1]data!O8-'Urban population'!R7</f>
        <v>1.1301829470000002</v>
      </c>
      <c r="S7">
        <f>[1]data!P8-'Urban population'!S7</f>
        <v>1.1252552759999999</v>
      </c>
      <c r="T7">
        <f>[1]data!Q8-'Urban population'!T7</f>
        <v>1.103378089</v>
      </c>
      <c r="U7">
        <f>[1]data!R8-'Urban population'!U7</f>
        <v>1.081752528</v>
      </c>
      <c r="V7">
        <f>[1]data!S8-'Urban population'!V7</f>
        <v>1.064549502</v>
      </c>
      <c r="W7">
        <f>[1]data!T8-'Urban population'!W7</f>
        <v>1.0321852979999999</v>
      </c>
      <c r="X7">
        <f>[1]data!U8-'Urban population'!X7</f>
        <v>0.96379501469999984</v>
      </c>
      <c r="Y7">
        <f>[1]data!V8-'Urban population'!Y7</f>
        <v>0.90091946144000001</v>
      </c>
      <c r="Z7">
        <f>[1]data!W8-'Urban population'!Z7</f>
        <v>0.83774628080000024</v>
      </c>
      <c r="AA7">
        <f>[1]data!X8-'Urban population'!AA7</f>
        <v>0.77761500150000007</v>
      </c>
      <c r="AB7">
        <f>[1]data!Y8-'Urban population'!AB7</f>
        <v>0.72158626225</v>
      </c>
      <c r="AC7">
        <f>[1]data!Z8-'Urban population'!AC7</f>
        <v>0.66880728544000001</v>
      </c>
      <c r="AD7">
        <f>[1]data!AA8-'Urban population'!AD7</f>
        <v>0.6189249376799999</v>
      </c>
      <c r="AE7">
        <f>[1]data!AB8-'Urban population'!AE7</f>
        <v>0.57181957199999989</v>
      </c>
      <c r="AF7">
        <f>[1]data!AC8-'Urban population'!AF7</f>
        <v>0.52860901850999986</v>
      </c>
      <c r="AG7">
        <f>[1]data!AD8-'Urban population'!AG7</f>
        <v>0.48885303654000012</v>
      </c>
      <c r="AH7">
        <f>[1]data!AE8-'Urban population'!AH7</f>
        <v>0.45200608096000017</v>
      </c>
      <c r="AI7">
        <f>[1]data!AF8-'Urban population'!AI7</f>
        <v>0.41765721340000006</v>
      </c>
      <c r="AJ7">
        <f>[1]data!AG8-'Urban population'!AJ7</f>
        <v>0.38591110431000009</v>
      </c>
      <c r="AK7">
        <f>[1]data!AH8-'Urban population'!AK7</f>
        <v>0.35716111232000025</v>
      </c>
      <c r="AL7">
        <f>[1]data!AI8-'Urban population'!AL7</f>
        <v>0.33145743400000005</v>
      </c>
      <c r="AM7">
        <f>[1]data!AJ8-'Urban population'!AM7</f>
        <v>0.30823905996000001</v>
      </c>
    </row>
    <row r="8" spans="1:39" x14ac:dyDescent="0.25">
      <c r="A8" t="s">
        <v>30</v>
      </c>
      <c r="B8" t="s">
        <v>31</v>
      </c>
      <c r="C8" t="s">
        <v>40</v>
      </c>
      <c r="D8" t="str">
        <f>_xlfn.XLOOKUP(C8,'[5]Country Codes'!$A$2:$A$267,'[5]Country Codes'!$B$2:$B$267)</f>
        <v>ATG</v>
      </c>
      <c r="E8" t="str">
        <f>_xlfn.XLOOKUP(D8,[6]Feuil1!$C$2:$C$248,[6]Feuil1!$B$2:$B$248)</f>
        <v>AG</v>
      </c>
      <c r="F8" t="s">
        <v>33</v>
      </c>
      <c r="G8" t="e">
        <f>_xlfn.XLOOKUP(C8,'Urban population'!C8:C207,'Urban population'!G8:G207)</f>
        <v>#N/A</v>
      </c>
      <c r="H8" t="s">
        <v>34</v>
      </c>
      <c r="I8">
        <f>[1]data!F9-'Urban population'!I8</f>
        <v>3.1418652000000005E-2</v>
      </c>
      <c r="J8">
        <f>[1]data!G9-'Urban population'!J8</f>
        <v>3.2400270000000002E-2</v>
      </c>
      <c r="K8">
        <f>[1]data!H9-'Urban population'!K8</f>
        <v>3.3056459999999996E-2</v>
      </c>
      <c r="L8">
        <f>[1]data!I9-'Urban population'!L8</f>
        <v>3.7508708000000002E-2</v>
      </c>
      <c r="M8">
        <f>[1]data!J9-'Urban population'!M8</f>
        <v>4.2563952000000002E-2</v>
      </c>
      <c r="N8">
        <f>[1]data!K9-'Urban population'!N8</f>
        <v>4.2178458000000002E-2</v>
      </c>
      <c r="O8">
        <f>[1]data!L9-'Urban population'!O8</f>
        <v>4.2367427999999992E-2</v>
      </c>
      <c r="P8">
        <f>[1]data!M9-'Urban population'!P8</f>
        <v>4.2387800000000003E-2</v>
      </c>
      <c r="Q8">
        <f>[1]data!N9-'Urban population'!Q8</f>
        <v>4.1003558000000002E-2</v>
      </c>
      <c r="R8">
        <f>[1]data!O9-'Urban population'!R8</f>
        <v>4.4688599999999995E-2</v>
      </c>
      <c r="S8">
        <f>[1]data!P9-'Urban population'!S8</f>
        <v>5.0533217000000005E-2</v>
      </c>
      <c r="T8">
        <f>[1]data!Q9-'Urban population'!T8</f>
        <v>5.6201039999999994E-2</v>
      </c>
      <c r="U8">
        <f>[1]data!R9-'Urban population'!U8</f>
        <v>6.2850294000000001E-2</v>
      </c>
      <c r="V8">
        <f>[1]data!S9-'Urban population'!V8</f>
        <v>6.7196249999999999E-2</v>
      </c>
      <c r="W8">
        <f>[1]data!T9-'Urban population'!W8</f>
        <v>6.9835499999999995E-2</v>
      </c>
      <c r="X8">
        <f>[1]data!U9-'Urban population'!X8</f>
        <v>6.994340752E-2</v>
      </c>
      <c r="Y8">
        <f>[1]data!V9-'Urban population'!Y8</f>
        <v>6.9526796320000001E-2</v>
      </c>
      <c r="Z8">
        <f>[1]data!W9-'Urban population'!Z8</f>
        <v>6.8591658690000001E-2</v>
      </c>
      <c r="AA8">
        <f>[1]data!X9-'Urban population'!AA8</f>
        <v>6.7146265599999352E-2</v>
      </c>
      <c r="AB8">
        <f>[1]data!Y9-'Urban population'!AB8</f>
        <v>6.5216725249999996E-2</v>
      </c>
      <c r="AC8">
        <f>[1]data!Z9-'Urban population'!AC8</f>
        <v>6.2939919359999999E-2</v>
      </c>
      <c r="AD8">
        <f>[1]data!AA9-'Urban population'!AD8</f>
        <v>6.0408427199999989E-2</v>
      </c>
      <c r="AE8">
        <f>[1]data!AB9-'Urban population'!AE8</f>
        <v>5.7757878420000006E-2</v>
      </c>
      <c r="AF8">
        <f>[1]data!AC9-'Urban population'!AF8</f>
        <v>5.4973432800000006E-2</v>
      </c>
      <c r="AG8">
        <f>[1]data!AD9-'Urban population'!AG8</f>
        <v>5.2098712559999996E-2</v>
      </c>
      <c r="AH8">
        <f>[1]data!AE9-'Urban population'!AH8</f>
        <v>4.9165389130000001E-2</v>
      </c>
      <c r="AI8">
        <f>[1]data!AF9-'Urban population'!AI8</f>
        <v>4.6177948099999998E-2</v>
      </c>
      <c r="AJ8">
        <f>[1]data!AG9-'Urban population'!AJ8</f>
        <v>4.3154678320000001E-2</v>
      </c>
      <c r="AK8">
        <f>[1]data!AH9-'Urban population'!AK8</f>
        <v>4.0129306079999996E-2</v>
      </c>
      <c r="AL8">
        <f>[1]data!AI9-'Urban population'!AL8</f>
        <v>3.715162944E-2</v>
      </c>
      <c r="AM8">
        <f>[1]data!AJ9-'Urban population'!AM8</f>
        <v>3.4236277000000002E-2</v>
      </c>
    </row>
    <row r="9" spans="1:39" x14ac:dyDescent="0.25">
      <c r="A9" t="s">
        <v>30</v>
      </c>
      <c r="B9" t="s">
        <v>31</v>
      </c>
      <c r="C9" t="s">
        <v>41</v>
      </c>
      <c r="D9" t="str">
        <f>_xlfn.XLOOKUP(C9,'[5]Country Codes'!$A$2:$A$267,'[5]Country Codes'!$B$2:$B$267)</f>
        <v>AUS</v>
      </c>
      <c r="E9" t="str">
        <f>_xlfn.XLOOKUP(D9,[6]Feuil1!$C$2:$C$248,[6]Feuil1!$B$2:$B$248)</f>
        <v>AU</v>
      </c>
      <c r="F9" t="s">
        <v>33</v>
      </c>
      <c r="G9" t="str">
        <f>_xlfn.XLOOKUP(C9,'Urban population'!C9:C208,'Urban population'!G9:G208)</f>
        <v>Oceania</v>
      </c>
      <c r="H9" t="s">
        <v>34</v>
      </c>
      <c r="I9">
        <f>[1]data!F10-'Urban population'!I9</f>
        <v>1.8512469999999999</v>
      </c>
      <c r="J9">
        <f>[1]data!G10-'Urban population'!J9</f>
        <v>1.8745528259999995</v>
      </c>
      <c r="K9">
        <f>[1]data!H10-'Urban population'!K9</f>
        <v>1.882144675000001</v>
      </c>
      <c r="L9">
        <f>[1]data!I10-'Urban population'!L9</f>
        <v>1.8995620280000001</v>
      </c>
      <c r="M9">
        <f>[1]data!J10-'Urban population'!M9</f>
        <v>1.9830265600000008</v>
      </c>
      <c r="N9">
        <f>[1]data!K10-'Urban population'!N9</f>
        <v>2.0990046319999998</v>
      </c>
      <c r="O9">
        <f>[1]data!L10-'Urban population'!O9</f>
        <v>2.1030452640000004</v>
      </c>
      <c r="P9">
        <f>[1]data!M10-'Urban population'!P9</f>
        <v>2.2575955680000011</v>
      </c>
      <c r="Q9">
        <f>[1]data!N10-'Urban population'!Q9</f>
        <v>2.4716173559999977</v>
      </c>
      <c r="R9">
        <f>[1]data!O10-'Urban population'!R9</f>
        <v>2.7025895439999985</v>
      </c>
      <c r="S9">
        <f>[1]data!P10-'Urban population'!S9</f>
        <v>2.9867234539999981</v>
      </c>
      <c r="T9">
        <f>[1]data!Q10-'Urban population'!T9</f>
        <v>3.0861800200000005</v>
      </c>
      <c r="U9">
        <f>[1]data!R10-'Urban population'!U9</f>
        <v>3.2348308199999991</v>
      </c>
      <c r="V9">
        <f>[1]data!S10-'Urban population'!V9</f>
        <v>3.3807256340000009</v>
      </c>
      <c r="W9">
        <f>[1]data!T10-'Urban population'!W9</f>
        <v>3.5250972540000021</v>
      </c>
      <c r="X9">
        <f>[1]data!U10-'Urban population'!X9</f>
        <v>3.4520293100199986</v>
      </c>
      <c r="Y9">
        <f>[1]data!V10-'Urban population'!Y9</f>
        <v>3.3608527302000013</v>
      </c>
      <c r="Z9">
        <f>[1]data!W10-'Urban population'!Z9</f>
        <v>3.2504664813600002</v>
      </c>
      <c r="AA9">
        <f>[1]data!X10-'Urban population'!AA9</f>
        <v>3.1257732245599996</v>
      </c>
      <c r="AB9">
        <f>[1]data!Y10-'Urban population'!AB9</f>
        <v>2.9933864797499972</v>
      </c>
      <c r="AC9">
        <f>[1]data!Z10-'Urban population'!AC9</f>
        <v>2.8573955126599984</v>
      </c>
      <c r="AD9">
        <f>[1]data!AA10-'Urban population'!AD9</f>
        <v>2.7125345981999978</v>
      </c>
      <c r="AE9">
        <f>[1]data!AB10-'Urban population'!AE9</f>
        <v>2.5616519143400041</v>
      </c>
      <c r="AF9">
        <f>[1]data!AC10-'Urban population'!AF9</f>
        <v>2.4042265492999988</v>
      </c>
      <c r="AG9">
        <f>[1]data!AD10-'Urban population'!AG9</f>
        <v>2.2439080744000002</v>
      </c>
      <c r="AH9">
        <f>[1]data!AE10-'Urban population'!AH9</f>
        <v>2.0827557795099949</v>
      </c>
      <c r="AI9">
        <f>[1]data!AF10-'Urban population'!AI9</f>
        <v>1.9229235347000042</v>
      </c>
      <c r="AJ9">
        <f>[1]data!AG10-'Urban population'!AJ9</f>
        <v>1.763995199</v>
      </c>
      <c r="AK9">
        <f>[1]data!AH10-'Urban population'!AK9</f>
        <v>1.6087823018999998</v>
      </c>
      <c r="AL9">
        <f>[1]data!AI10-'Urban population'!AL9</f>
        <v>1.4597145242899998</v>
      </c>
      <c r="AM9">
        <f>[1]data!AJ10-'Urban population'!AM9</f>
        <v>1.3189843751399977</v>
      </c>
    </row>
    <row r="10" spans="1:39" x14ac:dyDescent="0.25">
      <c r="A10" t="s">
        <v>30</v>
      </c>
      <c r="B10" t="s">
        <v>31</v>
      </c>
      <c r="C10" t="s">
        <v>42</v>
      </c>
      <c r="D10" t="str">
        <f>_xlfn.XLOOKUP(C10,'[5]Country Codes'!$A$2:$A$267,'[5]Country Codes'!$B$2:$B$267)</f>
        <v>AUT</v>
      </c>
      <c r="E10" t="str">
        <f>_xlfn.XLOOKUP(D10,[6]Feuil1!$C$2:$C$248,[6]Feuil1!$B$2:$B$248)</f>
        <v>AT</v>
      </c>
      <c r="F10" t="s">
        <v>33</v>
      </c>
      <c r="G10" t="str">
        <f>_xlfn.XLOOKUP(C10,'Urban population'!C10:C209,'Urban population'!G10:G209)</f>
        <v>Western Europe</v>
      </c>
      <c r="H10" t="s">
        <v>34</v>
      </c>
      <c r="I10">
        <f>[1]data!F11-'Urban population'!I10</f>
        <v>2.5253624759999997</v>
      </c>
      <c r="J10">
        <f>[1]data!G11-'Urban population'!J10</f>
        <v>2.4859276560000003</v>
      </c>
      <c r="K10">
        <f>[1]data!H11-'Urban population'!K10</f>
        <v>2.4813661979999999</v>
      </c>
      <c r="L10">
        <f>[1]data!I11-'Urban population'!L10</f>
        <v>2.5364048500000003</v>
      </c>
      <c r="M10">
        <f>[1]data!J11-'Urban population'!M10</f>
        <v>2.5863186960000002</v>
      </c>
      <c r="N10">
        <f>[1]data!K11-'Urban population'!N10</f>
        <v>2.6338417339999998</v>
      </c>
      <c r="O10">
        <f>[1]data!L11-'Urban population'!O10</f>
        <v>2.6101157019999999</v>
      </c>
      <c r="P10">
        <f>[1]data!M11-'Urban population'!P10</f>
        <v>2.6990221019999998</v>
      </c>
      <c r="Q10">
        <f>[1]data!N11-'Urban population'!Q10</f>
        <v>2.8288213099999995</v>
      </c>
      <c r="R10">
        <f>[1]data!O11-'Urban population'!R10</f>
        <v>3.0499303680000001</v>
      </c>
      <c r="S10">
        <f>[1]data!P11-'Urban population'!S10</f>
        <v>3.1844764059999999</v>
      </c>
      <c r="T10">
        <f>[1]data!Q11-'Urban population'!T10</f>
        <v>3.3786546160000004</v>
      </c>
      <c r="U10">
        <f>[1]data!R11-'Urban population'!U10</f>
        <v>3.5575157760000007</v>
      </c>
      <c r="V10">
        <f>[1]data!S11-'Urban population'!V10</f>
        <v>3.6312896069999994</v>
      </c>
      <c r="W10">
        <f>[1]data!T11-'Urban population'!W10</f>
        <v>3.676154299999995</v>
      </c>
      <c r="X10">
        <f>[1]data!U11-'Urban population'!X10</f>
        <v>3.5607411168000036</v>
      </c>
      <c r="Y10">
        <f>[1]data!V11-'Urban population'!Y10</f>
        <v>3.4174786571900002</v>
      </c>
      <c r="Z10">
        <f>[1]data!W11-'Urban population'!Z10</f>
        <v>3.2750176997800011</v>
      </c>
      <c r="AA10">
        <f>[1]data!X11-'Urban population'!AA10</f>
        <v>3.1365976852000008</v>
      </c>
      <c r="AB10">
        <f>[1]data!Y11-'Urban population'!AB10</f>
        <v>3.0057573156000004</v>
      </c>
      <c r="AC10">
        <f>[1]data!Z11-'Urban population'!AC10</f>
        <v>2.8800422681799995</v>
      </c>
      <c r="AD10">
        <f>[1]data!AA11-'Urban population'!AD10</f>
        <v>2.7545052304000039</v>
      </c>
      <c r="AE10">
        <f>[1]data!AB11-'Urban population'!AE10</f>
        <v>2.6303744395499997</v>
      </c>
      <c r="AF10">
        <f>[1]data!AC11-'Urban population'!AF10</f>
        <v>2.508484514580001</v>
      </c>
      <c r="AG10">
        <f>[1]data!AD11-'Urban population'!AG10</f>
        <v>2.3926924027999998</v>
      </c>
      <c r="AH10">
        <f>[1]data!AE11-'Urban population'!AH10</f>
        <v>2.2817589912000003</v>
      </c>
      <c r="AI10">
        <f>[1]data!AF11-'Urban population'!AI10</f>
        <v>2.1719641125400013</v>
      </c>
      <c r="AJ10">
        <f>[1]data!AG11-'Urban population'!AJ10</f>
        <v>2.0620409831999993</v>
      </c>
      <c r="AK10">
        <f>[1]data!AH11-'Urban population'!AK10</f>
        <v>1.9532945180400008</v>
      </c>
      <c r="AL10">
        <f>[1]data!AI11-'Urban population'!AL10</f>
        <v>1.8477284711599991</v>
      </c>
      <c r="AM10">
        <f>[1]data!AJ11-'Urban population'!AM10</f>
        <v>1.7464894886</v>
      </c>
    </row>
    <row r="11" spans="1:39" x14ac:dyDescent="0.25">
      <c r="A11" t="s">
        <v>30</v>
      </c>
      <c r="B11" t="s">
        <v>31</v>
      </c>
      <c r="C11" t="s">
        <v>43</v>
      </c>
      <c r="D11" t="str">
        <f>_xlfn.XLOOKUP(C11,'[5]Country Codes'!$A$2:$A$267,'[5]Country Codes'!$B$2:$B$267)</f>
        <v>AZE</v>
      </c>
      <c r="E11" t="str">
        <f>_xlfn.XLOOKUP(D11,[6]Feuil1!$C$2:$C$248,[6]Feuil1!$B$2:$B$248)</f>
        <v>AZ</v>
      </c>
      <c r="F11" t="s">
        <v>33</v>
      </c>
      <c r="G11" t="str">
        <f>_xlfn.XLOOKUP(C11,'Urban population'!C11:C210,'Urban population'!G11:G210)</f>
        <v>Russia region</v>
      </c>
      <c r="H11" t="s">
        <v>34</v>
      </c>
      <c r="I11">
        <f>[1]data!F12-'Urban population'!I11</f>
        <v>1.6979512259999998</v>
      </c>
      <c r="J11">
        <f>[1]data!G12-'Urban population'!J11</f>
        <v>1.7510560000000002</v>
      </c>
      <c r="K11">
        <f>[1]data!H12-'Urban population'!K11</f>
        <v>1.9221102339999998</v>
      </c>
      <c r="L11">
        <f>[1]data!I12-'Urban population'!L11</f>
        <v>2.32794788</v>
      </c>
      <c r="M11">
        <f>[1]data!J12-'Urban population'!M11</f>
        <v>2.6863245000000004</v>
      </c>
      <c r="N11">
        <f>[1]data!K12-'Urban population'!N11</f>
        <v>2.8263992900000003</v>
      </c>
      <c r="O11">
        <f>[1]data!L12-'Urban population'!O11</f>
        <v>2.9923346240000002</v>
      </c>
      <c r="P11">
        <f>[1]data!M12-'Urban population'!P11</f>
        <v>3.1772794350000004</v>
      </c>
      <c r="Q11">
        <f>[1]data!N12-'Urban population'!Q11</f>
        <v>3.4132290549999995</v>
      </c>
      <c r="R11">
        <f>[1]data!O12-'Urban population'!R11</f>
        <v>3.7558247719999995</v>
      </c>
      <c r="S11">
        <f>[1]data!P12-'Urban population'!S11</f>
        <v>3.9579422040000001</v>
      </c>
      <c r="T11">
        <f>[1]data!Q12-'Urban population'!T11</f>
        <v>4.095814828</v>
      </c>
      <c r="U11">
        <f>[1]data!R12-'Urban population'!U11</f>
        <v>4.2768543340000003</v>
      </c>
      <c r="V11">
        <f>[1]data!S12-'Urban population'!V11</f>
        <v>4.4414534489999991</v>
      </c>
      <c r="W11">
        <f>[1]data!T12-'Urban population'!W11</f>
        <v>4.4792577720000004</v>
      </c>
      <c r="X11">
        <f>[1]data!U12-'Urban population'!X11</f>
        <v>4.3559446581200003</v>
      </c>
      <c r="Y11">
        <f>[1]data!V12-'Urban population'!Y11</f>
        <v>4.2405745782000004</v>
      </c>
      <c r="Z11">
        <f>[1]data!W12-'Urban population'!Z11</f>
        <v>4.1176744153000016</v>
      </c>
      <c r="AA11">
        <f>[1]data!X12-'Urban population'!AA11</f>
        <v>3.97733476327</v>
      </c>
      <c r="AB11">
        <f>[1]data!Y12-'Urban population'!AB11</f>
        <v>3.8113349641499994</v>
      </c>
      <c r="AC11">
        <f>[1]data!Z12-'Urban population'!AC11</f>
        <v>3.6277319190400004</v>
      </c>
      <c r="AD11">
        <f>[1]data!AA12-'Urban population'!AD11</f>
        <v>3.4390448394400011</v>
      </c>
      <c r="AE11">
        <f>[1]data!AB12-'Urban population'!AE11</f>
        <v>3.2542332132</v>
      </c>
      <c r="AF11">
        <f>[1]data!AC12-'Urban population'!AF11</f>
        <v>3.0738215195199992</v>
      </c>
      <c r="AG11">
        <f>[1]data!AD12-'Urban population'!AG11</f>
        <v>2.8962477112799991</v>
      </c>
      <c r="AH11">
        <f>[1]data!AE12-'Urban population'!AH11</f>
        <v>2.7216022405500002</v>
      </c>
      <c r="AI11">
        <f>[1]data!AF12-'Urban population'!AI11</f>
        <v>2.5515984659000006</v>
      </c>
      <c r="AJ11">
        <f>[1]data!AG12-'Urban population'!AJ11</f>
        <v>2.3906371801200006</v>
      </c>
      <c r="AK11">
        <f>[1]data!AH12-'Urban population'!AK11</f>
        <v>2.2400574159600009</v>
      </c>
      <c r="AL11">
        <f>[1]data!AI12-'Urban population'!AL11</f>
        <v>2.1002124674400005</v>
      </c>
      <c r="AM11">
        <f>[1]data!AJ12-'Urban population'!AM11</f>
        <v>1.9683584895200017</v>
      </c>
    </row>
    <row r="12" spans="1:39" x14ac:dyDescent="0.25">
      <c r="A12" t="s">
        <v>30</v>
      </c>
      <c r="B12" t="s">
        <v>31</v>
      </c>
      <c r="C12" t="s">
        <v>44</v>
      </c>
      <c r="D12" t="str">
        <f>_xlfn.XLOOKUP(C12,'[5]Country Codes'!$A$2:$A$267,'[5]Country Codes'!$B$2:$B$267)</f>
        <v>BDI</v>
      </c>
      <c r="E12" t="str">
        <f>_xlfn.XLOOKUP(D12,[6]Feuil1!$C$2:$C$248,[6]Feuil1!$B$2:$B$248)</f>
        <v>BI</v>
      </c>
      <c r="F12" t="s">
        <v>33</v>
      </c>
      <c r="G12" t="str">
        <f>_xlfn.XLOOKUP(C12,'Urban population'!C12:C211,'Urban population'!G12:G211)</f>
        <v>Eastern Africa</v>
      </c>
      <c r="H12" t="s">
        <v>34</v>
      </c>
      <c r="I12">
        <f>[1]data!F13-'Urban population'!I12</f>
        <v>2.1914235260000003</v>
      </c>
      <c r="J12">
        <f>[1]data!G13-'Urban population'!J12</f>
        <v>2.4238489139999997</v>
      </c>
      <c r="K12">
        <f>[1]data!H13-'Urban population'!K12</f>
        <v>2.6626186070000002</v>
      </c>
      <c r="L12">
        <f>[1]data!I13-'Urban population'!L12</f>
        <v>3.0155603270000002</v>
      </c>
      <c r="M12">
        <f>[1]data!J13-'Urban population'!M12</f>
        <v>3.3592417200000004</v>
      </c>
      <c r="N12">
        <f>[1]data!K13-'Urban population'!N12</f>
        <v>3.5811835150000002</v>
      </c>
      <c r="O12">
        <f>[1]data!L13-'Urban population'!O12</f>
        <v>3.9969353820000002</v>
      </c>
      <c r="P12">
        <f>[1]data!M13-'Urban population'!P12</f>
        <v>4.6487303520000003</v>
      </c>
      <c r="Q12">
        <f>[1]data!N13-'Urban population'!Q12</f>
        <v>5.0861906049999996</v>
      </c>
      <c r="R12">
        <f>[1]data!O13-'Urban population'!R12</f>
        <v>5.4736335359999995</v>
      </c>
      <c r="S12">
        <f>[1]data!P13-'Urban population'!S12</f>
        <v>5.7316661100000008</v>
      </c>
      <c r="T12">
        <f>[1]data!Q13-'Urban population'!T12</f>
        <v>6.5751971520000003</v>
      </c>
      <c r="U12">
        <f>[1]data!R13-'Urban population'!U12</f>
        <v>8.006405634</v>
      </c>
      <c r="V12">
        <f>[1]data!S13-'Urban population'!V12</f>
        <v>9.3768748980000005</v>
      </c>
      <c r="W12">
        <f>[1]data!T13-'Urban population'!W12</f>
        <v>10.402511385</v>
      </c>
      <c r="X12">
        <f>[1]data!U13-'Urban population'!X12</f>
        <v>11.551305254799999</v>
      </c>
      <c r="Y12">
        <f>[1]data!V13-'Urban population'!Y12</f>
        <v>12.657278609280002</v>
      </c>
      <c r="Z12">
        <f>[1]data!W13-'Urban population'!Z12</f>
        <v>13.731203207149999</v>
      </c>
      <c r="AA12">
        <f>[1]data!X13-'Urban population'!AA12</f>
        <v>14.73666705654</v>
      </c>
      <c r="AB12">
        <f>[1]data!Y13-'Urban population'!AB12</f>
        <v>15.60712400583</v>
      </c>
      <c r="AC12">
        <f>[1]data!Z13-'Urban population'!AC12</f>
        <v>16.297903393449999</v>
      </c>
      <c r="AD12">
        <f>[1]data!AA13-'Urban population'!AD12</f>
        <v>16.774515992440001</v>
      </c>
      <c r="AE12">
        <f>[1]data!AB13-'Urban population'!AE12</f>
        <v>17.0400207948</v>
      </c>
      <c r="AF12">
        <f>[1]data!AC13-'Urban population'!AF12</f>
        <v>17.128019721779999</v>
      </c>
      <c r="AG12">
        <f>[1]data!AD13-'Urban population'!AG12</f>
        <v>17.045137745839998</v>
      </c>
      <c r="AH12">
        <f>[1]data!AE13-'Urban population'!AH12</f>
        <v>16.80960223584</v>
      </c>
      <c r="AI12">
        <f>[1]data!AF13-'Urban population'!AI12</f>
        <v>16.420824872760001</v>
      </c>
      <c r="AJ12">
        <f>[1]data!AG13-'Urban population'!AJ12</f>
        <v>15.8932518912</v>
      </c>
      <c r="AK12">
        <f>[1]data!AH13-'Urban population'!AK12</f>
        <v>15.27264734085</v>
      </c>
      <c r="AL12">
        <f>[1]data!AI13-'Urban population'!AL12</f>
        <v>14.590883251999999</v>
      </c>
      <c r="AM12">
        <f>[1]data!AJ13-'Urban population'!AM12</f>
        <v>13.87170570144</v>
      </c>
    </row>
    <row r="13" spans="1:39" x14ac:dyDescent="0.25">
      <c r="A13" t="s">
        <v>30</v>
      </c>
      <c r="B13" t="s">
        <v>31</v>
      </c>
      <c r="C13" t="s">
        <v>45</v>
      </c>
      <c r="D13" t="str">
        <f>_xlfn.XLOOKUP(C13,'[5]Country Codes'!$A$2:$A$267,'[5]Country Codes'!$B$2:$B$267)</f>
        <v>BEL</v>
      </c>
      <c r="E13" t="str">
        <f>_xlfn.XLOOKUP(D13,[6]Feuil1!$C$2:$C$248,[6]Feuil1!$B$2:$B$248)</f>
        <v>BE</v>
      </c>
      <c r="F13" t="s">
        <v>33</v>
      </c>
      <c r="G13" t="str">
        <f>_xlfn.XLOOKUP(C13,'Urban population'!C13:C212,'Urban population'!G13:G212)</f>
        <v>Western Europe</v>
      </c>
      <c r="H13" t="s">
        <v>34</v>
      </c>
      <c r="I13">
        <f>[1]data!F14-'Urban population'!I13</f>
        <v>0.73075723999999997</v>
      </c>
      <c r="J13">
        <f>[1]data!G14-'Urban population'!J13</f>
        <v>0.70492287999999981</v>
      </c>
      <c r="K13">
        <f>[1]data!H14-'Urban population'!K13</f>
        <v>0.6811417500000001</v>
      </c>
      <c r="L13">
        <f>[1]data!I14-'Urban population'!L13</f>
        <v>0.64748006100000133</v>
      </c>
      <c r="M13">
        <f>[1]data!J14-'Urban population'!M13</f>
        <v>0.59584027400000039</v>
      </c>
      <c r="N13">
        <f>[1]data!K14-'Urban population'!N13</f>
        <v>0.53671199999999963</v>
      </c>
      <c r="O13">
        <f>[1]data!L14-'Urban population'!O13</f>
        <v>0.4518117239999988</v>
      </c>
      <c r="P13">
        <f>[1]data!M14-'Urban population'!P13</f>
        <v>0.40498217399999881</v>
      </c>
      <c r="Q13">
        <f>[1]data!N14-'Urban population'!Q13</f>
        <v>0.35807824799999999</v>
      </c>
      <c r="R13">
        <f>[1]data!O14-'Urban population'!R13</f>
        <v>0.32262912000000021</v>
      </c>
      <c r="S13">
        <f>[1]data!P14-'Urban population'!S13</f>
        <v>0.29704375200000044</v>
      </c>
      <c r="T13">
        <f>[1]data!Q14-'Urban population'!T13</f>
        <v>0.27262682199999944</v>
      </c>
      <c r="U13">
        <f>[1]data!R14-'Urban population'!U13</f>
        <v>0.24929775900000095</v>
      </c>
      <c r="V13">
        <f>[1]data!S14-'Urban population'!V13</f>
        <v>0.23550630599999955</v>
      </c>
      <c r="W13">
        <f>[1]data!T14-'Urban population'!W13</f>
        <v>0.21928413000000013</v>
      </c>
      <c r="X13">
        <f>[1]data!U14-'Urban population'!X13</f>
        <v>0.21889479455999883</v>
      </c>
      <c r="Y13">
        <f>[1]data!V14-'Urban population'!Y13</f>
        <v>0.21782067443999864</v>
      </c>
      <c r="Z13">
        <f>[1]data!W14-'Urban population'!Z13</f>
        <v>0.21680722784000039</v>
      </c>
      <c r="AA13">
        <f>[1]data!X14-'Urban population'!AA13</f>
        <v>0.21587106888000029</v>
      </c>
      <c r="AB13">
        <f>[1]data!Y14-'Urban population'!AB13</f>
        <v>0.21488331040000119</v>
      </c>
      <c r="AC13">
        <f>[1]data!Z14-'Urban population'!AC13</f>
        <v>0.2136516869399987</v>
      </c>
      <c r="AD13">
        <f>[1]data!AA14-'Urban population'!AD13</f>
        <v>0.21192946034000038</v>
      </c>
      <c r="AE13">
        <f>[1]data!AB14-'Urban population'!AE13</f>
        <v>0.20974150314000184</v>
      </c>
      <c r="AF13">
        <f>[1]data!AC14-'Urban population'!AF13</f>
        <v>0.20728297904999948</v>
      </c>
      <c r="AG13">
        <f>[1]data!AD14-'Urban population'!AG13</f>
        <v>0.20483809961999988</v>
      </c>
      <c r="AH13">
        <f>[1]data!AE14-'Urban population'!AH13</f>
        <v>0.20211992539999812</v>
      </c>
      <c r="AI13">
        <f>[1]data!AF14-'Urban population'!AI13</f>
        <v>0.19903285300000029</v>
      </c>
      <c r="AJ13">
        <f>[1]data!AG14-'Urban population'!AJ13</f>
        <v>0.19553838608999996</v>
      </c>
      <c r="AK13">
        <f>[1]data!AH14-'Urban population'!AK13</f>
        <v>0.19138948117999988</v>
      </c>
      <c r="AL13">
        <f>[1]data!AI14-'Urban population'!AL13</f>
        <v>0.18699230330000027</v>
      </c>
      <c r="AM13">
        <f>[1]data!AJ14-'Urban population'!AM13</f>
        <v>0.182182695549999</v>
      </c>
    </row>
    <row r="14" spans="1:39" x14ac:dyDescent="0.25">
      <c r="A14" t="s">
        <v>30</v>
      </c>
      <c r="B14" t="s">
        <v>31</v>
      </c>
      <c r="C14" t="s">
        <v>46</v>
      </c>
      <c r="D14" t="str">
        <f>_xlfn.XLOOKUP(C14,'[5]Country Codes'!$A$2:$A$267,'[5]Country Codes'!$B$2:$B$267)</f>
        <v>BEN</v>
      </c>
      <c r="E14" t="str">
        <f>_xlfn.XLOOKUP(D14,[6]Feuil1!$C$2:$C$248,[6]Feuil1!$B$2:$B$248)</f>
        <v>BJ</v>
      </c>
      <c r="F14" t="s">
        <v>33</v>
      </c>
      <c r="G14" t="str">
        <f>_xlfn.XLOOKUP(C14,'Urban population'!C14:C213,'Urban population'!G14:G213)</f>
        <v>Western Africa</v>
      </c>
      <c r="H14" t="s">
        <v>34</v>
      </c>
      <c r="I14">
        <f>[1]data!F15-'Urban population'!I14</f>
        <v>2.14361515</v>
      </c>
      <c r="J14">
        <f>[1]data!G15-'Urban population'!J14</f>
        <v>2.1884767320000003</v>
      </c>
      <c r="K14">
        <f>[1]data!H15-'Urban population'!K14</f>
        <v>2.2618176449999998</v>
      </c>
      <c r="L14">
        <f>[1]data!I15-'Urban population'!L14</f>
        <v>2.3713173750000003</v>
      </c>
      <c r="M14">
        <f>[1]data!J15-'Urban population'!M14</f>
        <v>2.4920860999999999</v>
      </c>
      <c r="N14">
        <f>[1]data!K15-'Urban population'!N14</f>
        <v>2.6077863350000001</v>
      </c>
      <c r="O14">
        <f>[1]data!L15-'Urban population'!O14</f>
        <v>2.7491904849999997</v>
      </c>
      <c r="P14">
        <f>[1]data!M15-'Urban population'!P14</f>
        <v>3.0136883719999998</v>
      </c>
      <c r="Q14">
        <f>[1]data!N15-'Urban population'!Q14</f>
        <v>3.3110151749999996</v>
      </c>
      <c r="R14">
        <f>[1]data!O15-'Urban population'!R14</f>
        <v>3.77667084</v>
      </c>
      <c r="S14">
        <f>[1]data!P15-'Urban population'!S14</f>
        <v>4.2526231400000007</v>
      </c>
      <c r="T14">
        <f>[1]data!Q15-'Urban population'!T14</f>
        <v>4.7682133800000006</v>
      </c>
      <c r="U14">
        <f>[1]data!R15-'Urban population'!U14</f>
        <v>5.2959020649999999</v>
      </c>
      <c r="V14">
        <f>[1]data!S15-'Urban population'!V14</f>
        <v>5.8490097509999996</v>
      </c>
      <c r="W14">
        <f>[1]data!T15-'Urban population'!W14</f>
        <v>6.4328801520000001</v>
      </c>
      <c r="X14">
        <f>[1]data!U15-'Urban population'!X14</f>
        <v>7.0386533536399991</v>
      </c>
      <c r="Y14">
        <f>[1]data!V15-'Urban population'!Y14</f>
        <v>7.6140021999599998</v>
      </c>
      <c r="Z14">
        <f>[1]data!W15-'Urban population'!Z14</f>
        <v>8.1423067498800012</v>
      </c>
      <c r="AA14">
        <f>[1]data!X15-'Urban population'!AA14</f>
        <v>8.6187401558700003</v>
      </c>
      <c r="AB14">
        <f>[1]data!Y15-'Urban population'!AB14</f>
        <v>9.0298253915499984</v>
      </c>
      <c r="AC14">
        <f>[1]data!Z15-'Urban population'!AC14</f>
        <v>9.3710116749600001</v>
      </c>
      <c r="AD14">
        <f>[1]data!AA15-'Urban population'!AD14</f>
        <v>9.6290956228600031</v>
      </c>
      <c r="AE14">
        <f>[1]data!AB15-'Urban population'!AE14</f>
        <v>9.7941822589799976</v>
      </c>
      <c r="AF14">
        <f>[1]data!AC15-'Urban population'!AF14</f>
        <v>9.8891927653199971</v>
      </c>
      <c r="AG14">
        <f>[1]data!AD15-'Urban population'!AG14</f>
        <v>9.9051750402000032</v>
      </c>
      <c r="AH14">
        <f>[1]data!AE15-'Urban population'!AH14</f>
        <v>9.8537071020499987</v>
      </c>
      <c r="AI14">
        <f>[1]data!AF15-'Urban population'!AI14</f>
        <v>9.7224040882699967</v>
      </c>
      <c r="AJ14">
        <f>[1]data!AG15-'Urban population'!AJ14</f>
        <v>9.5276990533799975</v>
      </c>
      <c r="AK14">
        <f>[1]data!AH15-'Urban population'!AK14</f>
        <v>9.2737503217599766</v>
      </c>
      <c r="AL14">
        <f>[1]data!AI15-'Urban population'!AL14</f>
        <v>8.9818926652000002</v>
      </c>
      <c r="AM14">
        <f>[1]data!AJ15-'Urban population'!AM14</f>
        <v>8.6654049111000013</v>
      </c>
    </row>
    <row r="15" spans="1:39" x14ac:dyDescent="0.25">
      <c r="A15" t="s">
        <v>30</v>
      </c>
      <c r="B15" t="s">
        <v>31</v>
      </c>
      <c r="C15" t="s">
        <v>47</v>
      </c>
      <c r="D15" t="str">
        <f>_xlfn.XLOOKUP(C15,'[5]Country Codes'!$A$2:$A$267,'[5]Country Codes'!$B$2:$B$267)</f>
        <v>BFA</v>
      </c>
      <c r="E15" t="str">
        <f>_xlfn.XLOOKUP(D15,[6]Feuil1!$C$2:$C$248,[6]Feuil1!$B$2:$B$248)</f>
        <v>BF</v>
      </c>
      <c r="F15" t="s">
        <v>33</v>
      </c>
      <c r="G15" t="str">
        <f>_xlfn.XLOOKUP(C15,'Urban population'!C15:C214,'Urban population'!G15:G214)</f>
        <v>Western Africa</v>
      </c>
      <c r="H15" t="s">
        <v>34</v>
      </c>
      <c r="I15">
        <f>[1]data!F16-'Urban population'!I15</f>
        <v>4.0312533039999998</v>
      </c>
      <c r="J15">
        <f>[1]data!G16-'Urban population'!J15</f>
        <v>4.2576700560000003</v>
      </c>
      <c r="K15">
        <f>[1]data!H16-'Urban population'!K15</f>
        <v>4.5257550680000005</v>
      </c>
      <c r="L15">
        <f>[1]data!I16-'Urban population'!L15</f>
        <v>4.8497518560000001</v>
      </c>
      <c r="M15">
        <f>[1]data!J16-'Urban population'!M15</f>
        <v>5.2458825960000004</v>
      </c>
      <c r="N15">
        <f>[1]data!K16-'Urban population'!N15</f>
        <v>5.693342243</v>
      </c>
      <c r="O15">
        <f>[1]data!L16-'Urban population'!O15</f>
        <v>6.2368734239999997</v>
      </c>
      <c r="P15">
        <f>[1]data!M16-'Urban population'!P15</f>
        <v>6.8967394009999996</v>
      </c>
      <c r="Q15">
        <f>[1]data!N16-'Urban population'!Q15</f>
        <v>7.7681035019999998</v>
      </c>
      <c r="R15">
        <f>[1]data!O16-'Urban population'!R15</f>
        <v>8.6770720560000001</v>
      </c>
      <c r="S15">
        <f>[1]data!P16-'Urban population'!S15</f>
        <v>9.6202342559999998</v>
      </c>
      <c r="T15">
        <f>[1]data!Q16-'Urban population'!T15</f>
        <v>10.721615565</v>
      </c>
      <c r="U15">
        <f>[1]data!R16-'Urban population'!U15</f>
        <v>11.973537342</v>
      </c>
      <c r="V15">
        <f>[1]data!S16-'Urban population'!V15</f>
        <v>13.370956775</v>
      </c>
      <c r="W15">
        <f>[1]data!T16-'Urban population'!W15</f>
        <v>14.734931660000001</v>
      </c>
      <c r="X15">
        <f>[1]data!U16-'Urban population'!X15</f>
        <v>16.100616480900001</v>
      </c>
      <c r="Y15">
        <f>[1]data!V16-'Urban population'!Y15</f>
        <v>17.422046632040001</v>
      </c>
      <c r="Z15">
        <f>[1]data!W16-'Urban population'!Z15</f>
        <v>18.661999377720001</v>
      </c>
      <c r="AA15">
        <f>[1]data!X16-'Urban population'!AA15</f>
        <v>19.791940891099998</v>
      </c>
      <c r="AB15">
        <f>[1]data!Y16-'Urban population'!AB15</f>
        <v>20.758897536300001</v>
      </c>
      <c r="AC15">
        <f>[1]data!Z16-'Urban population'!AC15</f>
        <v>21.523778489160001</v>
      </c>
      <c r="AD15">
        <f>[1]data!AA16-'Urban population'!AD15</f>
        <v>22.042679682900001</v>
      </c>
      <c r="AE15">
        <f>[1]data!AB16-'Urban population'!AE15</f>
        <v>22.343883170919955</v>
      </c>
      <c r="AF15">
        <f>[1]data!AC16-'Urban population'!AF15</f>
        <v>22.466451935549998</v>
      </c>
      <c r="AG15">
        <f>[1]data!AD16-'Urban population'!AG15</f>
        <v>22.4281841315</v>
      </c>
      <c r="AH15">
        <f>[1]data!AE16-'Urban population'!AH15</f>
        <v>22.240692246119998</v>
      </c>
      <c r="AI15">
        <f>[1]data!AF16-'Urban population'!AI15</f>
        <v>21.89783033762</v>
      </c>
      <c r="AJ15">
        <f>[1]data!AG16-'Urban population'!AJ15</f>
        <v>21.401501076000002</v>
      </c>
      <c r="AK15">
        <f>[1]data!AH16-'Urban population'!AK15</f>
        <v>20.781268007720001</v>
      </c>
      <c r="AL15">
        <f>[1]data!AI16-'Urban population'!AL15</f>
        <v>20.091526255520002</v>
      </c>
      <c r="AM15">
        <f>[1]data!AJ16-'Urban population'!AM15</f>
        <v>19.373054834980003</v>
      </c>
    </row>
    <row r="16" spans="1:39" x14ac:dyDescent="0.25">
      <c r="A16" t="s">
        <v>30</v>
      </c>
      <c r="B16" t="s">
        <v>31</v>
      </c>
      <c r="C16" t="s">
        <v>48</v>
      </c>
      <c r="D16" t="str">
        <f>_xlfn.XLOOKUP(C16,'[5]Country Codes'!$A$2:$A$267,'[5]Country Codes'!$B$2:$B$267)</f>
        <v>BGD</v>
      </c>
      <c r="E16" t="str">
        <f>_xlfn.XLOOKUP(D16,[6]Feuil1!$C$2:$C$248,[6]Feuil1!$B$2:$B$248)</f>
        <v>BD</v>
      </c>
      <c r="F16" t="s">
        <v>33</v>
      </c>
      <c r="G16" t="str">
        <f>_xlfn.XLOOKUP(C16,'Urban population'!C16:C215,'Urban population'!G16:G215)</f>
        <v>Rest of South Asia</v>
      </c>
      <c r="H16" t="s">
        <v>34</v>
      </c>
      <c r="I16">
        <f>[1]data!F17-'Urban population'!I16</f>
        <v>37.644740528999996</v>
      </c>
      <c r="J16">
        <f>[1]data!G17-'Urban population'!J16</f>
        <v>41.725169457</v>
      </c>
      <c r="K16">
        <f>[1]data!H17-'Urban population'!K16</f>
        <v>47.144594718</v>
      </c>
      <c r="L16">
        <f>[1]data!I17-'Urban population'!L16</f>
        <v>54.059904080000003</v>
      </c>
      <c r="M16">
        <f>[1]data!J17-'Urban population'!M16</f>
        <v>61.712229347999987</v>
      </c>
      <c r="N16">
        <f>[1]data!K17-'Urban population'!N16</f>
        <v>66.606002649999994</v>
      </c>
      <c r="O16">
        <f>[1]data!L17-'Urban population'!O16</f>
        <v>70.526396081000001</v>
      </c>
      <c r="P16">
        <f>[1]data!M17-'Urban population'!P16</f>
        <v>78.179739000000012</v>
      </c>
      <c r="Q16">
        <f>[1]data!N17-'Urban population'!Q16</f>
        <v>85.013265555999993</v>
      </c>
      <c r="R16">
        <f>[1]data!O17-'Urban population'!R16</f>
        <v>91.410966207000001</v>
      </c>
      <c r="S16">
        <f>[1]data!P17-'Urban population'!S16</f>
        <v>97.773334716000008</v>
      </c>
      <c r="T16">
        <f>[1]data!Q17-'Urban population'!T16</f>
        <v>102.423495456</v>
      </c>
      <c r="U16">
        <f>[1]data!R17-'Urban population'!U16</f>
        <v>102.503854895</v>
      </c>
      <c r="V16">
        <f>[1]data!S17-'Urban population'!V16</f>
        <v>103.09402486800001</v>
      </c>
      <c r="W16">
        <f>[1]data!T17-'Urban population'!W16</f>
        <v>102.85188043800001</v>
      </c>
      <c r="X16">
        <f>[1]data!U17-'Urban population'!X16</f>
        <v>103.75109083107999</v>
      </c>
      <c r="Y16">
        <f>[1]data!V17-'Urban population'!Y16</f>
        <v>103.51797265523999</v>
      </c>
      <c r="Z16">
        <f>[1]data!W17-'Urban population'!Z16</f>
        <v>102.07151399400001</v>
      </c>
      <c r="AA16">
        <f>[1]data!X17-'Urban population'!AA16</f>
        <v>99.637865678890009</v>
      </c>
      <c r="AB16">
        <f>[1]data!Y17-'Urban population'!AB16</f>
        <v>96.436492950279998</v>
      </c>
      <c r="AC16">
        <f>[1]data!Z17-'Urban population'!AC16</f>
        <v>92.676754005950016</v>
      </c>
      <c r="AD16">
        <f>[1]data!AA17-'Urban population'!AD16</f>
        <v>88.530139516919988</v>
      </c>
      <c r="AE16">
        <f>[1]data!AB17-'Urban population'!AE16</f>
        <v>84.05793189744999</v>
      </c>
      <c r="AF16">
        <f>[1]data!AC17-'Urban population'!AF16</f>
        <v>79.388395888649995</v>
      </c>
      <c r="AG16">
        <f>[1]data!AD17-'Urban population'!AG16</f>
        <v>74.622899268149993</v>
      </c>
      <c r="AH16">
        <f>[1]data!AE17-'Urban population'!AH16</f>
        <v>69.872084063879996</v>
      </c>
      <c r="AI16">
        <f>[1]data!AF17-'Urban population'!AI16</f>
        <v>65.221465078379993</v>
      </c>
      <c r="AJ16">
        <f>[1]data!AG17-'Urban population'!AJ16</f>
        <v>60.716122713089987</v>
      </c>
      <c r="AK16">
        <f>[1]data!AH17-'Urban population'!AK16</f>
        <v>56.397032763269976</v>
      </c>
      <c r="AL16">
        <f>[1]data!AI17-'Urban population'!AL16</f>
        <v>52.303421897179987</v>
      </c>
      <c r="AM16">
        <f>[1]data!AJ17-'Urban population'!AM16</f>
        <v>48.504541769040017</v>
      </c>
    </row>
    <row r="17" spans="1:39" x14ac:dyDescent="0.25">
      <c r="A17" t="s">
        <v>30</v>
      </c>
      <c r="B17" t="s">
        <v>31</v>
      </c>
      <c r="C17" t="s">
        <v>49</v>
      </c>
      <c r="D17" t="str">
        <f>_xlfn.XLOOKUP(C17,'[5]Country Codes'!$A$2:$A$267,'[5]Country Codes'!$B$2:$B$267)</f>
        <v>BGR</v>
      </c>
      <c r="E17" t="str">
        <f>_xlfn.XLOOKUP(D17,[6]Feuil1!$C$2:$C$248,[6]Feuil1!$B$2:$B$248)</f>
        <v>BG</v>
      </c>
      <c r="F17" t="s">
        <v>33</v>
      </c>
      <c r="G17" t="str">
        <f>_xlfn.XLOOKUP(C17,'Urban population'!C17:C216,'Urban population'!G17:G216)</f>
        <v>Central Europe</v>
      </c>
      <c r="H17" t="s">
        <v>34</v>
      </c>
      <c r="I17">
        <f>[1]data!F18-'Urban population'!I17</f>
        <v>5.1554193799999997</v>
      </c>
      <c r="J17">
        <f>[1]data!G18-'Urban population'!J17</f>
        <v>5.0699260260000001</v>
      </c>
      <c r="K17">
        <f>[1]data!H18-'Urban population'!K17</f>
        <v>4.9394269250000002</v>
      </c>
      <c r="L17">
        <f>[1]data!I18-'Urban population'!L17</f>
        <v>4.4512736440000005</v>
      </c>
      <c r="M17">
        <f>[1]data!J18-'Urban population'!M17</f>
        <v>4.0776807689999996</v>
      </c>
      <c r="N17">
        <f>[1]data!K18-'Urban population'!N17</f>
        <v>3.7479318879999992</v>
      </c>
      <c r="O17">
        <f>[1]data!L18-'Urban population'!O17</f>
        <v>3.4037065239999995</v>
      </c>
      <c r="P17">
        <f>[1]data!M18-'Urban population'!P17</f>
        <v>3.161473818000001</v>
      </c>
      <c r="Q17">
        <f>[1]data!N18-'Urban population'!Q17</f>
        <v>2.9527602719999999</v>
      </c>
      <c r="R17">
        <f>[1]data!O18-'Urban population'!R17</f>
        <v>2.7418940780000005</v>
      </c>
      <c r="S17">
        <f>[1]data!P18-'Urban population'!S17</f>
        <v>2.5283948569999994</v>
      </c>
      <c r="T17">
        <f>[1]data!Q18-'Urban population'!T17</f>
        <v>2.3051214060000005</v>
      </c>
      <c r="U17">
        <f>[1]data!R18-'Urban population'!U17</f>
        <v>2.1095040259999998</v>
      </c>
      <c r="V17">
        <f>[1]data!S18-'Urban population'!V17</f>
        <v>1.9087595799999999</v>
      </c>
      <c r="W17">
        <f>[1]data!T18-'Urban population'!W17</f>
        <v>1.7059180770000024</v>
      </c>
      <c r="X17">
        <f>[1]data!U18-'Urban population'!X17</f>
        <v>1.5077608720199995</v>
      </c>
      <c r="Y17">
        <f>[1]data!V18-'Urban population'!Y17</f>
        <v>1.3490139599999997</v>
      </c>
      <c r="Z17">
        <f>[1]data!W18-'Urban population'!Z17</f>
        <v>1.2088749379200019</v>
      </c>
      <c r="AA17">
        <f>[1]data!X18-'Urban population'!AA17</f>
        <v>1.0854958376399999</v>
      </c>
      <c r="AB17">
        <f>[1]data!Y18-'Urban population'!AB17</f>
        <v>0.97720761941999967</v>
      </c>
      <c r="AC17">
        <f>[1]data!Z18-'Urban population'!AC17</f>
        <v>0.88246557025999994</v>
      </c>
      <c r="AD17">
        <f>[1]data!AA18-'Urban population'!AD17</f>
        <v>0.79853603327999956</v>
      </c>
      <c r="AE17">
        <f>[1]data!AB18-'Urban population'!AE17</f>
        <v>0.7234214414800002</v>
      </c>
      <c r="AF17">
        <f>[1]data!AC18-'Urban population'!AF17</f>
        <v>0.65572152543999973</v>
      </c>
      <c r="AG17">
        <f>[1]data!AD18-'Urban population'!AG17</f>
        <v>0.59499597784000002</v>
      </c>
      <c r="AH17">
        <f>[1]data!AE18-'Urban population'!AH17</f>
        <v>0.54066363615999968</v>
      </c>
      <c r="AI17">
        <f>[1]data!AF18-'Urban population'!AI17</f>
        <v>0.49289242752000018</v>
      </c>
      <c r="AJ17">
        <f>[1]data!AG18-'Urban population'!AJ17</f>
        <v>0.45105214551999939</v>
      </c>
      <c r="AK17">
        <f>[1]data!AH18-'Urban population'!AK17</f>
        <v>0.41448535618000015</v>
      </c>
      <c r="AL17">
        <f>[1]data!AI18-'Urban population'!AL17</f>
        <v>0.38200985388000097</v>
      </c>
      <c r="AM17">
        <f>[1]data!AJ18-'Urban population'!AM17</f>
        <v>0.35215643320000023</v>
      </c>
    </row>
    <row r="18" spans="1:39" x14ac:dyDescent="0.25">
      <c r="A18" t="s">
        <v>30</v>
      </c>
      <c r="B18" t="s">
        <v>31</v>
      </c>
      <c r="C18" t="s">
        <v>50</v>
      </c>
      <c r="D18" t="str">
        <f>_xlfn.XLOOKUP(C18,'[5]Country Codes'!$A$2:$A$267,'[5]Country Codes'!$B$2:$B$267)</f>
        <v>BHR</v>
      </c>
      <c r="E18" t="str">
        <f>_xlfn.XLOOKUP(D18,[6]Feuil1!$C$2:$C$248,[6]Feuil1!$B$2:$B$248)</f>
        <v>BH</v>
      </c>
      <c r="F18" t="s">
        <v>33</v>
      </c>
      <c r="G18" t="str">
        <f>_xlfn.XLOOKUP(C18,'Urban population'!C18:C217,'Urban population'!G18:G217)</f>
        <v>Middle East</v>
      </c>
      <c r="H18" t="s">
        <v>34</v>
      </c>
      <c r="I18">
        <f>[1]data!F19-'Urban population'!I18</f>
        <v>4.1143276000000006E-2</v>
      </c>
      <c r="J18">
        <f>[1]data!G19-'Urban population'!J18</f>
        <v>3.2537959999999991E-2</v>
      </c>
      <c r="K18">
        <f>[1]data!H19-'Urban population'!K18</f>
        <v>2.7893960999999995E-2</v>
      </c>
      <c r="L18">
        <f>[1]data!I19-'Urban population'!L18</f>
        <v>3.3243000000000023E-2</v>
      </c>
      <c r="M18">
        <f>[1]data!J19-'Urban population'!M18</f>
        <v>3.5582814000000018E-2</v>
      </c>
      <c r="N18">
        <f>[1]data!K19-'Urban population'!N18</f>
        <v>4.1663400000000017E-2</v>
      </c>
      <c r="O18">
        <f>[1]data!L19-'Urban population'!O18</f>
        <v>4.9293986999999984E-2</v>
      </c>
      <c r="P18">
        <f>[1]data!M19-'Urban population'!P18</f>
        <v>5.4607616000000025E-2</v>
      </c>
      <c r="Q18">
        <f>[1]data!N19-'Urban population'!Q18</f>
        <v>6.0558148000000034E-2</v>
      </c>
      <c r="R18">
        <f>[1]data!O19-'Urban population'!R18</f>
        <v>6.9954031999999944E-2</v>
      </c>
      <c r="S18">
        <f>[1]data!P19-'Urban population'!S18</f>
        <v>8.1418891999999965E-2</v>
      </c>
      <c r="T18">
        <f>[1]data!Q19-'Urban population'!T18</f>
        <v>0.10063243599999994</v>
      </c>
      <c r="U18">
        <f>[1]data!R19-'Urban population'!U18</f>
        <v>0.13835518800000024</v>
      </c>
      <c r="V18">
        <f>[1]data!S19-'Urban population'!V18</f>
        <v>0.14721245000000005</v>
      </c>
      <c r="W18">
        <f>[1]data!T19-'Urban population'!W18</f>
        <v>0.15687367499999993</v>
      </c>
      <c r="X18">
        <f>[1]data!U19-'Urban population'!X18</f>
        <v>0.15797717970000003</v>
      </c>
      <c r="Y18">
        <f>[1]data!V19-'Urban population'!Y18</f>
        <v>0.15729339888000005</v>
      </c>
      <c r="Z18">
        <f>[1]data!W19-'Urban population'!Z18</f>
        <v>0.15527521881999995</v>
      </c>
      <c r="AA18">
        <f>[1]data!X19-'Urban population'!AA18</f>
        <v>0.15240539438999989</v>
      </c>
      <c r="AB18">
        <f>[1]data!Y19-'Urban population'!AB18</f>
        <v>0.14870122215000015</v>
      </c>
      <c r="AC18">
        <f>[1]data!Z19-'Urban population'!AC18</f>
        <v>0.14411079997999998</v>
      </c>
      <c r="AD18">
        <f>[1]data!AA19-'Urban population'!AD18</f>
        <v>0.13848160479999994</v>
      </c>
      <c r="AE18">
        <f>[1]data!AB19-'Urban population'!AE18</f>
        <v>0.13197194205999985</v>
      </c>
      <c r="AF18">
        <f>[1]data!AC19-'Urban population'!AF18</f>
        <v>0.1243787811599999</v>
      </c>
      <c r="AG18">
        <f>[1]data!AD19-'Urban population'!AG18</f>
        <v>0.11605978683000018</v>
      </c>
      <c r="AH18">
        <f>[1]data!AE19-'Urban population'!AH18</f>
        <v>0.10735207914</v>
      </c>
      <c r="AI18">
        <f>[1]data!AF19-'Urban population'!AI18</f>
        <v>9.863755861000012E-2</v>
      </c>
      <c r="AJ18">
        <f>[1]data!AG19-'Urban population'!AJ18</f>
        <v>9.0264073619999774E-2</v>
      </c>
      <c r="AK18">
        <f>[1]data!AH19-'Urban population'!AK18</f>
        <v>8.2482610000000012E-2</v>
      </c>
      <c r="AL18">
        <f>[1]data!AI19-'Urban population'!AL18</f>
        <v>7.5317176350000015E-2</v>
      </c>
      <c r="AM18">
        <f>[1]data!AJ19-'Urban population'!AM18</f>
        <v>6.8629321800000032E-2</v>
      </c>
    </row>
    <row r="19" spans="1:39" x14ac:dyDescent="0.25">
      <c r="A19" t="s">
        <v>30</v>
      </c>
      <c r="B19" t="s">
        <v>31</v>
      </c>
      <c r="C19" t="s">
        <v>256</v>
      </c>
      <c r="D19" t="str">
        <f>_xlfn.XLOOKUP(C19,'[5]Country Codes'!$A$2:$A$267,'[5]Country Codes'!$B$2:$B$267)</f>
        <v>BHS</v>
      </c>
      <c r="E19" t="str">
        <f>_xlfn.XLOOKUP(D19,[6]Feuil1!$C$2:$C$248,[6]Feuil1!$B$2:$B$248)</f>
        <v>BS</v>
      </c>
      <c r="F19" t="s">
        <v>33</v>
      </c>
      <c r="G19" t="e">
        <f>_xlfn.XLOOKUP(C19,'Urban population'!C19:C218,'Urban population'!G19:G218)</f>
        <v>#N/A</v>
      </c>
      <c r="H19" t="s">
        <v>34</v>
      </c>
      <c r="I19">
        <f>[1]data!F20-'Urban population'!I19</f>
        <v>3.8856480000000006E-2</v>
      </c>
      <c r="J19">
        <f>[1]data!G20-'Urban population'!J19</f>
        <v>4.0034862000000004E-2</v>
      </c>
      <c r="K19">
        <f>[1]data!H20-'Urban population'!K19</f>
        <v>4.5038071000000013E-2</v>
      </c>
      <c r="L19">
        <f>[1]data!I20-'Urban population'!L19</f>
        <v>5.2007937000000004E-2</v>
      </c>
      <c r="M19">
        <f>[1]data!J20-'Urban population'!M19</f>
        <v>5.8536248000000013E-2</v>
      </c>
      <c r="N19">
        <f>[1]data!K20-'Urban population'!N19</f>
        <v>5.9953200000000012E-2</v>
      </c>
      <c r="O19">
        <f>[1]data!L20-'Urban population'!O19</f>
        <v>5.9614165999999996E-2</v>
      </c>
      <c r="P19">
        <f>[1]data!M20-'Urban population'!P19</f>
        <v>5.6733868999999992E-2</v>
      </c>
      <c r="Q19">
        <f>[1]data!N20-'Urban population'!Q19</f>
        <v>5.4153776000000015E-2</v>
      </c>
      <c r="R19">
        <f>[1]data!O20-'Urban population'!R19</f>
        <v>5.638515999999999E-2</v>
      </c>
      <c r="S19">
        <f>[1]data!P20-'Urban population'!S19</f>
        <v>5.8062060000000026E-2</v>
      </c>
      <c r="T19">
        <f>[1]data!Q20-'Urban population'!T19</f>
        <v>6.1483157999999982E-2</v>
      </c>
      <c r="U19">
        <f>[1]data!R20-'Urban population'!U19</f>
        <v>6.5247423999999998E-2</v>
      </c>
      <c r="V19">
        <f>[1]data!S20-'Urban population'!V19</f>
        <v>6.7643691999999978E-2</v>
      </c>
      <c r="W19">
        <f>[1]data!T20-'Urban population'!W19</f>
        <v>6.816919199999999E-2</v>
      </c>
      <c r="X19">
        <f>[1]data!U20-'Urban population'!X19</f>
        <v>6.4997378320000021E-2</v>
      </c>
      <c r="Y19">
        <f>[1]data!V20-'Urban population'!Y19</f>
        <v>6.1913572620000024E-2</v>
      </c>
      <c r="Z19">
        <f>[1]data!W20-'Urban population'!Z19</f>
        <v>5.8747899319999852E-2</v>
      </c>
      <c r="AA19">
        <f>[1]data!X20-'Urban population'!AA19</f>
        <v>5.5436922599999994E-2</v>
      </c>
      <c r="AB19">
        <f>[1]data!Y20-'Urban population'!AB19</f>
        <v>5.2027082879999964E-2</v>
      </c>
      <c r="AC19">
        <f>[1]data!Z20-'Urban population'!AC19</f>
        <v>4.858335531000002E-2</v>
      </c>
      <c r="AD19">
        <f>[1]data!AA20-'Urban population'!AD19</f>
        <v>4.5162303240000035E-2</v>
      </c>
      <c r="AE19">
        <f>[1]data!AB20-'Urban population'!AE19</f>
        <v>4.1851201839999963E-2</v>
      </c>
      <c r="AF19">
        <f>[1]data!AC20-'Urban population'!AF19</f>
        <v>3.8657560019999981E-2</v>
      </c>
      <c r="AG19">
        <f>[1]data!AD20-'Urban population'!AG19</f>
        <v>3.5619471359999988E-2</v>
      </c>
      <c r="AH19">
        <f>[1]data!AE20-'Urban population'!AH19</f>
        <v>3.2729769949999932E-2</v>
      </c>
      <c r="AI19">
        <f>[1]data!AF20-'Urban population'!AI19</f>
        <v>2.9978919959999961E-2</v>
      </c>
      <c r="AJ19">
        <f>[1]data!AG20-'Urban population'!AJ19</f>
        <v>2.736208389E-2</v>
      </c>
      <c r="AK19">
        <f>[1]data!AH20-'Urban population'!AK19</f>
        <v>2.48915106E-2</v>
      </c>
      <c r="AL19">
        <f>[1]data!AI20-'Urban population'!AL19</f>
        <v>2.2570603000000022E-2</v>
      </c>
      <c r="AM19">
        <f>[1]data!AJ20-'Urban population'!AM19</f>
        <v>2.042677209999999E-2</v>
      </c>
    </row>
    <row r="20" spans="1:39" x14ac:dyDescent="0.25">
      <c r="A20" t="s">
        <v>30</v>
      </c>
      <c r="B20" t="s">
        <v>31</v>
      </c>
      <c r="C20" t="s">
        <v>52</v>
      </c>
      <c r="D20" t="str">
        <f>_xlfn.XLOOKUP(C20,'[5]Country Codes'!$A$2:$A$267,'[5]Country Codes'!$B$2:$B$267)</f>
        <v>BIH</v>
      </c>
      <c r="E20" t="str">
        <f>_xlfn.XLOOKUP(D20,[6]Feuil1!$C$2:$C$248,[6]Feuil1!$B$2:$B$248)</f>
        <v>BA</v>
      </c>
      <c r="F20" t="s">
        <v>33</v>
      </c>
      <c r="G20" t="str">
        <f>_xlfn.XLOOKUP(C20,'Urban population'!C20:C219,'Urban population'!G20:G219)</f>
        <v>Central Europe</v>
      </c>
      <c r="H20" t="s">
        <v>34</v>
      </c>
      <c r="I20">
        <f>[1]data!F21-'Urban population'!I20</f>
        <v>2.3049383720000001</v>
      </c>
      <c r="J20">
        <f>[1]data!G21-'Urban population'!J20</f>
        <v>2.454161772</v>
      </c>
      <c r="K20">
        <f>[1]data!H21-'Urban population'!K20</f>
        <v>2.61718209</v>
      </c>
      <c r="L20">
        <f>[1]data!I21-'Urban population'!L20</f>
        <v>2.7307176280000003</v>
      </c>
      <c r="M20">
        <f>[1]data!J21-'Urban population'!M20</f>
        <v>2.7616621759999997</v>
      </c>
      <c r="N20">
        <f>[1]data!K21-'Urban population'!N20</f>
        <v>2.7498947459999998</v>
      </c>
      <c r="O20">
        <f>[1]data!L21-'Urban population'!O20</f>
        <v>2.6976189749999997</v>
      </c>
      <c r="P20">
        <f>[1]data!M21-'Urban population'!P20</f>
        <v>2.7253349760000001</v>
      </c>
      <c r="Q20">
        <f>[1]data!N21-'Urban population'!Q20</f>
        <v>2.7291642559999998</v>
      </c>
      <c r="R20">
        <f>[1]data!O21-'Urban population'!R20</f>
        <v>2.1816680000000002</v>
      </c>
      <c r="S20">
        <f>[1]data!P21-'Urban population'!S20</f>
        <v>2.4029043840000002</v>
      </c>
      <c r="T20">
        <f>[1]data!Q21-'Urban population'!T20</f>
        <v>2.3028056800000001</v>
      </c>
      <c r="U20">
        <f>[1]data!R21-'Urban population'!U20</f>
        <v>2.0915374719999997</v>
      </c>
      <c r="V20">
        <f>[1]data!S21-'Urban population'!V20</f>
        <v>1.8727742879999998</v>
      </c>
      <c r="W20">
        <f>[1]data!T21-'Urban population'!W20</f>
        <v>1.70389827</v>
      </c>
      <c r="X20">
        <f>[1]data!U21-'Urban population'!X20</f>
        <v>1.5440200526399999</v>
      </c>
      <c r="Y20">
        <f>[1]data!V21-'Urban population'!Y20</f>
        <v>1.4137316753199998</v>
      </c>
      <c r="Z20">
        <f>[1]data!W21-'Urban population'!Z20</f>
        <v>1.2879384908499998</v>
      </c>
      <c r="AA20">
        <f>[1]data!X21-'Urban population'!AA20</f>
        <v>1.16839426165</v>
      </c>
      <c r="AB20">
        <f>[1]data!Y21-'Urban population'!AB20</f>
        <v>1.0573296893600002</v>
      </c>
      <c r="AC20">
        <f>[1]data!Z21-'Urban population'!AC20</f>
        <v>0.95599659081999988</v>
      </c>
      <c r="AD20">
        <f>[1]data!AA21-'Urban population'!AD20</f>
        <v>0.86470657023000008</v>
      </c>
      <c r="AE20">
        <f>[1]data!AB21-'Urban population'!AE20</f>
        <v>0.78271442864999985</v>
      </c>
      <c r="AF20">
        <f>[1]data!AC21-'Urban population'!AF20</f>
        <v>0.71001762531000012</v>
      </c>
      <c r="AG20">
        <f>[1]data!AD21-'Urban population'!AG20</f>
        <v>0.64526556759000009</v>
      </c>
      <c r="AH20">
        <f>[1]data!AE21-'Urban population'!AH20</f>
        <v>0.58731608676000002</v>
      </c>
      <c r="AI20">
        <f>[1]data!AF21-'Urban population'!AI20</f>
        <v>0.53565021710999994</v>
      </c>
      <c r="AJ20">
        <f>[1]data!AG21-'Urban population'!AJ20</f>
        <v>0.48961081675000018</v>
      </c>
      <c r="AK20">
        <f>[1]data!AH21-'Urban population'!AK20</f>
        <v>0.44862327318000017</v>
      </c>
      <c r="AL20">
        <f>[1]data!AI21-'Urban population'!AL20</f>
        <v>0.41188679684000018</v>
      </c>
      <c r="AM20">
        <f>[1]data!AJ21-'Urban population'!AM20</f>
        <v>0.37861341280000005</v>
      </c>
    </row>
    <row r="21" spans="1:39" x14ac:dyDescent="0.25">
      <c r="A21" t="s">
        <v>30</v>
      </c>
      <c r="B21" t="s">
        <v>31</v>
      </c>
      <c r="C21" t="s">
        <v>53</v>
      </c>
      <c r="D21" t="str">
        <f>_xlfn.XLOOKUP(C21,'[5]Country Codes'!$A$2:$A$267,'[5]Country Codes'!$B$2:$B$267)</f>
        <v>BLR</v>
      </c>
      <c r="E21" t="str">
        <f>_xlfn.XLOOKUP(D21,[6]Feuil1!$C$2:$C$248,[6]Feuil1!$B$2:$B$248)</f>
        <v>BY</v>
      </c>
      <c r="F21" t="s">
        <v>33</v>
      </c>
      <c r="G21" t="str">
        <f>_xlfn.XLOOKUP(C21,'Urban population'!C21:C220,'Urban population'!G21:G220)</f>
        <v>Ukraine region</v>
      </c>
      <c r="H21" t="s">
        <v>34</v>
      </c>
      <c r="I21">
        <f>[1]data!F22-'Urban population'!I21</f>
        <v>5.8499629020000006</v>
      </c>
      <c r="J21">
        <f>[1]data!G22-'Urban population'!J21</f>
        <v>5.6515264109999999</v>
      </c>
      <c r="K21">
        <f>[1]data!H22-'Urban population'!K21</f>
        <v>5.635482112</v>
      </c>
      <c r="L21">
        <f>[1]data!I22-'Urban population'!L21</f>
        <v>5.4593286859999992</v>
      </c>
      <c r="M21">
        <f>[1]data!J22-'Urban population'!M21</f>
        <v>5.1176798400000001</v>
      </c>
      <c r="N21">
        <f>[1]data!K22-'Urban population'!N21</f>
        <v>4.6778050540000002</v>
      </c>
      <c r="O21">
        <f>[1]data!L22-'Urban population'!O21</f>
        <v>4.2573871950000006</v>
      </c>
      <c r="P21">
        <f>[1]data!M22-'Urban population'!P21</f>
        <v>3.8588253340000005</v>
      </c>
      <c r="Q21">
        <f>[1]data!N22-'Urban population'!Q21</f>
        <v>3.5397138200000002</v>
      </c>
      <c r="R21">
        <f>[1]data!O22-'Urban population'!R21</f>
        <v>3.3616824510000001</v>
      </c>
      <c r="S21">
        <f>[1]data!P22-'Urban population'!S21</f>
        <v>3.0844272000000013</v>
      </c>
      <c r="T21">
        <f>[1]data!Q22-'Urban population'!T21</f>
        <v>2.7510487679999995</v>
      </c>
      <c r="U21">
        <f>[1]data!R22-'Urban population'!U21</f>
        <v>2.4655087819999997</v>
      </c>
      <c r="V21">
        <f>[1]data!S22-'Urban population'!V21</f>
        <v>2.2108022279999995</v>
      </c>
      <c r="W21">
        <f>[1]data!T22-'Urban population'!W21</f>
        <v>1.9805129949999998</v>
      </c>
      <c r="X21">
        <f>[1]data!U22-'Urban population'!X21</f>
        <v>1.7828202641300006</v>
      </c>
      <c r="Y21">
        <f>[1]data!V22-'Urban population'!Y21</f>
        <v>1.62262133705</v>
      </c>
      <c r="Z21">
        <f>[1]data!W22-'Urban population'!Z21</f>
        <v>1.4802799412100009</v>
      </c>
      <c r="AA21">
        <f>[1]data!X22-'Urban population'!AA21</f>
        <v>1.3552726604399998</v>
      </c>
      <c r="AB21">
        <f>[1]data!Y22-'Urban population'!AB21</f>
        <v>1.2453879562700019</v>
      </c>
      <c r="AC21">
        <f>[1]data!Z22-'Urban population'!AC21</f>
        <v>1.1469591832500008</v>
      </c>
      <c r="AD21">
        <f>[1]data!AA22-'Urban population'!AD21</f>
        <v>1.0565219280000004</v>
      </c>
      <c r="AE21">
        <f>[1]data!AB22-'Urban population'!AE21</f>
        <v>0.97362616597999896</v>
      </c>
      <c r="AF21">
        <f>[1]data!AC22-'Urban population'!AF21</f>
        <v>0.89754916884000036</v>
      </c>
      <c r="AG21">
        <f>[1]data!AD22-'Urban population'!AG21</f>
        <v>0.82838577771999944</v>
      </c>
      <c r="AH21">
        <f>[1]data!AE22-'Urban population'!AH21</f>
        <v>0.76547086388000007</v>
      </c>
      <c r="AI21">
        <f>[1]data!AF22-'Urban population'!AI21</f>
        <v>0.70796783936000107</v>
      </c>
      <c r="AJ21">
        <f>[1]data!AG22-'Urban population'!AJ21</f>
        <v>0.65525261077000074</v>
      </c>
      <c r="AK21">
        <f>[1]data!AH22-'Urban population'!AK21</f>
        <v>0.6070961169900011</v>
      </c>
      <c r="AL21">
        <f>[1]data!AI22-'Urban population'!AL21</f>
        <v>0.56274515856000029</v>
      </c>
      <c r="AM21">
        <f>[1]data!AJ22-'Urban population'!AM21</f>
        <v>0.52106371400000029</v>
      </c>
    </row>
    <row r="22" spans="1:39" x14ac:dyDescent="0.25">
      <c r="A22" t="s">
        <v>30</v>
      </c>
      <c r="B22" t="s">
        <v>31</v>
      </c>
      <c r="C22" t="s">
        <v>54</v>
      </c>
      <c r="D22" t="str">
        <f>_xlfn.XLOOKUP(C22,'[5]Country Codes'!$A$2:$A$267,'[5]Country Codes'!$B$2:$B$267)</f>
        <v>BLZ</v>
      </c>
      <c r="E22" t="str">
        <f>_xlfn.XLOOKUP(D22,[6]Feuil1!$C$2:$C$248,[6]Feuil1!$B$2:$B$248)</f>
        <v>BZ</v>
      </c>
      <c r="F22" t="s">
        <v>33</v>
      </c>
      <c r="G22" t="str">
        <f>_xlfn.XLOOKUP(C22,'Urban population'!C22:C221,'Urban population'!G22:G221)</f>
        <v>Central America</v>
      </c>
      <c r="H22" t="s">
        <v>34</v>
      </c>
      <c r="I22">
        <f>[1]data!F23-'Urban population'!I22</f>
        <v>3.0465285000000009E-2</v>
      </c>
      <c r="J22">
        <f>[1]data!G23-'Urban population'!J22</f>
        <v>3.5736716999999994E-2</v>
      </c>
      <c r="K22">
        <f>[1]data!H23-'Urban population'!K22</f>
        <v>4.1502579999999997E-2</v>
      </c>
      <c r="L22">
        <f>[1]data!I23-'Urban population'!L22</f>
        <v>4.9050399999999994E-2</v>
      </c>
      <c r="M22">
        <f>[1]data!J23-'Urban population'!M22</f>
        <v>5.8677009999999995E-2</v>
      </c>
      <c r="N22">
        <f>[1]data!K23-'Urban population'!N22</f>
        <v>6.4479545999999999E-2</v>
      </c>
      <c r="O22">
        <f>[1]data!L23-'Urban population'!O22</f>
        <v>7.2524980000000003E-2</v>
      </c>
      <c r="P22">
        <f>[1]data!M23-'Urban population'!P22</f>
        <v>8.3365992000000014E-2</v>
      </c>
      <c r="Q22">
        <f>[1]data!N23-'Urban population'!Q22</f>
        <v>9.4837050000000006E-2</v>
      </c>
      <c r="R22">
        <f>[1]data!O23-'Urban population'!R22</f>
        <v>0.107570912</v>
      </c>
      <c r="S22">
        <f>[1]data!P23-'Urban population'!S22</f>
        <v>0.12919834200000002</v>
      </c>
      <c r="T22">
        <f>[1]data!Q23-'Urban population'!T22</f>
        <v>0.15109288700000001</v>
      </c>
      <c r="U22">
        <f>[1]data!R23-'Urban population'!U22</f>
        <v>0.17449142000000001</v>
      </c>
      <c r="V22">
        <f>[1]data!S23-'Urban population'!V22</f>
        <v>0.19445025600000002</v>
      </c>
      <c r="W22">
        <f>[1]data!T23-'Urban population'!W22</f>
        <v>0.21190895999999998</v>
      </c>
      <c r="X22">
        <f>[1]data!U23-'Urban population'!X22</f>
        <v>0.21708884871999998</v>
      </c>
      <c r="Y22">
        <f>[1]data!V23-'Urban population'!Y22</f>
        <v>0.22087034965999999</v>
      </c>
      <c r="Z22">
        <f>[1]data!W23-'Urban population'!Z22</f>
        <v>0.22217019240000002</v>
      </c>
      <c r="AA22">
        <f>[1]data!X23-'Urban population'!AA22</f>
        <v>0.22130139663999998</v>
      </c>
      <c r="AB22">
        <f>[1]data!Y23-'Urban population'!AB22</f>
        <v>0.21893320351000001</v>
      </c>
      <c r="AC22">
        <f>[1]data!Z23-'Urban population'!AC22</f>
        <v>0.21548371494000002</v>
      </c>
      <c r="AD22">
        <f>[1]data!AA23-'Urban population'!AD22</f>
        <v>0.21112177191000003</v>
      </c>
      <c r="AE22">
        <f>[1]data!AB23-'Urban population'!AE22</f>
        <v>0.20599483049999995</v>
      </c>
      <c r="AF22">
        <f>[1]data!AC23-'Urban population'!AF22</f>
        <v>0.20003624184999991</v>
      </c>
      <c r="AG22">
        <f>[1]data!AD23-'Urban population'!AG22</f>
        <v>0.19335029515999969</v>
      </c>
      <c r="AH22">
        <f>[1]data!AE23-'Urban population'!AH22</f>
        <v>0.18600618497999993</v>
      </c>
      <c r="AI22">
        <f>[1]data!AF23-'Urban population'!AI22</f>
        <v>0.17827796987</v>
      </c>
      <c r="AJ22">
        <f>[1]data!AG23-'Urban population'!AJ22</f>
        <v>0.17031122339999971</v>
      </c>
      <c r="AK22">
        <f>[1]data!AH23-'Urban population'!AK22</f>
        <v>0.16225146353000031</v>
      </c>
      <c r="AL22">
        <f>[1]data!AI23-'Urban population'!AL22</f>
        <v>0.15424358160000001</v>
      </c>
      <c r="AM22">
        <f>[1]data!AJ23-'Urban population'!AM22</f>
        <v>0.14634422152999998</v>
      </c>
    </row>
    <row r="23" spans="1:39" x14ac:dyDescent="0.25">
      <c r="A23" t="s">
        <v>30</v>
      </c>
      <c r="B23" t="s">
        <v>31</v>
      </c>
      <c r="C23" t="s">
        <v>55</v>
      </c>
      <c r="D23" t="str">
        <f>_xlfn.XLOOKUP(C23,'[5]Country Codes'!$A$2:$A$267,'[5]Country Codes'!$B$2:$B$267)</f>
        <v>BOL</v>
      </c>
      <c r="E23" t="str">
        <f>_xlfn.XLOOKUP(D23,[6]Feuil1!$C$2:$C$248,[6]Feuil1!$B$2:$B$248)</f>
        <v>BO</v>
      </c>
      <c r="F23" t="s">
        <v>33</v>
      </c>
      <c r="G23" t="str">
        <f>_xlfn.XLOOKUP(C23,'Urban population'!C23:C222,'Urban population'!G23:G222)</f>
        <v>Rest of South America</v>
      </c>
      <c r="H23" t="s">
        <v>34</v>
      </c>
      <c r="I23">
        <f>[1]data!F24-'Urban population'!I23</f>
        <v>2.0304096080000003</v>
      </c>
      <c r="J23">
        <f>[1]data!G24-'Urban population'!J23</f>
        <v>2.1525094760000001</v>
      </c>
      <c r="K23">
        <f>[1]data!H24-'Urban population'!K23</f>
        <v>2.3190709120000004</v>
      </c>
      <c r="L23">
        <f>[1]data!I24-'Urban population'!L23</f>
        <v>2.5123579810000001</v>
      </c>
      <c r="M23">
        <f>[1]data!J24-'Urban population'!M23</f>
        <v>2.7302096640000002</v>
      </c>
      <c r="N23">
        <f>[1]data!K24-'Urban population'!N23</f>
        <v>2.9762426200000003</v>
      </c>
      <c r="O23">
        <f>[1]data!L24-'Urban population'!O23</f>
        <v>3.0917359499999999</v>
      </c>
      <c r="P23">
        <f>[1]data!M24-'Urban population'!P23</f>
        <v>3.1274763300000004</v>
      </c>
      <c r="Q23">
        <f>[1]data!N24-'Urban population'!Q23</f>
        <v>3.1178394840000001</v>
      </c>
      <c r="R23">
        <f>[1]data!O24-'Urban population'!R23</f>
        <v>3.1692419999999997</v>
      </c>
      <c r="S23">
        <f>[1]data!P24-'Urban population'!S23</f>
        <v>3.2530917540000006</v>
      </c>
      <c r="T23">
        <f>[1]data!Q24-'Urban population'!T23</f>
        <v>3.3280270699999965</v>
      </c>
      <c r="U23">
        <f>[1]data!R24-'Urban population'!U23</f>
        <v>3.4060451040000004</v>
      </c>
      <c r="V23">
        <f>[1]data!S24-'Urban population'!V23</f>
        <v>3.4771628799999998</v>
      </c>
      <c r="W23">
        <f>[1]data!T24-'Urban population'!W23</f>
        <v>3.5468432480000001</v>
      </c>
      <c r="X23">
        <f>[1]data!U24-'Urban population'!X23</f>
        <v>3.6038602738800005</v>
      </c>
      <c r="Y23">
        <f>[1]data!V24-'Urban population'!Y23</f>
        <v>3.6598247516499995</v>
      </c>
      <c r="Z23">
        <f>[1]data!W24-'Urban population'!Z23</f>
        <v>3.681952256999999</v>
      </c>
      <c r="AA23">
        <f>[1]data!X24-'Urban population'!AA23</f>
        <v>3.6650448090200012</v>
      </c>
      <c r="AB23">
        <f>[1]data!Y24-'Urban population'!AB23</f>
        <v>3.613993025760001</v>
      </c>
      <c r="AC23">
        <f>[1]data!Z24-'Urban population'!AC23</f>
        <v>3.527748002880001</v>
      </c>
      <c r="AD23">
        <f>[1]data!AA24-'Urban population'!AD23</f>
        <v>3.4097906393099997</v>
      </c>
      <c r="AE23">
        <f>[1]data!AB24-'Urban population'!AE23</f>
        <v>3.2688347743200001</v>
      </c>
      <c r="AF23">
        <f>[1]data!AC24-'Urban population'!AF23</f>
        <v>3.1136534400000002</v>
      </c>
      <c r="AG23">
        <f>[1]data!AD24-'Urban population'!AG23</f>
        <v>2.9481698219999988</v>
      </c>
      <c r="AH23">
        <f>[1]data!AE24-'Urban population'!AH23</f>
        <v>2.7762609737500021</v>
      </c>
      <c r="AI23">
        <f>[1]data!AF24-'Urban population'!AI23</f>
        <v>2.5985479414600015</v>
      </c>
      <c r="AJ23">
        <f>[1]data!AG24-'Urban population'!AJ23</f>
        <v>2.4194655975300012</v>
      </c>
      <c r="AK23">
        <f>[1]data!AH24-'Urban population'!AK23</f>
        <v>2.2424239976799996</v>
      </c>
      <c r="AL23">
        <f>[1]data!AI24-'Urban population'!AL23</f>
        <v>2.0701678023600003</v>
      </c>
      <c r="AM23">
        <f>[1]data!AJ24-'Urban population'!AM23</f>
        <v>1.904393755800001</v>
      </c>
    </row>
    <row r="24" spans="1:39" x14ac:dyDescent="0.25">
      <c r="A24" t="s">
        <v>30</v>
      </c>
      <c r="B24" t="s">
        <v>31</v>
      </c>
      <c r="C24" t="s">
        <v>56</v>
      </c>
      <c r="D24" t="str">
        <f>_xlfn.XLOOKUP(C24,'[5]Country Codes'!$A$2:$A$267,'[5]Country Codes'!$B$2:$B$267)</f>
        <v>BRA</v>
      </c>
      <c r="E24" t="str">
        <f>_xlfn.XLOOKUP(D24,[6]Feuil1!$C$2:$C$248,[6]Feuil1!$B$2:$B$248)</f>
        <v>BR</v>
      </c>
      <c r="F24" t="s">
        <v>33</v>
      </c>
      <c r="G24" t="str">
        <f>_xlfn.XLOOKUP(C24,'Urban population'!C24:C223,'Urban population'!G24:G223)</f>
        <v>Brazil</v>
      </c>
      <c r="H24" t="s">
        <v>34</v>
      </c>
      <c r="I24">
        <f>[1]data!F25-'Urban population'!I24</f>
        <v>33.910912199999999</v>
      </c>
      <c r="J24">
        <f>[1]data!G25-'Urban population'!J24</f>
        <v>36.369103155999994</v>
      </c>
      <c r="K24">
        <f>[1]data!H25-'Urban population'!K24</f>
        <v>38.795417583999999</v>
      </c>
      <c r="L24">
        <f>[1]data!I25-'Urban population'!L24</f>
        <v>40.886222789999998</v>
      </c>
      <c r="M24">
        <f>[1]data!J25-'Urban population'!M24</f>
        <v>41.972838264000011</v>
      </c>
      <c r="N24">
        <f>[1]data!K25-'Urban population'!N24</f>
        <v>42.108794056000008</v>
      </c>
      <c r="O24">
        <f>[1]data!L25-'Urban population'!O24</f>
        <v>41.694368835000006</v>
      </c>
      <c r="P24">
        <f>[1]data!M25-'Urban population'!P24</f>
        <v>40.737461001999989</v>
      </c>
      <c r="Q24">
        <f>[1]data!N25-'Urban population'!Q24</f>
        <v>38.985740432999989</v>
      </c>
      <c r="R24">
        <f>[1]data!O25-'Urban population'!R24</f>
        <v>36.344027552000014</v>
      </c>
      <c r="S24">
        <f>[1]data!P25-'Urban population'!S24</f>
        <v>32.842219327999999</v>
      </c>
      <c r="T24">
        <f>[1]data!Q25-'Urban population'!T24</f>
        <v>31.952426412000023</v>
      </c>
      <c r="U24">
        <f>[1]data!R25-'Urban population'!U24</f>
        <v>30.682941749999998</v>
      </c>
      <c r="V24">
        <f>[1]data!S25-'Urban population'!V24</f>
        <v>29.015543019999996</v>
      </c>
      <c r="W24">
        <f>[1]data!T25-'Urban population'!W24</f>
        <v>27.420877001999997</v>
      </c>
      <c r="X24">
        <f>[1]data!U25-'Urban population'!X24</f>
        <v>26.553436119549986</v>
      </c>
      <c r="Y24">
        <f>[1]data!V25-'Urban population'!Y24</f>
        <v>25.597598746919999</v>
      </c>
      <c r="Z24">
        <f>[1]data!W25-'Urban population'!Z24</f>
        <v>24.468892920119998</v>
      </c>
      <c r="AA24">
        <f>[1]data!X25-'Urban population'!AA24</f>
        <v>23.192349427079989</v>
      </c>
      <c r="AB24">
        <f>[1]data!Y25-'Urban population'!AB24</f>
        <v>21.80365216638998</v>
      </c>
      <c r="AC24">
        <f>[1]data!Z25-'Urban population'!AC24</f>
        <v>20.332343361749992</v>
      </c>
      <c r="AD24">
        <f>[1]data!AA25-'Urban population'!AD24</f>
        <v>18.827327076750009</v>
      </c>
      <c r="AE24">
        <f>[1]data!AB25-'Urban population'!AE24</f>
        <v>17.318909615280006</v>
      </c>
      <c r="AF24">
        <f>[1]data!AC25-'Urban population'!AF24</f>
        <v>15.830250847600013</v>
      </c>
      <c r="AG24">
        <f>[1]data!AD25-'Urban population'!AG24</f>
        <v>14.382525055859986</v>
      </c>
      <c r="AH24">
        <f>[1]data!AE25-'Urban population'!AH24</f>
        <v>12.994161497760018</v>
      </c>
      <c r="AI24">
        <f>[1]data!AF25-'Urban population'!AI24</f>
        <v>11.677198771759976</v>
      </c>
      <c r="AJ24">
        <f>[1]data!AG25-'Urban population'!AJ24</f>
        <v>10.455801288499998</v>
      </c>
      <c r="AK24">
        <f>[1]data!AH25-'Urban population'!AK24</f>
        <v>9.3328573337500131</v>
      </c>
      <c r="AL24">
        <f>[1]data!AI25-'Urban population'!AL24</f>
        <v>8.3136956975099849</v>
      </c>
      <c r="AM24">
        <f>[1]data!AJ25-'Urban population'!AM24</f>
        <v>7.3951141215100051</v>
      </c>
    </row>
    <row r="25" spans="1:39" x14ac:dyDescent="0.25">
      <c r="A25" t="s">
        <v>30</v>
      </c>
      <c r="B25" t="s">
        <v>31</v>
      </c>
      <c r="C25" t="s">
        <v>57</v>
      </c>
      <c r="D25" t="str">
        <f>_xlfn.XLOOKUP(C25,'[5]Country Codes'!$A$2:$A$267,'[5]Country Codes'!$B$2:$B$267)</f>
        <v>BRB</v>
      </c>
      <c r="E25" t="str">
        <f>_xlfn.XLOOKUP(D25,[6]Feuil1!$C$2:$C$248,[6]Feuil1!$B$2:$B$248)</f>
        <v>BB</v>
      </c>
      <c r="F25" t="s">
        <v>33</v>
      </c>
      <c r="G25" t="str">
        <f>_xlfn.XLOOKUP(C25,'Urban population'!C25:C224,'Urban population'!G25:G224)</f>
        <v>Central America</v>
      </c>
      <c r="H25" t="s">
        <v>34</v>
      </c>
      <c r="I25">
        <f>[1]data!F26-'Urban population'!I25</f>
        <v>0.132842349</v>
      </c>
      <c r="J25">
        <f>[1]data!G26-'Urban population'!J25</f>
        <v>0.14401584000000001</v>
      </c>
      <c r="K25">
        <f>[1]data!H26-'Urban population'!K25</f>
        <v>0.146618944</v>
      </c>
      <c r="L25">
        <f>[1]data!I26-'Urban population'!L25</f>
        <v>0.14925415200000003</v>
      </c>
      <c r="M25">
        <f>[1]data!J26-'Urban population'!M25</f>
        <v>0.15036278400000003</v>
      </c>
      <c r="N25">
        <f>[1]data!K26-'Urban population'!N25</f>
        <v>0.15058828199999999</v>
      </c>
      <c r="O25">
        <f>[1]data!L26-'Urban population'!O25</f>
        <v>0.15153262399999998</v>
      </c>
      <c r="P25">
        <f>[1]data!M26-'Urban population'!P25</f>
        <v>0.15793209399999997</v>
      </c>
      <c r="Q25">
        <f>[1]data!N26-'Urban population'!Q25</f>
        <v>0.16197562199999999</v>
      </c>
      <c r="R25">
        <f>[1]data!O26-'Urban population'!R25</f>
        <v>0.16875504799999999</v>
      </c>
      <c r="S25">
        <f>[1]data!P26-'Urban population'!S25</f>
        <v>0.17508774600000004</v>
      </c>
      <c r="T25">
        <f>[1]data!Q26-'Urban population'!T25</f>
        <v>0.18076800000000004</v>
      </c>
      <c r="U25">
        <f>[1]data!R26-'Urban population'!U25</f>
        <v>0.18680034300000001</v>
      </c>
      <c r="V25">
        <f>[1]data!S26-'Urban population'!V25</f>
        <v>0.19112433600000001</v>
      </c>
      <c r="W25">
        <f>[1]data!T26-'Urban population'!W25</f>
        <v>0.192933088</v>
      </c>
      <c r="X25">
        <f>[1]data!U26-'Urban population'!X25</f>
        <v>0.1860716865</v>
      </c>
      <c r="Y25">
        <f>[1]data!V26-'Urban population'!Y25</f>
        <v>0.17864693757</v>
      </c>
      <c r="Z25">
        <f>[1]data!W26-'Urban population'!Z25</f>
        <v>0.17061093614</v>
      </c>
      <c r="AA25">
        <f>[1]data!X26-'Urban population'!AA25</f>
        <v>0.16204729589999944</v>
      </c>
      <c r="AB25">
        <f>[1]data!Y26-'Urban population'!AB25</f>
        <v>0.15326315289</v>
      </c>
      <c r="AC25">
        <f>[1]data!Z26-'Urban population'!AC25</f>
        <v>0.14449035423000001</v>
      </c>
      <c r="AD25">
        <f>[1]data!AA26-'Urban population'!AD25</f>
        <v>0.13607828652000001</v>
      </c>
      <c r="AE25">
        <f>[1]data!AB26-'Urban population'!AE25</f>
        <v>0.12824903991</v>
      </c>
      <c r="AF25">
        <f>[1]data!AC26-'Urban population'!AF25</f>
        <v>0.12089056479999996</v>
      </c>
      <c r="AG25">
        <f>[1]data!AD26-'Urban population'!AG25</f>
        <v>0.11396887040000003</v>
      </c>
      <c r="AH25">
        <f>[1]data!AE26-'Urban population'!AH25</f>
        <v>0.10744998853999999</v>
      </c>
      <c r="AI25">
        <f>[1]data!AF26-'Urban population'!AI25</f>
        <v>0.10129224824000002</v>
      </c>
      <c r="AJ25">
        <f>[1]data!AG26-'Urban population'!AJ25</f>
        <v>9.5414751680000021E-2</v>
      </c>
      <c r="AK25">
        <f>[1]data!AH26-'Urban population'!AK25</f>
        <v>8.9838542640000019E-2</v>
      </c>
      <c r="AL25">
        <f>[1]data!AI26-'Urban population'!AL25</f>
        <v>8.4552537300000008E-2</v>
      </c>
      <c r="AM25">
        <f>[1]data!AJ26-'Urban population'!AM25</f>
        <v>7.94853066E-2</v>
      </c>
    </row>
    <row r="26" spans="1:39" x14ac:dyDescent="0.25">
      <c r="A26" t="s">
        <v>30</v>
      </c>
      <c r="B26" t="s">
        <v>31</v>
      </c>
      <c r="C26" t="s">
        <v>58</v>
      </c>
      <c r="D26" t="str">
        <f>_xlfn.XLOOKUP(C26,'[5]Country Codes'!$A$2:$A$267,'[5]Country Codes'!$B$2:$B$267)</f>
        <v>BRN</v>
      </c>
      <c r="E26" t="str">
        <f>_xlfn.XLOOKUP(D26,[6]Feuil1!$C$2:$C$248,[6]Feuil1!$B$2:$B$248)</f>
        <v>BN</v>
      </c>
      <c r="F26" t="s">
        <v>33</v>
      </c>
      <c r="G26" t="str">
        <f>_xlfn.XLOOKUP(C26,'Urban population'!C26:C225,'Urban population'!G26:G225)</f>
        <v>Southeastern Asia</v>
      </c>
      <c r="H26" t="s">
        <v>34</v>
      </c>
      <c r="I26">
        <f>[1]data!F27-'Urban population'!I26</f>
        <v>3.4300787999999999E-2</v>
      </c>
      <c r="J26">
        <f>[1]data!G27-'Urban population'!J26</f>
        <v>4.0786055999999994E-2</v>
      </c>
      <c r="K26">
        <f>[1]data!H27-'Urban population'!K26</f>
        <v>4.7108746E-2</v>
      </c>
      <c r="L26">
        <f>[1]data!I27-'Urban population'!L26</f>
        <v>4.9896084E-2</v>
      </c>
      <c r="M26">
        <f>[1]data!J27-'Urban population'!M26</f>
        <v>5.0044312000000007E-2</v>
      </c>
      <c r="N26">
        <f>[1]data!K27-'Urban population'!N26</f>
        <v>5.6191680000000008E-2</v>
      </c>
      <c r="O26">
        <f>[1]data!L27-'Urban population'!O26</f>
        <v>6.4895687999999993E-2</v>
      </c>
      <c r="P26">
        <f>[1]data!M27-'Urban population'!P26</f>
        <v>7.4888219000000006E-2</v>
      </c>
      <c r="Q26">
        <f>[1]data!N27-'Urban population'!Q26</f>
        <v>8.6648351999999984E-2</v>
      </c>
      <c r="R26">
        <f>[1]data!O27-'Urban population'!R26</f>
        <v>9.2796106000000017E-2</v>
      </c>
      <c r="S26">
        <f>[1]data!P27-'Urban population'!S26</f>
        <v>9.5180255999999991E-2</v>
      </c>
      <c r="T26">
        <f>[1]data!Q27-'Urban population'!T26</f>
        <v>9.745203600000002E-2</v>
      </c>
      <c r="U26">
        <f>[1]data!R27-'Urban population'!U26</f>
        <v>9.8293750000000013E-2</v>
      </c>
      <c r="V26">
        <f>[1]data!S27-'Urban population'!V26</f>
        <v>9.7648669000000021E-2</v>
      </c>
      <c r="W26">
        <f>[1]data!T27-'Urban population'!W26</f>
        <v>9.5456998000000015E-2</v>
      </c>
      <c r="X26">
        <f>[1]data!U27-'Urban population'!X26</f>
        <v>9.3699111420000036E-2</v>
      </c>
      <c r="Y26">
        <f>[1]data!V27-'Urban population'!Y26</f>
        <v>9.1291202219999978E-2</v>
      </c>
      <c r="Z26">
        <f>[1]data!W27-'Urban population'!Z26</f>
        <v>8.8366961339999994E-2</v>
      </c>
      <c r="AA26">
        <f>[1]data!X27-'Urban population'!AA26</f>
        <v>8.5076571349999963E-2</v>
      </c>
      <c r="AB26">
        <f>[1]data!Y27-'Urban population'!AB26</f>
        <v>8.1503968699999985E-2</v>
      </c>
      <c r="AC26">
        <f>[1]data!Z27-'Urban population'!AC26</f>
        <v>7.769532094999998E-2</v>
      </c>
      <c r="AD26">
        <f>[1]data!AA27-'Urban population'!AD26</f>
        <v>7.368408432000001E-2</v>
      </c>
      <c r="AE26">
        <f>[1]data!AB27-'Urban population'!AE26</f>
        <v>6.9568586170000002E-2</v>
      </c>
      <c r="AF26">
        <f>[1]data!AC27-'Urban population'!AF26</f>
        <v>6.5373460249999904E-2</v>
      </c>
      <c r="AG26">
        <f>[1]data!AD27-'Urban population'!AG26</f>
        <v>6.1222087359999955E-2</v>
      </c>
      <c r="AH26">
        <f>[1]data!AE27-'Urban population'!AH26</f>
        <v>5.7205712849999868E-2</v>
      </c>
      <c r="AI26">
        <f>[1]data!AF27-'Urban population'!AI26</f>
        <v>5.3367535200000038E-2</v>
      </c>
      <c r="AJ26">
        <f>[1]data!AG27-'Urban population'!AJ26</f>
        <v>4.9728160240000041E-2</v>
      </c>
      <c r="AK26">
        <f>[1]data!AH27-'Urban population'!AK26</f>
        <v>4.629932320000002E-2</v>
      </c>
      <c r="AL26">
        <f>[1]data!AI27-'Urban population'!AL26</f>
        <v>4.307525348000002E-2</v>
      </c>
      <c r="AM26">
        <f>[1]data!AJ27-'Urban population'!AM26</f>
        <v>4.0021481569999962E-2</v>
      </c>
    </row>
    <row r="27" spans="1:39" x14ac:dyDescent="0.25">
      <c r="A27" t="s">
        <v>30</v>
      </c>
      <c r="B27" t="s">
        <v>31</v>
      </c>
      <c r="C27" t="s">
        <v>59</v>
      </c>
      <c r="D27" t="str">
        <f>_xlfn.XLOOKUP(C27,'[5]Country Codes'!$A$2:$A$267,'[5]Country Codes'!$B$2:$B$267)</f>
        <v>BTN</v>
      </c>
      <c r="E27" t="str">
        <f>_xlfn.XLOOKUP(D27,[6]Feuil1!$C$2:$C$248,[6]Feuil1!$B$2:$B$248)</f>
        <v>BT</v>
      </c>
      <c r="F27" t="s">
        <v>33</v>
      </c>
      <c r="G27" t="str">
        <f>_xlfn.XLOOKUP(C27,'Urban population'!C27:C226,'Urban population'!G27:G226)</f>
        <v>Rest of South Asia</v>
      </c>
      <c r="H27" t="s">
        <v>34</v>
      </c>
      <c r="I27">
        <f>[1]data!F28-'Urban population'!I27</f>
        <v>0.17104206900000002</v>
      </c>
      <c r="J27">
        <f>[1]data!G28-'Urban population'!J27</f>
        <v>0.188335692</v>
      </c>
      <c r="K27">
        <f>[1]data!H28-'Urban population'!K27</f>
        <v>0.21058676400000001</v>
      </c>
      <c r="L27">
        <f>[1]data!I28-'Urban population'!L27</f>
        <v>0.23932307800000002</v>
      </c>
      <c r="M27">
        <f>[1]data!J28-'Urban population'!M27</f>
        <v>0.276074451</v>
      </c>
      <c r="N27">
        <f>[1]data!K28-'Urban population'!N27</f>
        <v>0.31908044999999996</v>
      </c>
      <c r="O27">
        <f>[1]data!L28-'Urban population'!O27</f>
        <v>0.36733769300000008</v>
      </c>
      <c r="P27">
        <f>[1]data!M28-'Urban population'!P27</f>
        <v>0.415721332</v>
      </c>
      <c r="Q27">
        <f>[1]data!N28-'Urban population'!Q27</f>
        <v>0.46133155199999998</v>
      </c>
      <c r="R27">
        <f>[1]data!O28-'Urban population'!R27</f>
        <v>0.41527858500000003</v>
      </c>
      <c r="S27">
        <f>[1]data!P28-'Urban population'!S27</f>
        <v>0.43204291599999994</v>
      </c>
      <c r="T27">
        <f>[1]data!Q28-'Urban population'!T27</f>
        <v>0.45376055999999998</v>
      </c>
      <c r="U27">
        <f>[1]data!R28-'Urban population'!U27</f>
        <v>0.45745037199999999</v>
      </c>
      <c r="V27">
        <f>[1]data!S28-'Urban population'!V27</f>
        <v>0.45361325699999999</v>
      </c>
      <c r="W27">
        <f>[1]data!T28-'Urban population'!W27</f>
        <v>0.44428826899999946</v>
      </c>
      <c r="X27">
        <f>[1]data!U28-'Urban population'!X27</f>
        <v>0.43524039680000004</v>
      </c>
      <c r="Y27">
        <f>[1]data!V28-'Urban population'!Y27</f>
        <v>0.42363593748</v>
      </c>
      <c r="Z27">
        <f>[1]data!W28-'Urban population'!Z27</f>
        <v>0.40936785317999952</v>
      </c>
      <c r="AA27">
        <f>[1]data!X28-'Urban population'!AA27</f>
        <v>0.39249967149000003</v>
      </c>
      <c r="AB27">
        <f>[1]data!Y28-'Urban population'!AB27</f>
        <v>0.37334791899999997</v>
      </c>
      <c r="AC27">
        <f>[1]data!Z28-'Urban population'!AC27</f>
        <v>0.35246308188000008</v>
      </c>
      <c r="AD27">
        <f>[1]data!AA28-'Urban population'!AD27</f>
        <v>0.33054824206</v>
      </c>
      <c r="AE27">
        <f>[1]data!AB28-'Urban population'!AE27</f>
        <v>0.30814852049999997</v>
      </c>
      <c r="AF27">
        <f>[1]data!AC28-'Urban population'!AF27</f>
        <v>0.28542279999999998</v>
      </c>
      <c r="AG27">
        <f>[1]data!AD28-'Urban population'!AG27</f>
        <v>0.26261220283999998</v>
      </c>
      <c r="AH27">
        <f>[1]data!AE28-'Urban population'!AH27</f>
        <v>0.24009808184000003</v>
      </c>
      <c r="AI27">
        <f>[1]data!AF28-'Urban population'!AI27</f>
        <v>0.21835969920000031</v>
      </c>
      <c r="AJ27">
        <f>[1]data!AG28-'Urban population'!AJ27</f>
        <v>0.19780817732</v>
      </c>
      <c r="AK27">
        <f>[1]data!AH28-'Urban population'!AK27</f>
        <v>0.17888263967999973</v>
      </c>
      <c r="AL27">
        <f>[1]data!AI28-'Urban population'!AL27</f>
        <v>0.16164789435999993</v>
      </c>
      <c r="AM27">
        <f>[1]data!AJ28-'Urban population'!AM27</f>
        <v>0.14604833807999984</v>
      </c>
    </row>
    <row r="28" spans="1:39" x14ac:dyDescent="0.25">
      <c r="A28" t="s">
        <v>30</v>
      </c>
      <c r="B28" t="s">
        <v>31</v>
      </c>
      <c r="C28" t="s">
        <v>60</v>
      </c>
      <c r="D28" t="str">
        <f>_xlfn.XLOOKUP(C28,'[5]Country Codes'!$A$2:$A$267,'[5]Country Codes'!$B$2:$B$267)</f>
        <v>BWA</v>
      </c>
      <c r="E28" t="str">
        <f>_xlfn.XLOOKUP(D28,[6]Feuil1!$C$2:$C$248,[6]Feuil1!$B$2:$B$248)</f>
        <v>BW</v>
      </c>
      <c r="F28" t="s">
        <v>33</v>
      </c>
      <c r="G28" t="str">
        <f>_xlfn.XLOOKUP(C28,'Urban population'!C28:C227,'Urban population'!G28:G227)</f>
        <v>Rest of Southern Africa</v>
      </c>
      <c r="H28" t="s">
        <v>34</v>
      </c>
      <c r="I28">
        <f>[1]data!F29-'Urban population'!I28</f>
        <v>0.39779256299999999</v>
      </c>
      <c r="J28">
        <f>[1]data!G29-'Urban population'!J28</f>
        <v>0.443846042</v>
      </c>
      <c r="K28">
        <f>[1]data!H29-'Urban population'!K28</f>
        <v>0.49150005600000002</v>
      </c>
      <c r="L28">
        <f>[1]data!I29-'Urban population'!L28</f>
        <v>0.5474001260000001</v>
      </c>
      <c r="M28">
        <f>[1]data!J29-'Urban population'!M28</f>
        <v>0.54290033799999993</v>
      </c>
      <c r="N28">
        <f>[1]data!K29-'Urban population'!N28</f>
        <v>0.62483162999999997</v>
      </c>
      <c r="O28">
        <f>[1]data!L29-'Urban population'!O28</f>
        <v>0.76479987999999999</v>
      </c>
      <c r="P28">
        <f>[1]data!M29-'Urban population'!P28</f>
        <v>0.81997631399999993</v>
      </c>
      <c r="Q28">
        <f>[1]data!N29-'Urban population'!Q28</f>
        <v>0.76793326400000006</v>
      </c>
      <c r="R28">
        <f>[1]data!O29-'Urban population'!R28</f>
        <v>0.77723591999999997</v>
      </c>
      <c r="S28">
        <f>[1]data!P29-'Urban population'!S28</f>
        <v>0.79998141599999995</v>
      </c>
      <c r="T28">
        <f>[1]data!Q29-'Urban population'!T28</f>
        <v>0.82707389100000017</v>
      </c>
      <c r="U28">
        <f>[1]data!R29-'Urban population'!U28</f>
        <v>0.77834406399999989</v>
      </c>
      <c r="V28">
        <f>[1]data!S29-'Urban population'!V28</f>
        <v>0.74857373599999999</v>
      </c>
      <c r="W28">
        <f>[1]data!T29-'Urban population'!W28</f>
        <v>0.73435334099999983</v>
      </c>
      <c r="X28">
        <f>[1]data!U29-'Urban population'!X28</f>
        <v>0.73841207114999996</v>
      </c>
      <c r="Y28">
        <f>[1]data!V29-'Urban population'!Y28</f>
        <v>0.73597441899999971</v>
      </c>
      <c r="Z28">
        <f>[1]data!W29-'Urban population'!Z28</f>
        <v>0.72707598985999988</v>
      </c>
      <c r="AA28">
        <f>[1]data!X29-'Urban population'!AA28</f>
        <v>0.71195707137000008</v>
      </c>
      <c r="AB28">
        <f>[1]data!Y29-'Urban population'!AB28</f>
        <v>0.69134116272999968</v>
      </c>
      <c r="AC28">
        <f>[1]data!Z29-'Urban population'!AC28</f>
        <v>0.66472184961000025</v>
      </c>
      <c r="AD28">
        <f>[1]data!AA29-'Urban population'!AD28</f>
        <v>0.63317553339000021</v>
      </c>
      <c r="AE28">
        <f>[1]data!AB29-'Urban population'!AE28</f>
        <v>0.59912924143999957</v>
      </c>
      <c r="AF28">
        <f>[1]data!AC29-'Urban population'!AF28</f>
        <v>0.56379881331000004</v>
      </c>
      <c r="AG28">
        <f>[1]data!AD29-'Urban population'!AG28</f>
        <v>0.52805660171999991</v>
      </c>
      <c r="AH28">
        <f>[1]data!AE29-'Urban population'!AH28</f>
        <v>0.49265968000000004</v>
      </c>
      <c r="AI28">
        <f>[1]data!AF29-'Urban population'!AI28</f>
        <v>0.4575153637999998</v>
      </c>
      <c r="AJ28">
        <f>[1]data!AG29-'Urban population'!AJ28</f>
        <v>0.42339381479999982</v>
      </c>
      <c r="AK28">
        <f>[1]data!AH29-'Urban population'!AK28</f>
        <v>0.39017362548000056</v>
      </c>
      <c r="AL28">
        <f>[1]data!AI29-'Urban population'!AL28</f>
        <v>0.35844029199000049</v>
      </c>
      <c r="AM28">
        <f>[1]data!AJ29-'Urban population'!AM28</f>
        <v>0.32840596170000014</v>
      </c>
    </row>
    <row r="29" spans="1:39" x14ac:dyDescent="0.25">
      <c r="A29" t="s">
        <v>30</v>
      </c>
      <c r="B29" t="s">
        <v>31</v>
      </c>
      <c r="C29" t="s">
        <v>61</v>
      </c>
      <c r="D29" t="str">
        <f>_xlfn.XLOOKUP(C29,'[5]Country Codes'!$A$2:$A$267,'[5]Country Codes'!$B$2:$B$267)</f>
        <v>CAF</v>
      </c>
      <c r="E29" t="str">
        <f>_xlfn.XLOOKUP(D29,[6]Feuil1!$C$2:$C$248,[6]Feuil1!$B$2:$B$248)</f>
        <v>CF</v>
      </c>
      <c r="F29" t="s">
        <v>33</v>
      </c>
      <c r="G29" t="str">
        <f>_xlfn.XLOOKUP(C29,'Urban population'!C29:C228,'Urban population'!G29:G228)</f>
        <v>Western Africa</v>
      </c>
      <c r="H29" t="s">
        <v>34</v>
      </c>
      <c r="I29">
        <f>[1]data!F30-'Urban population'!I29</f>
        <v>1.2210968400000002</v>
      </c>
      <c r="J29">
        <f>[1]data!G30-'Urban population'!J29</f>
        <v>1.2715724270000002</v>
      </c>
      <c r="K29">
        <f>[1]data!H30-'Urban population'!K29</f>
        <v>1.330148034</v>
      </c>
      <c r="L29">
        <f>[1]data!I30-'Urban population'!L29</f>
        <v>1.3998933899999999</v>
      </c>
      <c r="M29">
        <f>[1]data!J30-'Urban population'!M29</f>
        <v>1.4825938249999999</v>
      </c>
      <c r="N29">
        <f>[1]data!K30-'Urban population'!N29</f>
        <v>1.5377077999999997</v>
      </c>
      <c r="O29">
        <f>[1]data!L30-'Urban population'!O29</f>
        <v>1.5881595819999998</v>
      </c>
      <c r="P29">
        <f>[1]data!M30-'Urban population'!P29</f>
        <v>1.6370235450000001</v>
      </c>
      <c r="Q29">
        <f>[1]data!N30-'Urban population'!Q29</f>
        <v>1.747988128</v>
      </c>
      <c r="R29">
        <f>[1]data!O30-'Urban population'!R29</f>
        <v>2.0330771519999997</v>
      </c>
      <c r="S29">
        <f>[1]data!P30-'Urban population'!S29</f>
        <v>2.3128092000000002</v>
      </c>
      <c r="T29">
        <f>[1]data!Q30-'Urban population'!T29</f>
        <v>2.5752003209999996</v>
      </c>
      <c r="U29">
        <f>[1]data!R30-'Urban population'!U29</f>
        <v>2.8194332270000002</v>
      </c>
      <c r="V29">
        <f>[1]data!S30-'Urban population'!V29</f>
        <v>2.854171032</v>
      </c>
      <c r="W29">
        <f>[1]data!T30-'Urban population'!W29</f>
        <v>3.047229872</v>
      </c>
      <c r="X29">
        <f>[1]data!U30-'Urban population'!X29</f>
        <v>3.3453788196500001</v>
      </c>
      <c r="Y29">
        <f>[1]data!V30-'Urban population'!Y29</f>
        <v>3.6588181666499948</v>
      </c>
      <c r="Z29">
        <f>[1]data!W30-'Urban population'!Z29</f>
        <v>3.9552741939600002</v>
      </c>
      <c r="AA29">
        <f>[1]data!X30-'Urban population'!AA29</f>
        <v>4.2147654422399992</v>
      </c>
      <c r="AB29">
        <f>[1]data!Y30-'Urban population'!AB29</f>
        <v>4.4316028541400012</v>
      </c>
      <c r="AC29">
        <f>[1]data!Z30-'Urban population'!AC29</f>
        <v>4.6101604170999995</v>
      </c>
      <c r="AD29">
        <f>[1]data!AA30-'Urban population'!AD29</f>
        <v>4.7445412306800012</v>
      </c>
      <c r="AE29">
        <f>[1]data!AB30-'Urban population'!AE29</f>
        <v>4.8350383063999995</v>
      </c>
      <c r="AF29">
        <f>[1]data!AC30-'Urban population'!AF29</f>
        <v>4.8872233881800007</v>
      </c>
      <c r="AG29">
        <f>[1]data!AD30-'Urban population'!AG29</f>
        <v>4.9025047097600005</v>
      </c>
      <c r="AH29">
        <f>[1]data!AE30-'Urban population'!AH29</f>
        <v>4.8820720096500008</v>
      </c>
      <c r="AI29">
        <f>[1]data!AF30-'Urban population'!AI29</f>
        <v>4.8277892000199998</v>
      </c>
      <c r="AJ29">
        <f>[1]data!AG30-'Urban population'!AJ29</f>
        <v>4.7445025719600018</v>
      </c>
      <c r="AK29">
        <f>[1]data!AH30-'Urban population'!AK29</f>
        <v>4.6316105595200003</v>
      </c>
      <c r="AL29">
        <f>[1]data!AI30-'Urban population'!AL29</f>
        <v>4.4959257506799997</v>
      </c>
      <c r="AM29">
        <f>[1]data!AJ30-'Urban population'!AM29</f>
        <v>4.3486013702700017</v>
      </c>
    </row>
    <row r="30" spans="1:39" x14ac:dyDescent="0.25">
      <c r="A30" t="s">
        <v>30</v>
      </c>
      <c r="B30" t="s">
        <v>31</v>
      </c>
      <c r="C30" t="s">
        <v>62</v>
      </c>
      <c r="D30" t="str">
        <f>_xlfn.XLOOKUP(C30,'[5]Country Codes'!$A$2:$A$267,'[5]Country Codes'!$B$2:$B$267)</f>
        <v>CAN</v>
      </c>
      <c r="E30" t="str">
        <f>_xlfn.XLOOKUP(D30,[6]Feuil1!$C$2:$C$248,[6]Feuil1!$B$2:$B$248)</f>
        <v>CA</v>
      </c>
      <c r="F30" t="s">
        <v>33</v>
      </c>
      <c r="G30" t="str">
        <f>_xlfn.XLOOKUP(C30,'Urban population'!C30:C229,'Urban population'!G30:G229)</f>
        <v>Canada</v>
      </c>
      <c r="H30" t="s">
        <v>34</v>
      </c>
      <c r="I30">
        <f>[1]data!F31-'Urban population'!I30</f>
        <v>5.3150940809999998</v>
      </c>
      <c r="J30">
        <f>[1]data!G31-'Urban population'!J30</f>
        <v>5.3288281059999996</v>
      </c>
      <c r="K30">
        <f>[1]data!H31-'Urban population'!K30</f>
        <v>5.475772623000001</v>
      </c>
      <c r="L30">
        <f>[1]data!I31-'Urban population'!L30</f>
        <v>5.2860522879999987</v>
      </c>
      <c r="M30">
        <f>[1]data!J31-'Urban population'!M30</f>
        <v>5.1471139770000001</v>
      </c>
      <c r="N30">
        <f>[1]data!K31-'Urban population'!N30</f>
        <v>5.6060232200000044</v>
      </c>
      <c r="O30">
        <f>[1]data!L31-'Urban population'!O30</f>
        <v>5.918570208000002</v>
      </c>
      <c r="P30">
        <f>[1]data!M31-'Urban population'!P30</f>
        <v>6.0701380639999982</v>
      </c>
      <c r="Q30">
        <f>[1]data!N31-'Urban population'!Q30</f>
        <v>6.4273336920000048</v>
      </c>
      <c r="R30">
        <f>[1]data!O31-'Urban population'!R30</f>
        <v>6.4975454249999984</v>
      </c>
      <c r="S30">
        <f>[1]data!P31-'Urban population'!S30</f>
        <v>6.2585694349999983</v>
      </c>
      <c r="T30">
        <f>[1]data!Q31-'Urban population'!T30</f>
        <v>6.3800844740000038</v>
      </c>
      <c r="U30">
        <f>[1]data!R31-'Urban population'!U30</f>
        <v>6.4525610219999976</v>
      </c>
      <c r="V30">
        <f>[1]data!S31-'Urban population'!V30</f>
        <v>6.6501523440000021</v>
      </c>
      <c r="W30">
        <f>[1]data!T31-'Urban population'!W30</f>
        <v>6.9475154240000023</v>
      </c>
      <c r="X30">
        <f>[1]data!U31-'Urban population'!X30</f>
        <v>6.7715020820700005</v>
      </c>
      <c r="Y30">
        <f>[1]data!V31-'Urban population'!Y30</f>
        <v>6.5609492853600031</v>
      </c>
      <c r="Z30">
        <f>[1]data!W31-'Urban population'!Z30</f>
        <v>6.3240497324199936</v>
      </c>
      <c r="AA30">
        <f>[1]data!X31-'Urban population'!AA30</f>
        <v>6.0624195472800011</v>
      </c>
      <c r="AB30">
        <f>[1]data!Y31-'Urban population'!AB30</f>
        <v>5.7849677362800023</v>
      </c>
      <c r="AC30">
        <f>[1]data!Z31-'Urban population'!AC30</f>
        <v>5.5024780820800032</v>
      </c>
      <c r="AD30">
        <f>[1]data!AA31-'Urban population'!AD30</f>
        <v>5.2013087958000028</v>
      </c>
      <c r="AE30">
        <f>[1]data!AB31-'Urban population'!AE30</f>
        <v>4.8947058521600013</v>
      </c>
      <c r="AF30">
        <f>[1]data!AC31-'Urban population'!AF30</f>
        <v>4.583986634380004</v>
      </c>
      <c r="AG30">
        <f>[1]data!AD31-'Urban population'!AG30</f>
        <v>4.2742647740500033</v>
      </c>
      <c r="AH30">
        <f>[1]data!AE31-'Urban population'!AH30</f>
        <v>3.9641467456800044</v>
      </c>
      <c r="AI30">
        <f>[1]data!AF31-'Urban population'!AI30</f>
        <v>3.6527423750999972</v>
      </c>
      <c r="AJ30">
        <f>[1]data!AG31-'Urban population'!AJ30</f>
        <v>3.3425623271999996</v>
      </c>
      <c r="AK30">
        <f>[1]data!AH31-'Urban population'!AK30</f>
        <v>3.0378892007500014</v>
      </c>
      <c r="AL30">
        <f>[1]data!AI31-'Urban population'!AL30</f>
        <v>2.7442759081800006</v>
      </c>
      <c r="AM30">
        <f>[1]data!AJ31-'Urban population'!AM30</f>
        <v>2.466536608440002</v>
      </c>
    </row>
    <row r="31" spans="1:39" x14ac:dyDescent="0.25">
      <c r="A31" t="s">
        <v>30</v>
      </c>
      <c r="B31" t="s">
        <v>31</v>
      </c>
      <c r="C31" t="s">
        <v>63</v>
      </c>
      <c r="D31" t="str">
        <f>_xlfn.XLOOKUP(C31,'[5]Country Codes'!$A$2:$A$267,'[5]Country Codes'!$B$2:$B$267)</f>
        <v>CHE</v>
      </c>
      <c r="E31" t="str">
        <f>_xlfn.XLOOKUP(D31,[6]Feuil1!$C$2:$C$248,[6]Feuil1!$B$2:$B$248)</f>
        <v>CH</v>
      </c>
      <c r="F31" t="s">
        <v>33</v>
      </c>
      <c r="G31" t="str">
        <f>_xlfn.XLOOKUP(C31,'Urban population'!C31:C230,'Urban population'!G31:G230)</f>
        <v>Western Europe</v>
      </c>
      <c r="H31" t="s">
        <v>34</v>
      </c>
      <c r="I31">
        <f>[1]data!F32-'Urban population'!I31</f>
        <v>1.5217966879999998</v>
      </c>
      <c r="J31">
        <f>[1]data!G32-'Urban population'!J31</f>
        <v>1.5359481540000002</v>
      </c>
      <c r="K31">
        <f>[1]data!H32-'Urban population'!K31</f>
        <v>1.5411511319999995</v>
      </c>
      <c r="L31">
        <f>[1]data!I32-'Urban population'!L31</f>
        <v>1.6090007879999995</v>
      </c>
      <c r="M31">
        <f>[1]data!J32-'Urban population'!M31</f>
        <v>1.61629896</v>
      </c>
      <c r="N31">
        <f>[1]data!K32-'Urban population'!N31</f>
        <v>1.6398415499999999</v>
      </c>
      <c r="O31">
        <f>[1]data!L32-'Urban population'!O31</f>
        <v>1.6073677650000002</v>
      </c>
      <c r="P31">
        <f>[1]data!M32-'Urban population'!P31</f>
        <v>1.6654937160000003</v>
      </c>
      <c r="Q31">
        <f>[1]data!N32-'Urban population'!Q31</f>
        <v>1.7416968479999992</v>
      </c>
      <c r="R31">
        <f>[1]data!O32-'Urban population'!R31</f>
        <v>1.8453718490000002</v>
      </c>
      <c r="S31">
        <f>[1]data!P32-'Urban population'!S31</f>
        <v>1.9052348419999996</v>
      </c>
      <c r="T31">
        <f>[1]data!Q32-'Urban population'!T31</f>
        <v>1.9627434350000001</v>
      </c>
      <c r="U31">
        <f>[1]data!R32-'Urban population'!U31</f>
        <v>2.0529461040000001</v>
      </c>
      <c r="V31">
        <f>[1]data!S32-'Urban population'!V31</f>
        <v>2.1663099600000004</v>
      </c>
      <c r="W31">
        <f>[1]data!T32-'Urban population'!W31</f>
        <v>2.2462771859999986</v>
      </c>
      <c r="X31">
        <f>[1]data!U32-'Urban population'!X31</f>
        <v>2.1354758360699995</v>
      </c>
      <c r="Y31">
        <f>[1]data!V32-'Urban population'!Y31</f>
        <v>2.0147074324000007</v>
      </c>
      <c r="Z31">
        <f>[1]data!W32-'Urban population'!Z31</f>
        <v>1.89945000168</v>
      </c>
      <c r="AA31">
        <f>[1]data!X32-'Urban population'!AA31</f>
        <v>1.7920106914500025</v>
      </c>
      <c r="AB31">
        <f>[1]data!Y32-'Urban population'!AB31</f>
        <v>1.6942561993599998</v>
      </c>
      <c r="AC31">
        <f>[1]data!Z32-'Urban population'!AC31</f>
        <v>1.6063800815200011</v>
      </c>
      <c r="AD31">
        <f>[1]data!AA32-'Urban population'!AD31</f>
        <v>1.5212883196800018</v>
      </c>
      <c r="AE31">
        <f>[1]data!AB32-'Urban population'!AE31</f>
        <v>1.4383703938500005</v>
      </c>
      <c r="AF31">
        <f>[1]data!AC32-'Urban population'!AF31</f>
        <v>1.3569041888999998</v>
      </c>
      <c r="AG31">
        <f>[1]data!AD32-'Urban population'!AG31</f>
        <v>1.2794669894999995</v>
      </c>
      <c r="AH31">
        <f>[1]data!AE32-'Urban population'!AH31</f>
        <v>1.2063521608200016</v>
      </c>
      <c r="AI31">
        <f>[1]data!AF32-'Urban population'!AI31</f>
        <v>1.1365189205100013</v>
      </c>
      <c r="AJ31">
        <f>[1]data!AG32-'Urban population'!AJ31</f>
        <v>1.0689606301500003</v>
      </c>
      <c r="AK31">
        <f>[1]data!AH32-'Urban population'!AK31</f>
        <v>1.0035525088699995</v>
      </c>
      <c r="AL31">
        <f>[1]data!AI32-'Urban population'!AL31</f>
        <v>0.94053448016000019</v>
      </c>
      <c r="AM31">
        <f>[1]data!AJ32-'Urban population'!AM31</f>
        <v>0.88020651356999835</v>
      </c>
    </row>
    <row r="32" spans="1:39" x14ac:dyDescent="0.25">
      <c r="A32" t="s">
        <v>30</v>
      </c>
      <c r="B32" t="s">
        <v>31</v>
      </c>
      <c r="C32" t="s">
        <v>64</v>
      </c>
      <c r="D32" t="str">
        <f>_xlfn.XLOOKUP(C32,'[5]Country Codes'!$A$2:$A$267,'[5]Country Codes'!$B$2:$B$267)</f>
        <v>CHL</v>
      </c>
      <c r="E32" t="str">
        <f>_xlfn.XLOOKUP(D32,[6]Feuil1!$C$2:$C$248,[6]Feuil1!$B$2:$B$248)</f>
        <v>CL</v>
      </c>
      <c r="F32" t="s">
        <v>33</v>
      </c>
      <c r="G32" t="str">
        <f>_xlfn.XLOOKUP(C32,'Urban population'!C32:C231,'Urban population'!G32:G231)</f>
        <v>Rest of South America</v>
      </c>
      <c r="H32" t="s">
        <v>34</v>
      </c>
      <c r="I32">
        <f>[1]data!F33-'Urban population'!I32</f>
        <v>2.7305799040000003</v>
      </c>
      <c r="J32">
        <f>[1]data!G33-'Urban population'!J32</f>
        <v>2.6594743080000001</v>
      </c>
      <c r="K32">
        <f>[1]data!H33-'Urban population'!K32</f>
        <v>2.5941550040000001</v>
      </c>
      <c r="L32">
        <f>[1]data!I33-'Urban population'!L32</f>
        <v>2.5216734810000023</v>
      </c>
      <c r="M32">
        <f>[1]data!J33-'Urban population'!M32</f>
        <v>2.4150728560000028</v>
      </c>
      <c r="N32">
        <f>[1]data!K33-'Urban population'!N32</f>
        <v>2.2799540880000002</v>
      </c>
      <c r="O32">
        <f>[1]data!L33-'Urban population'!O32</f>
        <v>2.1407308079999989</v>
      </c>
      <c r="P32">
        <f>[1]data!M33-'Urban population'!P32</f>
        <v>2.1288677280000012</v>
      </c>
      <c r="Q32">
        <f>[1]data!N33-'Urban population'!Q32</f>
        <v>2.2102353140000002</v>
      </c>
      <c r="R32">
        <f>[1]data!O33-'Urban population'!R32</f>
        <v>2.2189913150000002</v>
      </c>
      <c r="S32">
        <f>[1]data!P33-'Urban population'!S32</f>
        <v>2.1217611910000009</v>
      </c>
      <c r="T32">
        <f>[1]data!Q33-'Urban population'!T32</f>
        <v>2.1247325880000005</v>
      </c>
      <c r="U32">
        <f>[1]data!R33-'Urban population'!U32</f>
        <v>2.1826879980000005</v>
      </c>
      <c r="V32">
        <f>[1]data!S33-'Urban population'!V32</f>
        <v>2.2401571499999982</v>
      </c>
      <c r="W32">
        <f>[1]data!T33-'Urban population'!W32</f>
        <v>2.3624231159999987</v>
      </c>
      <c r="X32">
        <f>[1]data!U33-'Urban population'!X32</f>
        <v>2.2618032736700009</v>
      </c>
      <c r="Y32">
        <f>[1]data!V33-'Urban population'!Y32</f>
        <v>2.1470070541800013</v>
      </c>
      <c r="Z32">
        <f>[1]data!W33-'Urban population'!Z32</f>
        <v>2.0107695493500017</v>
      </c>
      <c r="AA32">
        <f>[1]data!X33-'Urban population'!AA32</f>
        <v>1.8561399400099994</v>
      </c>
      <c r="AB32">
        <f>[1]data!Y33-'Urban population'!AB32</f>
        <v>1.6883798406299988</v>
      </c>
      <c r="AC32">
        <f>[1]data!Z33-'Urban population'!AC32</f>
        <v>1.5151281698699997</v>
      </c>
      <c r="AD32">
        <f>[1]data!AA33-'Urban population'!AD32</f>
        <v>1.3407580920999997</v>
      </c>
      <c r="AE32">
        <f>[1]data!AB33-'Urban population'!AE32</f>
        <v>1.1698474503300034</v>
      </c>
      <c r="AF32">
        <f>[1]data!AC33-'Urban population'!AF32</f>
        <v>1.0070265800000016</v>
      </c>
      <c r="AG32">
        <f>[1]data!AD33-'Urban population'!AG32</f>
        <v>0.85647415623000001</v>
      </c>
      <c r="AH32">
        <f>[1]data!AE33-'Urban population'!AH32</f>
        <v>0.71974104831999952</v>
      </c>
      <c r="AI32">
        <f>[1]data!AF33-'Urban population'!AI32</f>
        <v>0.59817121142999952</v>
      </c>
      <c r="AJ32">
        <f>[1]data!AG33-'Urban population'!AJ32</f>
        <v>0.49197930960000136</v>
      </c>
      <c r="AK32">
        <f>[1]data!AH33-'Urban population'!AK32</f>
        <v>0.40093043135999906</v>
      </c>
      <c r="AL32">
        <f>[1]data!AI33-'Urban population'!AL32</f>
        <v>0.3244350635999993</v>
      </c>
      <c r="AM32">
        <f>[1]data!AJ33-'Urban population'!AM32</f>
        <v>0.26124673739999693</v>
      </c>
    </row>
    <row r="33" spans="1:39" x14ac:dyDescent="0.25">
      <c r="A33" t="s">
        <v>30</v>
      </c>
      <c r="B33" t="s">
        <v>31</v>
      </c>
      <c r="C33" t="s">
        <v>65</v>
      </c>
      <c r="D33" t="str">
        <f>_xlfn.XLOOKUP(C33,'[5]Country Codes'!$A$2:$A$267,'[5]Country Codes'!$B$2:$B$267)</f>
        <v>CHN</v>
      </c>
      <c r="E33" t="str">
        <f>_xlfn.XLOOKUP(D33,[6]Feuil1!$C$2:$C$248,[6]Feuil1!$B$2:$B$248)</f>
        <v>CN</v>
      </c>
      <c r="F33" t="s">
        <v>33</v>
      </c>
      <c r="G33" t="str">
        <f>_xlfn.XLOOKUP(C33,'Urban population'!C33:C232,'Urban population'!G33:G232)</f>
        <v>China region</v>
      </c>
      <c r="H33" t="s">
        <v>34</v>
      </c>
      <c r="I33">
        <f>[1]data!F34-'Urban population'!I33</f>
        <v>475.56558441000004</v>
      </c>
      <c r="J33">
        <f>[1]data!G34-'Urban population'!J33</f>
        <v>513.64175295299992</v>
      </c>
      <c r="K33">
        <f>[1]data!H34-'Urban population'!K33</f>
        <v>548.29615297599992</v>
      </c>
      <c r="L33">
        <f>[1]data!I34-'Urban population'!L33</f>
        <v>584.87984018099996</v>
      </c>
      <c r="M33">
        <f>[1]data!J34-'Urban population'!M33</f>
        <v>670.53621068000007</v>
      </c>
      <c r="N33">
        <f>[1]data!K34-'Urban population'!N33</f>
        <v>749.86163114800001</v>
      </c>
      <c r="O33">
        <f>[1]data!L34-'Urban population'!O33</f>
        <v>785.97686037000005</v>
      </c>
      <c r="P33">
        <f>[1]data!M34-'Urban population'!P33</f>
        <v>811.03451809500007</v>
      </c>
      <c r="Q33">
        <f>[1]data!N34-'Urban population'!Q33</f>
        <v>841.81250684799988</v>
      </c>
      <c r="R33">
        <f>[1]data!O34-'Urban population'!R33</f>
        <v>836.88594695999996</v>
      </c>
      <c r="S33">
        <f>[1]data!P34-'Urban population'!S33</f>
        <v>807.41010935500003</v>
      </c>
      <c r="T33">
        <f>[1]data!Q34-'Urban population'!T33</f>
        <v>747.98745625000004</v>
      </c>
      <c r="U33">
        <f>[1]data!R34-'Urban population'!U33</f>
        <v>682.59836962399993</v>
      </c>
      <c r="V33">
        <f>[1]data!S34-'Urban population'!V33</f>
        <v>618.45857697499991</v>
      </c>
      <c r="W33">
        <f>[1]data!T34-'Urban population'!W33</f>
        <v>549.66323456200007</v>
      </c>
      <c r="X33">
        <f>[1]data!U34-'Urban population'!X33</f>
        <v>523.37810334761991</v>
      </c>
      <c r="Y33">
        <f>[1]data!V34-'Urban population'!Y33</f>
        <v>493.96759823525997</v>
      </c>
      <c r="Z33">
        <f>[1]data!W34-'Urban population'!Z33</f>
        <v>463.76273730519017</v>
      </c>
      <c r="AA33">
        <f>[1]data!X34-'Urban population'!AA33</f>
        <v>433.55261514180006</v>
      </c>
      <c r="AB33">
        <f>[1]data!Y34-'Urban population'!AB33</f>
        <v>403.09955985978991</v>
      </c>
      <c r="AC33">
        <f>[1]data!Z34-'Urban population'!AC33</f>
        <v>372.12581494255983</v>
      </c>
      <c r="AD33">
        <f>[1]data!AA34-'Urban population'!AD33</f>
        <v>340.83277707726006</v>
      </c>
      <c r="AE33">
        <f>[1]data!AB34-'Urban population'!AE33</f>
        <v>310.24919763989988</v>
      </c>
      <c r="AF33">
        <f>[1]data!AC34-'Urban population'!AF33</f>
        <v>281.40089317803995</v>
      </c>
      <c r="AG33">
        <f>[1]data!AD34-'Urban population'!AG33</f>
        <v>255.02246599830016</v>
      </c>
      <c r="AH33">
        <f>[1]data!AE34-'Urban population'!AH33</f>
        <v>231.08162237579995</v>
      </c>
      <c r="AI33">
        <f>[1]data!AF34-'Urban population'!AI33</f>
        <v>209.10012287001996</v>
      </c>
      <c r="AJ33">
        <f>[1]data!AG34-'Urban population'!AJ33</f>
        <v>188.95477428827985</v>
      </c>
      <c r="AK33">
        <f>[1]data!AH34-'Urban population'!AK33</f>
        <v>170.85279450811015</v>
      </c>
      <c r="AL33">
        <f>[1]data!AI34-'Urban population'!AL33</f>
        <v>154.74352176696027</v>
      </c>
      <c r="AM33">
        <f>[1]data!AJ34-'Urban population'!AM33</f>
        <v>140.16580110444022</v>
      </c>
    </row>
    <row r="34" spans="1:39" x14ac:dyDescent="0.25">
      <c r="A34" t="s">
        <v>30</v>
      </c>
      <c r="B34" t="s">
        <v>31</v>
      </c>
      <c r="C34" t="s">
        <v>244</v>
      </c>
      <c r="D34" t="str">
        <f>_xlfn.XLOOKUP(C34,'[5]Country Codes'!$A$2:$A$267,'[5]Country Codes'!$B$2:$B$267)</f>
        <v>CIV</v>
      </c>
      <c r="E34" t="str">
        <f>_xlfn.XLOOKUP(D34,[6]Feuil1!$C$2:$C$248,[6]Feuil1!$B$2:$B$248)</f>
        <v>CI</v>
      </c>
      <c r="F34" t="s">
        <v>33</v>
      </c>
      <c r="G34" t="str">
        <f>_xlfn.XLOOKUP(C34,'Urban population'!C34:C233,'Urban population'!G34:G233)</f>
        <v>Western Africa</v>
      </c>
      <c r="H34" t="s">
        <v>34</v>
      </c>
      <c r="I34">
        <f>[1]data!F35-'Urban population'!I34</f>
        <v>2.4286626000000004</v>
      </c>
      <c r="J34">
        <f>[1]data!G35-'Urban population'!J34</f>
        <v>2.7003166960000002</v>
      </c>
      <c r="K34">
        <f>[1]data!H35-'Urban population'!K34</f>
        <v>2.9969907120000001</v>
      </c>
      <c r="L34">
        <f>[1]data!I35-'Urban population'!L34</f>
        <v>3.3261600500000004</v>
      </c>
      <c r="M34">
        <f>[1]data!J35-'Urban population'!M34</f>
        <v>3.8494414020000001</v>
      </c>
      <c r="N34">
        <f>[1]data!K35-'Urban population'!N34</f>
        <v>4.5413592600000001</v>
      </c>
      <c r="O34">
        <f>[1]data!L35-'Urban population'!O34</f>
        <v>5.1491037120000005</v>
      </c>
      <c r="P34">
        <f>[1]data!M35-'Urban population'!P34</f>
        <v>6.0808357259999992</v>
      </c>
      <c r="Q34">
        <f>[1]data!N35-'Urban population'!Q34</f>
        <v>7.0920429270000005</v>
      </c>
      <c r="R34">
        <f>[1]data!O35-'Urban population'!R34</f>
        <v>8.259684803999999</v>
      </c>
      <c r="S34">
        <f>[1]data!P35-'Urban population'!S34</f>
        <v>9.4147096239999986</v>
      </c>
      <c r="T34">
        <f>[1]data!Q35-'Urban population'!T34</f>
        <v>10.279333035999999</v>
      </c>
      <c r="U34">
        <f>[1]data!R35-'Urban population'!U34</f>
        <v>11.012420718000001</v>
      </c>
      <c r="V34">
        <f>[1]data!S35-'Urban population'!V34</f>
        <v>11.785661425999999</v>
      </c>
      <c r="W34">
        <f>[1]data!T35-'Urban population'!W34</f>
        <v>12.788667276</v>
      </c>
      <c r="X34">
        <f>[1]data!U35-'Urban population'!X34</f>
        <v>13.819197227380002</v>
      </c>
      <c r="Y34">
        <f>[1]data!V35-'Urban population'!Y34</f>
        <v>14.757086596560004</v>
      </c>
      <c r="Z34">
        <f>[1]data!W35-'Urban population'!Z34</f>
        <v>15.579421880400002</v>
      </c>
      <c r="AA34">
        <f>[1]data!X35-'Urban population'!AA34</f>
        <v>16.260486631999999</v>
      </c>
      <c r="AB34">
        <f>[1]data!Y35-'Urban population'!AB34</f>
        <v>16.789485965900003</v>
      </c>
      <c r="AC34">
        <f>[1]data!Z35-'Urban population'!AC34</f>
        <v>17.155207114110002</v>
      </c>
      <c r="AD34">
        <f>[1]data!AA35-'Urban population'!AD34</f>
        <v>17.36780439744</v>
      </c>
      <c r="AE34">
        <f>[1]data!AB35-'Urban population'!AE34</f>
        <v>17.422084352399999</v>
      </c>
      <c r="AF34">
        <f>[1]data!AC35-'Urban population'!AF34</f>
        <v>17.346223387350001</v>
      </c>
      <c r="AG34">
        <f>[1]data!AD35-'Urban population'!AG34</f>
        <v>17.151061299839974</v>
      </c>
      <c r="AH34">
        <f>[1]data!AE35-'Urban population'!AH34</f>
        <v>16.837837111380004</v>
      </c>
      <c r="AI34">
        <f>[1]data!AF35-'Urban population'!AI34</f>
        <v>16.416429702820004</v>
      </c>
      <c r="AJ34">
        <f>[1]data!AG35-'Urban population'!AJ34</f>
        <v>15.932014938720002</v>
      </c>
      <c r="AK34">
        <f>[1]data!AH35-'Urban population'!AK34</f>
        <v>15.409464186480001</v>
      </c>
      <c r="AL34">
        <f>[1]data!AI35-'Urban population'!AL34</f>
        <v>14.856425525600002</v>
      </c>
      <c r="AM34">
        <f>[1]data!AJ35-'Urban population'!AM34</f>
        <v>14.2750627709</v>
      </c>
    </row>
    <row r="35" spans="1:39" x14ac:dyDescent="0.25">
      <c r="A35" t="s">
        <v>30</v>
      </c>
      <c r="B35" t="s">
        <v>31</v>
      </c>
      <c r="C35" t="s">
        <v>67</v>
      </c>
      <c r="D35" t="str">
        <f>_xlfn.XLOOKUP(C35,'[5]Country Codes'!$A$2:$A$267,'[5]Country Codes'!$B$2:$B$267)</f>
        <v>CMR</v>
      </c>
      <c r="E35" t="str">
        <f>_xlfn.XLOOKUP(D35,[6]Feuil1!$C$2:$C$248,[6]Feuil1!$B$2:$B$248)</f>
        <v>CM</v>
      </c>
      <c r="F35" t="s">
        <v>33</v>
      </c>
      <c r="G35" t="str">
        <f>_xlfn.XLOOKUP(C35,'Urban population'!C35:C234,'Urban population'!G35:G234)</f>
        <v>Western Africa</v>
      </c>
      <c r="H35" t="s">
        <v>34</v>
      </c>
      <c r="I35">
        <f>[1]data!F36-'Urban population'!I35</f>
        <v>3.8847236289999998</v>
      </c>
      <c r="J35">
        <f>[1]data!G36-'Urban population'!J35</f>
        <v>4.1023687179999992</v>
      </c>
      <c r="K35">
        <f>[1]data!H36-'Urban population'!K35</f>
        <v>4.3720219619999998</v>
      </c>
      <c r="L35">
        <f>[1]data!I36-'Urban population'!L35</f>
        <v>4.6716676020000003</v>
      </c>
      <c r="M35">
        <f>[1]data!J36-'Urban population'!M35</f>
        <v>5.0749158310000002</v>
      </c>
      <c r="N35">
        <f>[1]data!K36-'Urban population'!N35</f>
        <v>5.3029590080000002</v>
      </c>
      <c r="O35">
        <f>[1]data!L36-'Urban population'!O35</f>
        <v>5.6920166010000006</v>
      </c>
      <c r="P35">
        <f>[1]data!M36-'Urban population'!P35</f>
        <v>6.1587007679999992</v>
      </c>
      <c r="Q35">
        <f>[1]data!N36-'Urban population'!Q35</f>
        <v>6.7880047680000004</v>
      </c>
      <c r="R35">
        <f>[1]data!O36-'Urban population'!R35</f>
        <v>7.479181542000001</v>
      </c>
      <c r="S35">
        <f>[1]data!P36-'Urban population'!S35</f>
        <v>8.1171351699999992</v>
      </c>
      <c r="T35">
        <f>[1]data!Q36-'Urban population'!T35</f>
        <v>8.776158774999999</v>
      </c>
      <c r="U35">
        <f>[1]data!R36-'Urban population'!U35</f>
        <v>9.4838391559999984</v>
      </c>
      <c r="V35">
        <f>[1]data!S36-'Urban population'!V35</f>
        <v>10.288755023999999</v>
      </c>
      <c r="W35">
        <f>[1]data!T36-'Urban population'!W35</f>
        <v>11.082139728</v>
      </c>
      <c r="X35">
        <f>[1]data!U36-'Urban population'!X35</f>
        <v>11.954729243300001</v>
      </c>
      <c r="Y35">
        <f>[1]data!V36-'Urban population'!Y35</f>
        <v>12.757493087749999</v>
      </c>
      <c r="Z35">
        <f>[1]data!W36-'Urban population'!Z35</f>
        <v>13.465264750079996</v>
      </c>
      <c r="AA35">
        <f>[1]data!X36-'Urban population'!AA35</f>
        <v>14.073315762999972</v>
      </c>
      <c r="AB35">
        <f>[1]data!Y36-'Urban population'!AB35</f>
        <v>14.581788303500002</v>
      </c>
      <c r="AC35">
        <f>[1]data!Z36-'Urban population'!AC35</f>
        <v>14.974006962239997</v>
      </c>
      <c r="AD35">
        <f>[1]data!AA36-'Urban population'!AD35</f>
        <v>15.246807717609975</v>
      </c>
      <c r="AE35">
        <f>[1]data!AB36-'Urban population'!AE35</f>
        <v>15.384126121799994</v>
      </c>
      <c r="AF35">
        <f>[1]data!AC36-'Urban population'!AF35</f>
        <v>15.402860152200006</v>
      </c>
      <c r="AG35">
        <f>[1]data!AD36-'Urban population'!AG35</f>
        <v>15.317906187720006</v>
      </c>
      <c r="AH35">
        <f>[1]data!AE36-'Urban population'!AH35</f>
        <v>15.105898019910001</v>
      </c>
      <c r="AI35">
        <f>[1]data!AF36-'Urban population'!AI35</f>
        <v>14.802621238599997</v>
      </c>
      <c r="AJ35">
        <f>[1]data!AG36-'Urban population'!AJ35</f>
        <v>14.412406852080004</v>
      </c>
      <c r="AK35">
        <f>[1]data!AH36-'Urban population'!AK35</f>
        <v>13.9638833514</v>
      </c>
      <c r="AL35">
        <f>[1]data!AI36-'Urban population'!AL35</f>
        <v>13.478366001840001</v>
      </c>
      <c r="AM35">
        <f>[1]data!AJ36-'Urban population'!AM35</f>
        <v>12.964739453580002</v>
      </c>
    </row>
    <row r="36" spans="1:39" x14ac:dyDescent="0.25">
      <c r="A36" t="s">
        <v>30</v>
      </c>
      <c r="B36" t="s">
        <v>31</v>
      </c>
      <c r="C36" t="s">
        <v>257</v>
      </c>
      <c r="D36" t="str">
        <f>_xlfn.XLOOKUP(C36,'[5]Country Codes'!$A$2:$A$267,'[5]Country Codes'!$B$2:$B$267)</f>
        <v>COD</v>
      </c>
      <c r="E36" t="str">
        <f>_xlfn.XLOOKUP(D36,[6]Feuil1!$C$2:$C$248,[6]Feuil1!$B$2:$B$248)</f>
        <v>CD</v>
      </c>
      <c r="F36" t="s">
        <v>33</v>
      </c>
      <c r="G36" t="s">
        <v>245</v>
      </c>
      <c r="H36" t="s">
        <v>34</v>
      </c>
      <c r="I36">
        <f>[1]data!F37-'Urban population'!I36</f>
        <v>9.848805641000002</v>
      </c>
      <c r="J36">
        <f>[1]data!G37-'Urban population'!J36</f>
        <v>10.698586626000001</v>
      </c>
      <c r="K36">
        <f>[1]data!H37-'Urban population'!K36</f>
        <v>11.718333269999999</v>
      </c>
      <c r="L36">
        <f>[1]data!I37-'Urban population'!L36</f>
        <v>13.169781316</v>
      </c>
      <c r="M36">
        <f>[1]data!J37-'Urban population'!M36</f>
        <v>14.978181348</v>
      </c>
      <c r="N36">
        <f>[1]data!K37-'Urban population'!N36</f>
        <v>16.879340254000002</v>
      </c>
      <c r="O36">
        <f>[1]data!L37-'Urban population'!O36</f>
        <v>19.198158867</v>
      </c>
      <c r="P36">
        <f>[1]data!M37-'Urban population'!P36</f>
        <v>21.703594055</v>
      </c>
      <c r="Q36">
        <f>[1]data!N37-'Urban population'!Q36</f>
        <v>24.548160365999998</v>
      </c>
      <c r="R36">
        <f>[1]data!O37-'Urban population'!R36</f>
        <v>28.721517888000005</v>
      </c>
      <c r="S36">
        <f>[1]data!P37-'Urban population'!S36</f>
        <v>31.088161115000002</v>
      </c>
      <c r="T36">
        <f>[1]data!Q37-'Urban population'!T36</f>
        <v>34.788601874999998</v>
      </c>
      <c r="U36">
        <f>[1]data!R37-'Urban population'!U36</f>
        <v>39.177197399999997</v>
      </c>
      <c r="V36">
        <f>[1]data!S37-'Urban population'!V36</f>
        <v>44.307523532999994</v>
      </c>
      <c r="W36">
        <f>[1]data!T37-'Urban population'!W36</f>
        <v>49.684583520000054</v>
      </c>
      <c r="X36">
        <f>[1]data!U37-'Urban population'!X36</f>
        <v>55.965415924990005</v>
      </c>
      <c r="Y36">
        <f>[1]data!V37-'Urban population'!Y36</f>
        <v>62.442597375549994</v>
      </c>
      <c r="Z36">
        <f>[1]data!W37-'Urban population'!Z36</f>
        <v>68.809843773840015</v>
      </c>
      <c r="AA36">
        <f>[1]data!X37-'Urban population'!AA36</f>
        <v>74.956547043900002</v>
      </c>
      <c r="AB36">
        <f>[1]data!Y37-'Urban population'!AB36</f>
        <v>80.725128491039996</v>
      </c>
      <c r="AC36">
        <f>[1]data!Z37-'Urban population'!AC36</f>
        <v>85.934199332640006</v>
      </c>
      <c r="AD36">
        <f>[1]data!AA37-'Urban population'!AD36</f>
        <v>90.426048375179988</v>
      </c>
      <c r="AE36">
        <f>[1]data!AB37-'Urban population'!AE36</f>
        <v>94.134675222119995</v>
      </c>
      <c r="AF36">
        <f>[1]data!AC37-'Urban population'!AF36</f>
        <v>96.977432810479996</v>
      </c>
      <c r="AG36">
        <f>[1]data!AD37-'Urban population'!AG36</f>
        <v>98.967519334679992</v>
      </c>
      <c r="AH36">
        <f>[1]data!AE37-'Urban population'!AH36</f>
        <v>100.11147574737998</v>
      </c>
      <c r="AI36">
        <f>[1]data!AF37-'Urban population'!AI36</f>
        <v>100.37402074479999</v>
      </c>
      <c r="AJ36">
        <f>[1]data!AG37-'Urban population'!AJ36</f>
        <v>99.807894639810002</v>
      </c>
      <c r="AK36">
        <f>[1]data!AH37-'Urban population'!AK36</f>
        <v>98.328566360319996</v>
      </c>
      <c r="AL36">
        <f>[1]data!AI37-'Urban population'!AL36</f>
        <v>96.080963310199991</v>
      </c>
      <c r="AM36">
        <f>[1]data!AJ37-'Urban population'!AM36</f>
        <v>93.183824310900036</v>
      </c>
    </row>
    <row r="37" spans="1:39" x14ac:dyDescent="0.25">
      <c r="A37" t="s">
        <v>30</v>
      </c>
      <c r="B37" t="s">
        <v>31</v>
      </c>
      <c r="C37" t="s">
        <v>258</v>
      </c>
      <c r="D37" t="str">
        <f>_xlfn.XLOOKUP(C37,'[5]Country Codes'!$A$2:$A$267,'[5]Country Codes'!$B$2:$B$267)</f>
        <v>COG</v>
      </c>
      <c r="E37" t="str">
        <f>_xlfn.XLOOKUP(D37,[6]Feuil1!$C$2:$C$248,[6]Feuil1!$B$2:$B$248)</f>
        <v>CG</v>
      </c>
      <c r="F37" t="s">
        <v>33</v>
      </c>
      <c r="G37" t="s">
        <v>245</v>
      </c>
      <c r="H37" t="s">
        <v>34</v>
      </c>
      <c r="I37">
        <f>[1]data!F38-'Urban population'!I37</f>
        <v>0.62050548900000002</v>
      </c>
      <c r="J37">
        <f>[1]data!G38-'Urban population'!J37</f>
        <v>0.66329691300000004</v>
      </c>
      <c r="K37">
        <f>[1]data!H38-'Urban population'!K37</f>
        <v>0.71279982000000008</v>
      </c>
      <c r="L37">
        <f>[1]data!I38-'Urban population'!L37</f>
        <v>0.77022309100000008</v>
      </c>
      <c r="M37">
        <f>[1]data!J38-'Urban population'!M37</f>
        <v>0.83792431800000011</v>
      </c>
      <c r="N37">
        <f>[1]data!K38-'Urban population'!N37</f>
        <v>0.90988077600000006</v>
      </c>
      <c r="O37">
        <f>[1]data!L38-'Urban population'!O37</f>
        <v>0.94232801100000008</v>
      </c>
      <c r="P37">
        <f>[1]data!M38-'Urban population'!P37</f>
        <v>0.97119466399999999</v>
      </c>
      <c r="Q37">
        <f>[1]data!N38-'Urban population'!Q37</f>
        <v>1.0751308880000001</v>
      </c>
      <c r="R37">
        <f>[1]data!O38-'Urban population'!R37</f>
        <v>1.1793616880000002</v>
      </c>
      <c r="S37">
        <f>[1]data!P38-'Urban population'!S37</f>
        <v>1.2619330639999997</v>
      </c>
      <c r="T37">
        <f>[1]data!Q38-'Urban population'!T37</f>
        <v>1.4053119600000001</v>
      </c>
      <c r="U37">
        <f>[1]data!R38-'Urban population'!U37</f>
        <v>1.6014345940000001</v>
      </c>
      <c r="V37">
        <f>[1]data!S38-'Urban population'!V37</f>
        <v>1.7263306649999999</v>
      </c>
      <c r="W37">
        <f>[1]data!T38-'Urban population'!W37</f>
        <v>1.8145627360000005</v>
      </c>
      <c r="X37">
        <f>[1]data!U38-'Urban population'!X37</f>
        <v>1.9388871239099998</v>
      </c>
      <c r="Y37">
        <f>[1]data!V38-'Urban population'!Y37</f>
        <v>2.0500264254900005</v>
      </c>
      <c r="Z37">
        <f>[1]data!W38-'Urban population'!Z37</f>
        <v>2.14664372952</v>
      </c>
      <c r="AA37">
        <f>[1]data!X38-'Urban population'!AA37</f>
        <v>2.2235980361400012</v>
      </c>
      <c r="AB37">
        <f>[1]data!Y38-'Urban population'!AB37</f>
        <v>2.2768877859999996</v>
      </c>
      <c r="AC37">
        <f>[1]data!Z38-'Urban population'!AC37</f>
        <v>2.3068190289200006</v>
      </c>
      <c r="AD37">
        <f>[1]data!AA38-'Urban population'!AD37</f>
        <v>2.311827537260001</v>
      </c>
      <c r="AE37">
        <f>[1]data!AB38-'Urban population'!AE37</f>
        <v>2.2930948340399997</v>
      </c>
      <c r="AF37">
        <f>[1]data!AC38-'Urban population'!AF37</f>
        <v>2.2559580093200005</v>
      </c>
      <c r="AG37">
        <f>[1]data!AD38-'Urban population'!AG37</f>
        <v>2.2001417092600004</v>
      </c>
      <c r="AH37">
        <f>[1]data!AE38-'Urban population'!AH37</f>
        <v>2.1256922137499998</v>
      </c>
      <c r="AI37">
        <f>[1]data!AF38-'Urban population'!AI37</f>
        <v>2.03670060376</v>
      </c>
      <c r="AJ37">
        <f>[1]data!AG38-'Urban population'!AJ37</f>
        <v>1.9388066540899995</v>
      </c>
      <c r="AK37">
        <f>[1]data!AH38-'Urban population'!AK37</f>
        <v>1.8346414730399996</v>
      </c>
      <c r="AL37">
        <f>[1]data!AI38-'Urban population'!AL37</f>
        <v>1.7262933854</v>
      </c>
      <c r="AM37">
        <f>[1]data!AJ38-'Urban population'!AM37</f>
        <v>1.6157858598000008</v>
      </c>
    </row>
    <row r="38" spans="1:39" x14ac:dyDescent="0.25">
      <c r="A38" t="s">
        <v>30</v>
      </c>
      <c r="B38" t="s">
        <v>31</v>
      </c>
      <c r="C38" t="s">
        <v>70</v>
      </c>
      <c r="D38" t="str">
        <f>_xlfn.XLOOKUP(C38,'[5]Country Codes'!$A$2:$A$267,'[5]Country Codes'!$B$2:$B$267)</f>
        <v>COL</v>
      </c>
      <c r="E38" t="str">
        <f>_xlfn.XLOOKUP(D38,[6]Feuil1!$C$2:$C$248,[6]Feuil1!$B$2:$B$248)</f>
        <v>CO</v>
      </c>
      <c r="F38" t="s">
        <v>33</v>
      </c>
      <c r="G38" t="str">
        <f>_xlfn.XLOOKUP(C38,'Urban population'!C38:C237,'Urban population'!G38:G237)</f>
        <v>Rest of South America</v>
      </c>
      <c r="H38" t="s">
        <v>34</v>
      </c>
      <c r="I38">
        <f>[1]data!F39-'Urban population'!I38</f>
        <v>7.8284048559999997</v>
      </c>
      <c r="J38">
        <f>[1]data!G39-'Urban population'!J38</f>
        <v>8.0969171840000005</v>
      </c>
      <c r="K38">
        <f>[1]data!H39-'Urban population'!K38</f>
        <v>8.2936433370000007</v>
      </c>
      <c r="L38">
        <f>[1]data!I39-'Urban population'!L38</f>
        <v>8.4989769039999992</v>
      </c>
      <c r="M38">
        <f>[1]data!J39-'Urban population'!M38</f>
        <v>8.9620782999999982</v>
      </c>
      <c r="N38">
        <f>[1]data!K39-'Urban population'!N38</f>
        <v>9.1901323560000012</v>
      </c>
      <c r="O38">
        <f>[1]data!L39-'Urban population'!O38</f>
        <v>9.3914597700000009</v>
      </c>
      <c r="P38">
        <f>[1]data!M39-'Urban population'!P38</f>
        <v>9.5741012399999974</v>
      </c>
      <c r="Q38">
        <f>[1]data!N39-'Urban population'!Q38</f>
        <v>9.8389233249999997</v>
      </c>
      <c r="R38">
        <f>[1]data!O39-'Urban population'!R38</f>
        <v>10.049999190000001</v>
      </c>
      <c r="S38">
        <f>[1]data!P39-'Urban population'!S38</f>
        <v>10.114491140000002</v>
      </c>
      <c r="T38">
        <f>[1]data!Q39-'Urban population'!T38</f>
        <v>10.0660548</v>
      </c>
      <c r="U38">
        <f>[1]data!R39-'Urban population'!U38</f>
        <v>9.8041981399999969</v>
      </c>
      <c r="V38">
        <f>[1]data!S39-'Urban population'!V38</f>
        <v>9.4727390960000051</v>
      </c>
      <c r="W38">
        <f>[1]data!T39-'Urban population'!W38</f>
        <v>9.4147668359999983</v>
      </c>
      <c r="X38">
        <f>[1]data!U39-'Urban population'!X38</f>
        <v>9.270789498580001</v>
      </c>
      <c r="Y38">
        <f>[1]data!V39-'Urban population'!Y38</f>
        <v>9.0850042074000044</v>
      </c>
      <c r="Z38">
        <f>[1]data!W39-'Urban population'!Z38</f>
        <v>8.8060283119700031</v>
      </c>
      <c r="AA38">
        <f>[1]data!X39-'Urban population'!AA38</f>
        <v>8.4462048382799964</v>
      </c>
      <c r="AB38">
        <f>[1]data!Y39-'Urban population'!AB38</f>
        <v>8.0182873400000005</v>
      </c>
      <c r="AC38">
        <f>[1]data!Z39-'Urban population'!AC38</f>
        <v>7.5424196156800036</v>
      </c>
      <c r="AD38">
        <f>[1]data!AA39-'Urban population'!AD38</f>
        <v>7.0367947454300008</v>
      </c>
      <c r="AE38">
        <f>[1]data!AB39-'Urban population'!AE38</f>
        <v>6.5155300841599981</v>
      </c>
      <c r="AF38">
        <f>[1]data!AC39-'Urban population'!AF38</f>
        <v>5.989805085549996</v>
      </c>
      <c r="AG38">
        <f>[1]data!AD39-'Urban population'!AG38</f>
        <v>5.4685263739400014</v>
      </c>
      <c r="AH38">
        <f>[1]data!AE39-'Urban population'!AH38</f>
        <v>4.9581513271199995</v>
      </c>
      <c r="AI38">
        <f>[1]data!AF39-'Urban population'!AI38</f>
        <v>4.4624205787700006</v>
      </c>
      <c r="AJ38">
        <f>[1]data!AG39-'Urban population'!AJ38</f>
        <v>3.9925750221199934</v>
      </c>
      <c r="AK38">
        <f>[1]data!AH39-'Urban population'!AK38</f>
        <v>3.5544121032000007</v>
      </c>
      <c r="AL38">
        <f>[1]data!AI39-'Urban population'!AL38</f>
        <v>3.1537911452000031</v>
      </c>
      <c r="AM38">
        <f>[1]data!AJ39-'Urban population'!AM38</f>
        <v>2.7924031916300009</v>
      </c>
    </row>
    <row r="39" spans="1:39" x14ac:dyDescent="0.25">
      <c r="A39" t="s">
        <v>30</v>
      </c>
      <c r="B39" t="s">
        <v>31</v>
      </c>
      <c r="C39" t="s">
        <v>71</v>
      </c>
      <c r="D39" t="str">
        <f>_xlfn.XLOOKUP(C39,'[5]Country Codes'!$A$2:$A$267,'[5]Country Codes'!$B$2:$B$267)</f>
        <v>COM</v>
      </c>
      <c r="E39" t="str">
        <f>_xlfn.XLOOKUP(D39,[6]Feuil1!$C$2:$C$248,[6]Feuil1!$B$2:$B$248)</f>
        <v>KM</v>
      </c>
      <c r="F39" t="s">
        <v>33</v>
      </c>
      <c r="G39" t="str">
        <f>_xlfn.XLOOKUP(C39,'Urban population'!C39:C238,'Urban population'!G39:G238)</f>
        <v>Eastern Africa</v>
      </c>
      <c r="H39" t="s">
        <v>34</v>
      </c>
      <c r="I39">
        <f>[1]data!F40-'Urban population'!I39</f>
        <v>0.14940170600000002</v>
      </c>
      <c r="J39">
        <f>[1]data!G40-'Urban population'!J39</f>
        <v>0.160144868</v>
      </c>
      <c r="K39">
        <f>[1]data!H40-'Urban population'!K39</f>
        <v>0.16869336200000001</v>
      </c>
      <c r="L39">
        <f>[1]data!I40-'Urban population'!L39</f>
        <v>0.17658332999999998</v>
      </c>
      <c r="M39">
        <f>[1]data!J40-'Urban population'!M39</f>
        <v>0.19270815200000002</v>
      </c>
      <c r="N39">
        <f>[1]data!K40-'Urban population'!N39</f>
        <v>0.21735482800000006</v>
      </c>
      <c r="O39">
        <f>[1]data!L40-'Urban population'!O39</f>
        <v>0.24829055999999999</v>
      </c>
      <c r="P39">
        <f>[1]data!M40-'Urban population'!P39</f>
        <v>0.27606049500000002</v>
      </c>
      <c r="Q39">
        <f>[1]data!N40-'Urban population'!Q39</f>
        <v>0.30672565699999998</v>
      </c>
      <c r="R39">
        <f>[1]data!O40-'Urban population'!R39</f>
        <v>0.34313253900000001</v>
      </c>
      <c r="S39">
        <f>[1]data!P40-'Urban population'!S39</f>
        <v>0.38208666600000002</v>
      </c>
      <c r="T39">
        <f>[1]data!Q40-'Urban population'!T39</f>
        <v>0.42305395999999995</v>
      </c>
      <c r="U39">
        <f>[1]data!R40-'Urban population'!U39</f>
        <v>0.46737863999999996</v>
      </c>
      <c r="V39">
        <f>[1]data!S40-'Urban population'!V39</f>
        <v>0.51645450999999998</v>
      </c>
      <c r="W39">
        <f>[1]data!T40-'Urban population'!W39</f>
        <v>0.563618862</v>
      </c>
      <c r="X39">
        <f>[1]data!U40-'Urban population'!X39</f>
        <v>0.5951421204000007</v>
      </c>
      <c r="Y39">
        <f>[1]data!V40-'Urban population'!Y39</f>
        <v>0.62136139500000009</v>
      </c>
      <c r="Z39">
        <f>[1]data!W40-'Urban population'!Z39</f>
        <v>0.64124969910000007</v>
      </c>
      <c r="AA39">
        <f>[1]data!X40-'Urban population'!AA39</f>
        <v>0.65538710644000009</v>
      </c>
      <c r="AB39">
        <f>[1]data!Y40-'Urban population'!AB39</f>
        <v>0.66384531901999999</v>
      </c>
      <c r="AC39">
        <f>[1]data!Z40-'Urban population'!AC39</f>
        <v>0.66654847249999993</v>
      </c>
      <c r="AD39">
        <f>[1]data!AA40-'Urban population'!AD39</f>
        <v>0.66316430531999992</v>
      </c>
      <c r="AE39">
        <f>[1]data!AB40-'Urban population'!AE39</f>
        <v>0.65368210139999994</v>
      </c>
      <c r="AF39">
        <f>[1]data!AC40-'Urban population'!AF39</f>
        <v>0.63996873251999997</v>
      </c>
      <c r="AG39">
        <f>[1]data!AD40-'Urban population'!AG39</f>
        <v>0.62176285082999994</v>
      </c>
      <c r="AH39">
        <f>[1]data!AE40-'Urban population'!AH39</f>
        <v>0.60071110176000009</v>
      </c>
      <c r="AI39">
        <f>[1]data!AF40-'Urban population'!AI39</f>
        <v>0.57707689665000006</v>
      </c>
      <c r="AJ39">
        <f>[1]data!AG40-'Urban population'!AJ39</f>
        <v>0.55244532123000001</v>
      </c>
      <c r="AK39">
        <f>[1]data!AH40-'Urban population'!AK39</f>
        <v>0.52756243595999974</v>
      </c>
      <c r="AL39">
        <f>[1]data!AI40-'Urban population'!AL39</f>
        <v>0.50265452393000021</v>
      </c>
      <c r="AM39">
        <f>[1]data!AJ40-'Urban population'!AM39</f>
        <v>0.47779583555999983</v>
      </c>
    </row>
    <row r="40" spans="1:39" x14ac:dyDescent="0.25">
      <c r="A40" t="s">
        <v>30</v>
      </c>
      <c r="B40" t="s">
        <v>31</v>
      </c>
      <c r="C40" t="s">
        <v>72</v>
      </c>
      <c r="D40" t="str">
        <f>_xlfn.XLOOKUP(C40,'[5]Country Codes'!$A$2:$A$267,'[5]Country Codes'!$B$2:$B$267)</f>
        <v>CPV</v>
      </c>
      <c r="E40" t="str">
        <f>_xlfn.XLOOKUP(D40,[6]Feuil1!$C$2:$C$248,[6]Feuil1!$B$2:$B$248)</f>
        <v>CV</v>
      </c>
      <c r="F40" t="s">
        <v>33</v>
      </c>
      <c r="G40" t="str">
        <f>_xlfn.XLOOKUP(C40,'Urban population'!C40:C239,'Urban population'!G40:G239)</f>
        <v>Western Africa</v>
      </c>
      <c r="H40" t="s">
        <v>34</v>
      </c>
      <c r="I40">
        <f>[1]data!F41-'Urban population'!I40</f>
        <v>0.157778478</v>
      </c>
      <c r="J40">
        <f>[1]data!G41-'Urban population'!J40</f>
        <v>0.16447762800000001</v>
      </c>
      <c r="K40">
        <f>[1]data!H41-'Urban population'!K40</f>
        <v>0.17325567</v>
      </c>
      <c r="L40">
        <f>[1]data!I41-'Urban population'!L40</f>
        <v>0.19671970499999999</v>
      </c>
      <c r="M40">
        <f>[1]data!J41-'Urban population'!M40</f>
        <v>0.22767028800000003</v>
      </c>
      <c r="N40">
        <f>[1]data!K41-'Urban population'!N40</f>
        <v>0.23812655999999999</v>
      </c>
      <c r="O40">
        <f>[1]data!L41-'Urban population'!O40</f>
        <v>0.24109740000000005</v>
      </c>
      <c r="P40">
        <f>[1]data!M41-'Urban population'!P40</f>
        <v>0.23131285500000001</v>
      </c>
      <c r="Q40">
        <f>[1]data!N41-'Urban population'!Q40</f>
        <v>0.201683846</v>
      </c>
      <c r="R40">
        <f>[1]data!O41-'Urban population'!R40</f>
        <v>0.208177152</v>
      </c>
      <c r="S40">
        <f>[1]data!P41-'Urban population'!S40</f>
        <v>0.21169727599999999</v>
      </c>
      <c r="T40">
        <f>[1]data!Q41-'Urban population'!T40</f>
        <v>0.20716424999999999</v>
      </c>
      <c r="U40">
        <f>[1]data!R41-'Urban population'!U40</f>
        <v>0.19795469200000004</v>
      </c>
      <c r="V40">
        <f>[1]data!S41-'Urban population'!V40</f>
        <v>0.19605583200000004</v>
      </c>
      <c r="W40">
        <f>[1]data!T41-'Urban population'!W40</f>
        <v>0.19311635699999996</v>
      </c>
      <c r="X40">
        <f>[1]data!U41-'Urban population'!X40</f>
        <v>0.19125290197999967</v>
      </c>
      <c r="Y40">
        <f>[1]data!V41-'Urban population'!Y40</f>
        <v>0.18831589064999993</v>
      </c>
      <c r="Z40">
        <f>[1]data!W41-'Urban population'!Z40</f>
        <v>0.18371461338</v>
      </c>
      <c r="AA40">
        <f>[1]data!X41-'Urban population'!AA40</f>
        <v>0.17793406096000003</v>
      </c>
      <c r="AB40">
        <f>[1]data!Y41-'Urban population'!AB40</f>
        <v>0.17110434373999972</v>
      </c>
      <c r="AC40">
        <f>[1]data!Z41-'Urban population'!AC40</f>
        <v>0.16347082440000005</v>
      </c>
      <c r="AD40">
        <f>[1]data!AA41-'Urban population'!AD40</f>
        <v>0.15519692328000001</v>
      </c>
      <c r="AE40">
        <f>[1]data!AB41-'Urban population'!AE40</f>
        <v>0.14653376100000004</v>
      </c>
      <c r="AF40">
        <f>[1]data!AC41-'Urban population'!AF40</f>
        <v>0.13777094551999991</v>
      </c>
      <c r="AG40">
        <f>[1]data!AD41-'Urban population'!AG40</f>
        <v>0.12900478051999986</v>
      </c>
      <c r="AH40">
        <f>[1]data!AE41-'Urban population'!AH40</f>
        <v>0.12028222355999996</v>
      </c>
      <c r="AI40">
        <f>[1]data!AF41-'Urban population'!AI40</f>
        <v>0.11175086536000001</v>
      </c>
      <c r="AJ40">
        <f>[1]data!AG41-'Urban population'!AJ40</f>
        <v>0.10351153332000007</v>
      </c>
      <c r="AK40">
        <f>[1]data!AH41-'Urban population'!AK40</f>
        <v>9.5721710000000071E-2</v>
      </c>
      <c r="AL40">
        <f>[1]data!AI41-'Urban population'!AL40</f>
        <v>8.8534986539999916E-2</v>
      </c>
      <c r="AM40">
        <f>[1]data!AJ41-'Urban population'!AM40</f>
        <v>8.199966720000007E-2</v>
      </c>
    </row>
    <row r="41" spans="1:39" x14ac:dyDescent="0.25">
      <c r="A41" t="s">
        <v>30</v>
      </c>
      <c r="B41" t="s">
        <v>31</v>
      </c>
      <c r="C41" t="s">
        <v>73</v>
      </c>
      <c r="D41" t="str">
        <f>_xlfn.XLOOKUP(C41,'[5]Country Codes'!$A$2:$A$267,'[5]Country Codes'!$B$2:$B$267)</f>
        <v>CRI</v>
      </c>
      <c r="E41" t="str">
        <f>_xlfn.XLOOKUP(D41,[6]Feuil1!$C$2:$C$248,[6]Feuil1!$B$2:$B$248)</f>
        <v>CR</v>
      </c>
      <c r="F41" t="s">
        <v>33</v>
      </c>
      <c r="G41" t="str">
        <f>_xlfn.XLOOKUP(C41,'Urban population'!C41:C240,'Urban population'!G41:G240)</f>
        <v>Central America</v>
      </c>
      <c r="H41" t="s">
        <v>34</v>
      </c>
      <c r="I41">
        <f>[1]data!F42-'Urban population'!I41</f>
        <v>0.62065846499999999</v>
      </c>
      <c r="J41">
        <f>[1]data!G42-'Urban population'!J41</f>
        <v>0.72983389600000004</v>
      </c>
      <c r="K41">
        <f>[1]data!H42-'Urban population'!K41</f>
        <v>0.8683654409999999</v>
      </c>
      <c r="L41">
        <f>[1]data!I42-'Urban population'!L41</f>
        <v>1.0122548820000001</v>
      </c>
      <c r="M41">
        <f>[1]data!J42-'Urban population'!M41</f>
        <v>1.120515696</v>
      </c>
      <c r="N41">
        <f>[1]data!K42-'Urban population'!N41</f>
        <v>1.2236519819999998</v>
      </c>
      <c r="O41">
        <f>[1]data!L42-'Urban population'!O41</f>
        <v>1.35500522</v>
      </c>
      <c r="P41">
        <f>[1]data!M42-'Urban population'!P41</f>
        <v>1.4924647920000003</v>
      </c>
      <c r="Q41">
        <f>[1]data!N42-'Urban population'!Q41</f>
        <v>1.559023</v>
      </c>
      <c r="R41">
        <f>[1]data!O42-'Urban population'!R41</f>
        <v>1.6031062339999997</v>
      </c>
      <c r="S41">
        <f>[1]data!P42-'Urban population'!S41</f>
        <v>1.6118824970000003</v>
      </c>
      <c r="T41">
        <f>[1]data!Q42-'Urban population'!T41</f>
        <v>1.4695941330000002</v>
      </c>
      <c r="U41">
        <f>[1]data!R42-'Urban population'!U41</f>
        <v>1.2999183329999995</v>
      </c>
      <c r="V41">
        <f>[1]data!S42-'Urban population'!V41</f>
        <v>1.1249683830000001</v>
      </c>
      <c r="W41">
        <f>[1]data!T42-'Urban population'!W41</f>
        <v>0.98022931200000052</v>
      </c>
      <c r="X41">
        <f>[1]data!U42-'Urban population'!X41</f>
        <v>0.89946606594000045</v>
      </c>
      <c r="Y41">
        <f>[1]data!V42-'Urban population'!Y41</f>
        <v>0.83359131537000142</v>
      </c>
      <c r="Z41">
        <f>[1]data!W42-'Urban population'!Z41</f>
        <v>0.77550594984000032</v>
      </c>
      <c r="AA41">
        <f>[1]data!X42-'Urban population'!AA41</f>
        <v>0.72315205916000025</v>
      </c>
      <c r="AB41">
        <f>[1]data!Y42-'Urban population'!AB41</f>
        <v>0.67517757458999927</v>
      </c>
      <c r="AC41">
        <f>[1]data!Z42-'Urban population'!AC41</f>
        <v>0.6303712751800008</v>
      </c>
      <c r="AD41">
        <f>[1]data!AA42-'Urban population'!AD41</f>
        <v>0.58857747210000078</v>
      </c>
      <c r="AE41">
        <f>[1]data!AB42-'Urban population'!AE41</f>
        <v>0.5497319062199999</v>
      </c>
      <c r="AF41">
        <f>[1]data!AC42-'Urban population'!AF41</f>
        <v>0.51357838146999946</v>
      </c>
      <c r="AG41">
        <f>[1]data!AD42-'Urban population'!AG41</f>
        <v>0.4797469141499997</v>
      </c>
      <c r="AH41">
        <f>[1]data!AE42-'Urban population'!AH41</f>
        <v>0.44760979116000055</v>
      </c>
      <c r="AI41">
        <f>[1]data!AF42-'Urban population'!AI41</f>
        <v>0.41690371504000101</v>
      </c>
      <c r="AJ41">
        <f>[1]data!AG42-'Urban population'!AJ41</f>
        <v>0.3876276146500004</v>
      </c>
      <c r="AK41">
        <f>[1]data!AH42-'Urban population'!AK41</f>
        <v>0.36026013240000054</v>
      </c>
      <c r="AL41">
        <f>[1]data!AI42-'Urban population'!AL41</f>
        <v>0.33492027503999999</v>
      </c>
      <c r="AM41">
        <f>[1]data!AJ42-'Urban population'!AM41</f>
        <v>0.31168531075000061</v>
      </c>
    </row>
    <row r="42" spans="1:39" x14ac:dyDescent="0.25">
      <c r="A42" t="s">
        <v>30</v>
      </c>
      <c r="B42" t="s">
        <v>31</v>
      </c>
      <c r="C42" t="s">
        <v>74</v>
      </c>
      <c r="D42" t="str">
        <f>_xlfn.XLOOKUP(C42,'[5]Country Codes'!$A$2:$A$267,'[5]Country Codes'!$B$2:$B$267)</f>
        <v>CUB</v>
      </c>
      <c r="E42" t="str">
        <f>_xlfn.XLOOKUP(D42,[6]Feuil1!$C$2:$C$248,[6]Feuil1!$B$2:$B$248)</f>
        <v>CU</v>
      </c>
      <c r="F42" t="s">
        <v>33</v>
      </c>
      <c r="G42" t="str">
        <f>_xlfn.XLOOKUP(C42,'Urban population'!C42:C241,'Urban population'!G42:G241)</f>
        <v>Central America</v>
      </c>
      <c r="H42" t="s">
        <v>34</v>
      </c>
      <c r="I42">
        <f>[1]data!F43-'Urban population'!I42</f>
        <v>2.5516678050000006</v>
      </c>
      <c r="J42">
        <f>[1]data!G43-'Urban population'!J42</f>
        <v>2.7592381250000004</v>
      </c>
      <c r="K42">
        <f>[1]data!H43-'Urban population'!K42</f>
        <v>2.9921099520000007</v>
      </c>
      <c r="L42">
        <f>[1]data!I43-'Urban population'!L42</f>
        <v>3.2501302460000003</v>
      </c>
      <c r="M42">
        <f>[1]data!J43-'Urban population'!M42</f>
        <v>3.4894259420000049</v>
      </c>
      <c r="N42">
        <f>[1]data!K43-'Urban population'!N42</f>
        <v>3.3892966219999998</v>
      </c>
      <c r="O42">
        <f>[1]data!L43-'Urban population'!O42</f>
        <v>3.1243236420000011</v>
      </c>
      <c r="P42">
        <f>[1]data!M43-'Urban population'!P42</f>
        <v>2.9410267109999992</v>
      </c>
      <c r="Q42">
        <f>[1]data!N43-'Urban population'!Q42</f>
        <v>2.8137043759999987</v>
      </c>
      <c r="R42">
        <f>[1]data!O43-'Urban population'!R42</f>
        <v>2.8033408370000004</v>
      </c>
      <c r="S42">
        <f>[1]data!P43-'Urban population'!S42</f>
        <v>2.7388184980000005</v>
      </c>
      <c r="T42">
        <f>[1]data!Q43-'Urban population'!T42</f>
        <v>2.685702989000001</v>
      </c>
      <c r="U42">
        <f>[1]data!R43-'Urban population'!U42</f>
        <v>2.6410744620000006</v>
      </c>
      <c r="V42">
        <f>[1]data!S43-'Urban population'!V42</f>
        <v>2.618672364</v>
      </c>
      <c r="W42">
        <f>[1]data!T43-'Urban population'!W42</f>
        <v>2.5785035280000006</v>
      </c>
      <c r="X42">
        <f>[1]data!U43-'Urban population'!X42</f>
        <v>2.4084872375599993</v>
      </c>
      <c r="Y42">
        <f>[1]data!V43-'Urban population'!Y42</f>
        <v>2.2517112736799998</v>
      </c>
      <c r="Z42">
        <f>[1]data!W43-'Urban population'!Z42</f>
        <v>2.0931891884600002</v>
      </c>
      <c r="AA42">
        <f>[1]data!X43-'Urban population'!AA42</f>
        <v>1.9352624623699999</v>
      </c>
      <c r="AB42">
        <f>[1]data!Y43-'Urban population'!AB42</f>
        <v>1.7786711452400006</v>
      </c>
      <c r="AC42">
        <f>[1]data!Z43-'Urban population'!AC42</f>
        <v>1.6258976051499996</v>
      </c>
      <c r="AD42">
        <f>[1]data!AA43-'Urban population'!AD42</f>
        <v>1.4773690395500001</v>
      </c>
      <c r="AE42">
        <f>[1]data!AB43-'Urban population'!AE42</f>
        <v>1.3362466011199992</v>
      </c>
      <c r="AF42">
        <f>[1]data!AC43-'Urban population'!AF42</f>
        <v>1.2054843980999994</v>
      </c>
      <c r="AG42">
        <f>[1]data!AD43-'Urban population'!AG42</f>
        <v>1.0874260840999987</v>
      </c>
      <c r="AH42">
        <f>[1]data!AE43-'Urban population'!AH42</f>
        <v>0.98152524558000032</v>
      </c>
      <c r="AI42">
        <f>[1]data!AF43-'Urban population'!AI42</f>
        <v>0.88630443879999987</v>
      </c>
      <c r="AJ42">
        <f>[1]data!AG43-'Urban population'!AJ42</f>
        <v>0.79890231274000012</v>
      </c>
      <c r="AK42">
        <f>[1]data!AH43-'Urban population'!AK42</f>
        <v>0.71895972715000056</v>
      </c>
      <c r="AL42">
        <f>[1]data!AI43-'Urban population'!AL42</f>
        <v>0.64606146750000004</v>
      </c>
      <c r="AM42">
        <f>[1]data!AJ43-'Urban population'!AM42</f>
        <v>0.58070801943000028</v>
      </c>
    </row>
    <row r="43" spans="1:39" x14ac:dyDescent="0.25">
      <c r="A43" t="s">
        <v>30</v>
      </c>
      <c r="B43" t="s">
        <v>31</v>
      </c>
      <c r="C43" t="s">
        <v>247</v>
      </c>
      <c r="D43" t="str">
        <f>_xlfn.XLOOKUP(C43,'[5]Country Codes'!$A$2:$A$267,'[5]Country Codes'!$B$2:$B$267)</f>
        <v>CUW</v>
      </c>
      <c r="E43" t="e">
        <f>_xlfn.XLOOKUP(D43,[6]Feuil1!$C$2:$C$248,[6]Feuil1!$B$2:$B$248)</f>
        <v>#N/A</v>
      </c>
      <c r="F43" t="s">
        <v>33</v>
      </c>
      <c r="G43" t="str">
        <f>_xlfn.XLOOKUP(C43,'Urban population'!C43:C242,'Urban population'!G43:G242)</f>
        <v>Rest of South America</v>
      </c>
      <c r="H43" t="s">
        <v>34</v>
      </c>
      <c r="I43">
        <f>[1]data!F44-'Urban population'!I43</f>
        <v>2.879759400000001E-2</v>
      </c>
      <c r="J43">
        <f>[1]data!G44-'Urban population'!J43</f>
        <v>3.0880668E-2</v>
      </c>
      <c r="K43">
        <f>[1]data!H44-'Urban population'!K43</f>
        <v>3.299879E-2</v>
      </c>
      <c r="L43">
        <f>[1]data!I44-'Urban population'!L43</f>
        <v>3.2775678000000016E-2</v>
      </c>
      <c r="M43">
        <f>[1]data!J44-'Urban population'!M43</f>
        <v>3.230301599999999E-2</v>
      </c>
      <c r="N43">
        <f>[1]data!K44-'Urban population'!N43</f>
        <v>3.0678317999999996E-2</v>
      </c>
      <c r="O43">
        <f>[1]data!L44-'Urban population'!O43</f>
        <v>2.852395000000002E-2</v>
      </c>
      <c r="P43">
        <f>[1]data!M44-'Urban population'!P43</f>
        <v>2.6172407000000009E-2</v>
      </c>
      <c r="Q43">
        <f>[1]data!N44-'Urban population'!Q43</f>
        <v>2.3810471999999999E-2</v>
      </c>
      <c r="R43">
        <f>[1]data!O44-'Urban population'!R43</f>
        <v>1.8619863000000014E-2</v>
      </c>
      <c r="S43">
        <f>[1]data!P44-'Urban population'!S43</f>
        <v>1.3084240000000025E-2</v>
      </c>
      <c r="T43">
        <f>[1]data!Q44-'Urban population'!T43</f>
        <v>1.3877694999999995E-2</v>
      </c>
      <c r="U43">
        <f>[1]data!R44-'Urban population'!U43</f>
        <v>1.5978503000000005E-2</v>
      </c>
      <c r="V43">
        <f>[1]data!S44-'Urban population'!V43</f>
        <v>1.7901173999999992E-2</v>
      </c>
      <c r="W43">
        <f>[1]data!T44-'Urban population'!W43</f>
        <v>2.0557509000000029E-2</v>
      </c>
      <c r="X43">
        <f>[1]data!U44-'Urban population'!X43</f>
        <v>1.9369001659999996E-2</v>
      </c>
      <c r="Y43">
        <f>[1]data!V44-'Urban population'!Y43</f>
        <v>1.8293780479999994E-2</v>
      </c>
      <c r="Z43">
        <f>[1]data!W44-'Urban population'!Z43</f>
        <v>1.7276954699999986E-2</v>
      </c>
      <c r="AA43">
        <f>[1]data!X44-'Urban population'!AA43</f>
        <v>1.6311061280000011E-2</v>
      </c>
      <c r="AB43">
        <f>[1]data!Y44-'Urban population'!AB43</f>
        <v>1.5399458899999996E-2</v>
      </c>
      <c r="AC43">
        <f>[1]data!Z44-'Urban population'!AC43</f>
        <v>1.45498248E-2</v>
      </c>
      <c r="AD43">
        <f>[1]data!AA44-'Urban population'!AD43</f>
        <v>1.3764903329999995E-2</v>
      </c>
      <c r="AE43">
        <f>[1]data!AB44-'Urban population'!AE43</f>
        <v>1.3045842879999991E-2</v>
      </c>
      <c r="AF43">
        <f>[1]data!AC44-'Urban population'!AF43</f>
        <v>1.233681083999999E-2</v>
      </c>
      <c r="AG43">
        <f>[1]data!AD44-'Urban population'!AG43</f>
        <v>1.1625415020000029E-2</v>
      </c>
      <c r="AH43">
        <f>[1]data!AE44-'Urban population'!AH43</f>
        <v>1.0905535940000016E-2</v>
      </c>
      <c r="AI43">
        <f>[1]data!AF44-'Urban population'!AI43</f>
        <v>1.0177957259999981E-2</v>
      </c>
      <c r="AJ43">
        <f>[1]data!AG44-'Urban population'!AJ43</f>
        <v>9.4439731800000093E-3</v>
      </c>
      <c r="AK43">
        <f>[1]data!AH44-'Urban population'!AK43</f>
        <v>8.7198239400000099E-3</v>
      </c>
      <c r="AL43">
        <f>[1]data!AI44-'Urban population'!AL43</f>
        <v>8.0121365999999972E-3</v>
      </c>
      <c r="AM43">
        <f>[1]data!AJ44-'Urban population'!AM43</f>
        <v>7.3344051399999444E-3</v>
      </c>
    </row>
    <row r="44" spans="1:39" x14ac:dyDescent="0.25">
      <c r="A44" t="s">
        <v>30</v>
      </c>
      <c r="B44" t="s">
        <v>31</v>
      </c>
      <c r="C44" t="s">
        <v>75</v>
      </c>
      <c r="D44" t="str">
        <f>_xlfn.XLOOKUP(C44,'[5]Country Codes'!$A$2:$A$267,'[5]Country Codes'!$B$2:$B$267)</f>
        <v>CYP</v>
      </c>
      <c r="E44" t="str">
        <f>_xlfn.XLOOKUP(D44,[6]Feuil1!$C$2:$C$248,[6]Feuil1!$B$2:$B$248)</f>
        <v>CY</v>
      </c>
      <c r="F44" t="s">
        <v>33</v>
      </c>
      <c r="G44" t="str">
        <f>_xlfn.XLOOKUP(C44,'Urban population'!C44:C243,'Urban population'!G44:G243)</f>
        <v>Central Europe</v>
      </c>
      <c r="H44" t="s">
        <v>34</v>
      </c>
      <c r="I44">
        <f>[1]data!F45-'Urban population'!I44</f>
        <v>0.35112282</v>
      </c>
      <c r="J44">
        <f>[1]data!G45-'Urban population'!J44</f>
        <v>0.35858794400000005</v>
      </c>
      <c r="K44">
        <f>[1]data!H45-'Urban population'!K44</f>
        <v>0.37342404399999996</v>
      </c>
      <c r="L44">
        <f>[1]data!I45-'Urban population'!L44</f>
        <v>0.37993342199999997</v>
      </c>
      <c r="M44">
        <f>[1]data!J45-'Urban population'!M44</f>
        <v>0.37823235199999999</v>
      </c>
      <c r="N44">
        <f>[1]data!K45-'Urban population'!N44</f>
        <v>0.33985017899999997</v>
      </c>
      <c r="O44">
        <f>[1]data!L45-'Urban population'!O44</f>
        <v>0.27963671400000001</v>
      </c>
      <c r="P44">
        <f>[1]data!M45-'Urban population'!P44</f>
        <v>0.25617951300000003</v>
      </c>
      <c r="Q44">
        <f>[1]data!N45-'Urban population'!Q44</f>
        <v>0.25999584000000009</v>
      </c>
      <c r="R44">
        <f>[1]data!O45-'Urban population'!R44</f>
        <v>0.27313215999999996</v>
      </c>
      <c r="S44">
        <f>[1]data!P45-'Urban population'!S44</f>
        <v>0.29516031400000009</v>
      </c>
      <c r="T44">
        <f>[1]data!Q45-'Urban population'!T44</f>
        <v>0.3258354240000001</v>
      </c>
      <c r="U44">
        <f>[1]data!R45-'Urban population'!U44</f>
        <v>0.3629736360000001</v>
      </c>
      <c r="V44">
        <f>[1]data!S45-'Urban population'!V44</f>
        <v>0.39126715599999995</v>
      </c>
      <c r="W44">
        <f>[1]data!T45-'Urban population'!W44</f>
        <v>0.40961396400000005</v>
      </c>
      <c r="X44">
        <f>[1]data!U45-'Urban population'!X44</f>
        <v>0.40009077312000008</v>
      </c>
      <c r="Y44">
        <f>[1]data!V45-'Urban population'!Y44</f>
        <v>0.38429608176000007</v>
      </c>
      <c r="Z44">
        <f>[1]data!W45-'Urban population'!Z44</f>
        <v>0.36769896339999997</v>
      </c>
      <c r="AA44">
        <f>[1]data!X45-'Urban population'!AA44</f>
        <v>0.35140467945000009</v>
      </c>
      <c r="AB44">
        <f>[1]data!Y45-'Urban population'!AB44</f>
        <v>0.33586230159999997</v>
      </c>
      <c r="AC44">
        <f>[1]data!Z45-'Urban population'!AC44</f>
        <v>0.32100427007999999</v>
      </c>
      <c r="AD44">
        <f>[1]data!AA45-'Urban population'!AD44</f>
        <v>0.30568134598000007</v>
      </c>
      <c r="AE44">
        <f>[1]data!AB45-'Urban population'!AE44</f>
        <v>0.28989063179999985</v>
      </c>
      <c r="AF44">
        <f>[1]data!AC45-'Urban population'!AF44</f>
        <v>0.2732807932800001</v>
      </c>
      <c r="AG44">
        <f>[1]data!AD45-'Urban population'!AG44</f>
        <v>0.25625508479999981</v>
      </c>
      <c r="AH44">
        <f>[1]data!AE45-'Urban population'!AH44</f>
        <v>0.23908032576000005</v>
      </c>
      <c r="AI44">
        <f>[1]data!AF45-'Urban population'!AI44</f>
        <v>0.22191291852000017</v>
      </c>
      <c r="AJ44">
        <f>[1]data!AG45-'Urban population'!AJ44</f>
        <v>0.20508240999999994</v>
      </c>
      <c r="AK44">
        <f>[1]data!AH45-'Urban population'!AK44</f>
        <v>0.18906213029999996</v>
      </c>
      <c r="AL44">
        <f>[1]data!AI45-'Urban population'!AL44</f>
        <v>0.17420430503999995</v>
      </c>
      <c r="AM44">
        <f>[1]data!AJ45-'Urban population'!AM44</f>
        <v>0.16046274975999997</v>
      </c>
    </row>
    <row r="45" spans="1:39" x14ac:dyDescent="0.25">
      <c r="A45" t="s">
        <v>30</v>
      </c>
      <c r="B45" t="s">
        <v>31</v>
      </c>
      <c r="C45" t="s">
        <v>76</v>
      </c>
      <c r="D45" t="str">
        <f>_xlfn.XLOOKUP(C45,'[5]Country Codes'!$A$2:$A$267,'[5]Country Codes'!$B$2:$B$267)</f>
        <v>CZE</v>
      </c>
      <c r="E45" t="str">
        <f>_xlfn.XLOOKUP(D45,[6]Feuil1!$C$2:$C$248,[6]Feuil1!$B$2:$B$248)</f>
        <v>CZ</v>
      </c>
      <c r="F45" t="s">
        <v>33</v>
      </c>
      <c r="G45" t="str">
        <f>_xlfn.XLOOKUP(C45,'Urban population'!C45:C244,'Urban population'!G45:G244)</f>
        <v>Central Europe</v>
      </c>
      <c r="H45" t="s">
        <v>34</v>
      </c>
      <c r="I45">
        <f>[1]data!F46-'Urban population'!I45</f>
        <v>4.0653247899999991</v>
      </c>
      <c r="J45">
        <f>[1]data!G46-'Urban population'!J45</f>
        <v>3.9884046089999998</v>
      </c>
      <c r="K45">
        <f>[1]data!H46-'Urban population'!K45</f>
        <v>3.8563601850000007</v>
      </c>
      <c r="L45">
        <f>[1]data!I46-'Urban population'!L45</f>
        <v>3.68083618</v>
      </c>
      <c r="M45">
        <f>[1]data!J46-'Urban population'!M45</f>
        <v>3.4848409240000002</v>
      </c>
      <c r="N45">
        <f>[1]data!K46-'Urban population'!N45</f>
        <v>3.0079547049999995</v>
      </c>
      <c r="O45">
        <f>[1]data!L46-'Urban population'!O45</f>
        <v>2.5449256560000002</v>
      </c>
      <c r="P45">
        <f>[1]data!M46-'Urban population'!P45</f>
        <v>2.5340792099999998</v>
      </c>
      <c r="Q45">
        <f>[1]data!N46-'Urban population'!Q45</f>
        <v>2.5551457360000001</v>
      </c>
      <c r="R45">
        <f>[1]data!O46-'Urban population'!R45</f>
        <v>2.6211118520000003</v>
      </c>
      <c r="S45">
        <f>[1]data!P46-'Urban population'!S45</f>
        <v>2.6627853200000002</v>
      </c>
      <c r="T45">
        <f>[1]data!Q46-'Urban population'!T45</f>
        <v>2.7111873360000001</v>
      </c>
      <c r="U45">
        <f>[1]data!R46-'Urban population'!U45</f>
        <v>2.7881365530000002</v>
      </c>
      <c r="V45">
        <f>[1]data!S46-'Urban population'!V45</f>
        <v>2.7882422849999999</v>
      </c>
      <c r="W45">
        <f>[1]data!T46-'Urban population'!W45</f>
        <v>2.7293181720000002</v>
      </c>
      <c r="X45">
        <f>[1]data!U46-'Urban population'!X45</f>
        <v>2.6511603268800013</v>
      </c>
      <c r="Y45">
        <f>[1]data!V46-'Urban population'!Y45</f>
        <v>2.4690232229600007</v>
      </c>
      <c r="Z45">
        <f>[1]data!W46-'Urban population'!Z45</f>
        <v>2.2949550553999991</v>
      </c>
      <c r="AA45">
        <f>[1]data!X46-'Urban population'!AA45</f>
        <v>2.1367648191599997</v>
      </c>
      <c r="AB45">
        <f>[1]data!Y46-'Urban population'!AB45</f>
        <v>1.9962371298400008</v>
      </c>
      <c r="AC45">
        <f>[1]data!Z46-'Urban population'!AC45</f>
        <v>1.8701033878799986</v>
      </c>
      <c r="AD45">
        <f>[1]data!AA46-'Urban population'!AD45</f>
        <v>1.7525620546900011</v>
      </c>
      <c r="AE45">
        <f>[1]data!AB46-'Urban population'!AE45</f>
        <v>1.6388714874999994</v>
      </c>
      <c r="AF45">
        <f>[1]data!AC46-'Urban population'!AF45</f>
        <v>1.526078320049999</v>
      </c>
      <c r="AG45">
        <f>[1]data!AD46-'Urban population'!AG45</f>
        <v>1.4162772815000029</v>
      </c>
      <c r="AH45">
        <f>[1]data!AE46-'Urban population'!AH45</f>
        <v>1.3137213602499997</v>
      </c>
      <c r="AI45">
        <f>[1]data!AF46-'Urban population'!AI45</f>
        <v>1.22084829926</v>
      </c>
      <c r="AJ45">
        <f>[1]data!AG46-'Urban population'!AJ45</f>
        <v>1.13745307698</v>
      </c>
      <c r="AK45">
        <f>[1]data!AH46-'Urban population'!AK45</f>
        <v>1.0615811733800005</v>
      </c>
      <c r="AL45">
        <f>[1]data!AI46-'Urban population'!AL45</f>
        <v>0.99163492965000088</v>
      </c>
      <c r="AM45">
        <f>[1]data!AJ46-'Urban population'!AM45</f>
        <v>0.92568349397000027</v>
      </c>
    </row>
    <row r="46" spans="1:39" x14ac:dyDescent="0.25">
      <c r="A46" t="s">
        <v>30</v>
      </c>
      <c r="B46" t="s">
        <v>31</v>
      </c>
      <c r="C46" t="s">
        <v>77</v>
      </c>
      <c r="D46" t="str">
        <f>_xlfn.XLOOKUP(C46,'[5]Country Codes'!$A$2:$A$267,'[5]Country Codes'!$B$2:$B$267)</f>
        <v>DEU</v>
      </c>
      <c r="E46" t="str">
        <f>_xlfn.XLOOKUP(D46,[6]Feuil1!$C$2:$C$248,[6]Feuil1!$B$2:$B$248)</f>
        <v>DE</v>
      </c>
      <c r="F46" t="s">
        <v>33</v>
      </c>
      <c r="G46" t="str">
        <f>_xlfn.XLOOKUP(C46,'Urban population'!C46:C245,'Urban population'!G46:G245)</f>
        <v>Western Europe</v>
      </c>
      <c r="H46" t="s">
        <v>34</v>
      </c>
      <c r="I46">
        <f>[1]data!F47-'Urban population'!I46</f>
        <v>22.816000121999998</v>
      </c>
      <c r="J46">
        <f>[1]data!G47-'Urban population'!J46</f>
        <v>21.546193043999999</v>
      </c>
      <c r="K46">
        <f>[1]data!H47-'Urban population'!K46</f>
        <v>20.825772967999995</v>
      </c>
      <c r="L46">
        <f>[1]data!I47-'Urban population'!L46</f>
        <v>21.208374880000001</v>
      </c>
      <c r="M46">
        <f>[1]data!J47-'Urban population'!M46</f>
        <v>21.653958949</v>
      </c>
      <c r="N46">
        <f>[1]data!K47-'Urban population'!N46</f>
        <v>21.532695519999997</v>
      </c>
      <c r="O46">
        <f>[1]data!L47-'Urban population'!O46</f>
        <v>21.173298991999999</v>
      </c>
      <c r="P46">
        <f>[1]data!M47-'Urban population'!P46</f>
        <v>21.181330170000003</v>
      </c>
      <c r="Q46">
        <f>[1]data!N47-'Urban population'!Q46</f>
        <v>21.289525642000001</v>
      </c>
      <c r="R46">
        <f>[1]data!O47-'Urban population'!R46</f>
        <v>21.146359634999996</v>
      </c>
      <c r="S46">
        <f>[1]data!P47-'Urban population'!S46</f>
        <v>20.390399500000001</v>
      </c>
      <c r="T46">
        <f>[1]data!Q47-'Urban population'!T46</f>
        <v>19.497407760000002</v>
      </c>
      <c r="U46">
        <f>[1]data!R47-'Urban population'!U46</f>
        <v>18.695189129999996</v>
      </c>
      <c r="V46">
        <f>[1]data!S47-'Urban population'!V46</f>
        <v>18.688610747999995</v>
      </c>
      <c r="W46">
        <f>[1]data!T47-'Urban population'!W46</f>
        <v>18.735221699999997</v>
      </c>
      <c r="X46">
        <f>[1]data!U47-'Urban population'!X46</f>
        <v>17.475360968010008</v>
      </c>
      <c r="Y46">
        <f>[1]data!V47-'Urban population'!Y46</f>
        <v>16.133719091699973</v>
      </c>
      <c r="Z46">
        <f>[1]data!W47-'Urban population'!Z46</f>
        <v>14.903452292400019</v>
      </c>
      <c r="AA46">
        <f>[1]data!X47-'Urban population'!AA46</f>
        <v>13.785671672240014</v>
      </c>
      <c r="AB46">
        <f>[1]data!Y47-'Urban population'!AB46</f>
        <v>12.771697117249985</v>
      </c>
      <c r="AC46">
        <f>[1]data!Z47-'Urban population'!AC46</f>
        <v>11.839757552320009</v>
      </c>
      <c r="AD46">
        <f>[1]data!AA47-'Urban population'!AD46</f>
        <v>10.975907553799999</v>
      </c>
      <c r="AE46">
        <f>[1]data!AB47-'Urban population'!AE46</f>
        <v>10.176800160799999</v>
      </c>
      <c r="AF46">
        <f>[1]data!AC47-'Urban population'!AF46</f>
        <v>9.4372585551800086</v>
      </c>
      <c r="AG46">
        <f>[1]data!AD47-'Urban population'!AG46</f>
        <v>8.7620945037600109</v>
      </c>
      <c r="AH46">
        <f>[1]data!AE47-'Urban population'!AH46</f>
        <v>8.1387677466200046</v>
      </c>
      <c r="AI46">
        <f>[1]data!AF47-'Urban population'!AI46</f>
        <v>7.5509889339599994</v>
      </c>
      <c r="AJ46">
        <f>[1]data!AG47-'Urban population'!AJ46</f>
        <v>6.9929913520399936</v>
      </c>
      <c r="AK46">
        <f>[1]data!AH47-'Urban population'!AK46</f>
        <v>6.4662973539199982</v>
      </c>
      <c r="AL46">
        <f>[1]data!AI47-'Urban population'!AL46</f>
        <v>5.9764511771999906</v>
      </c>
      <c r="AM46">
        <f>[1]data!AJ47-'Urban population'!AM46</f>
        <v>5.5206684733499998</v>
      </c>
    </row>
    <row r="47" spans="1:39" x14ac:dyDescent="0.25">
      <c r="A47" t="s">
        <v>30</v>
      </c>
      <c r="B47" t="s">
        <v>31</v>
      </c>
      <c r="C47" t="s">
        <v>78</v>
      </c>
      <c r="D47" t="str">
        <f>_xlfn.XLOOKUP(C47,'[5]Country Codes'!$A$2:$A$267,'[5]Country Codes'!$B$2:$B$267)</f>
        <v>DJI</v>
      </c>
      <c r="E47" t="str">
        <f>_xlfn.XLOOKUP(D47,[6]Feuil1!$C$2:$C$248,[6]Feuil1!$B$2:$B$248)</f>
        <v>DJ</v>
      </c>
      <c r="F47" t="s">
        <v>33</v>
      </c>
      <c r="G47" t="str">
        <f>_xlfn.XLOOKUP(C47,'Urban population'!C47:C246,'Urban population'!G47:G246)</f>
        <v>Eastern Africa</v>
      </c>
      <c r="H47" t="s">
        <v>34</v>
      </c>
      <c r="I47">
        <f>[1]data!F48-'Urban population'!I47</f>
        <v>3.6939321999999997E-2</v>
      </c>
      <c r="J47">
        <f>[1]data!G48-'Urban population'!J47</f>
        <v>3.9511449999999997E-2</v>
      </c>
      <c r="K47">
        <f>[1]data!H48-'Urban population'!K47</f>
        <v>4.1928908000000001E-2</v>
      </c>
      <c r="L47">
        <f>[1]data!I48-'Urban population'!L47</f>
        <v>4.6432590999999995E-2</v>
      </c>
      <c r="M47">
        <f>[1]data!J48-'Urban population'!M47</f>
        <v>5.340589200000001E-2</v>
      </c>
      <c r="N47">
        <f>[1]data!K48-'Urban population'!N47</f>
        <v>6.5502584000000003E-2</v>
      </c>
      <c r="O47">
        <f>[1]data!L48-'Urban population'!O47</f>
        <v>8.7741594000000006E-2</v>
      </c>
      <c r="P47">
        <f>[1]data!M48-'Urban population'!P47</f>
        <v>9.7941705999999962E-2</v>
      </c>
      <c r="Q47">
        <f>[1]data!N48-'Urban population'!Q47</f>
        <v>0.13073256</v>
      </c>
      <c r="R47">
        <f>[1]data!O48-'Urban population'!R47</f>
        <v>0.14776310099999995</v>
      </c>
      <c r="S47">
        <f>[1]data!P48-'Urban population'!S47</f>
        <v>0.17177089999999995</v>
      </c>
      <c r="T47">
        <f>[1]data!Q48-'Urban population'!T47</f>
        <v>0.19124339999999995</v>
      </c>
      <c r="U47">
        <f>[1]data!R48-'Urban population'!U47</f>
        <v>0.20937612999999999</v>
      </c>
      <c r="V47">
        <f>[1]data!S48-'Urban population'!V47</f>
        <v>0.22548200799999996</v>
      </c>
      <c r="W47">
        <f>[1]data!T48-'Urban population'!W47</f>
        <v>0.23703267900000013</v>
      </c>
      <c r="X47">
        <f>[1]data!U48-'Urban population'!X47</f>
        <v>0.23528587907999987</v>
      </c>
      <c r="Y47">
        <f>[1]data!V48-'Urban population'!Y47</f>
        <v>0.23236326597000001</v>
      </c>
      <c r="Z47">
        <f>[1]data!W48-'Urban population'!Z47</f>
        <v>0.22796999349999991</v>
      </c>
      <c r="AA47">
        <f>[1]data!X48-'Urban population'!AA47</f>
        <v>0.22198454951999991</v>
      </c>
      <c r="AB47">
        <f>[1]data!Y48-'Urban population'!AB47</f>
        <v>0.21448110969999989</v>
      </c>
      <c r="AC47">
        <f>[1]data!Z48-'Urban population'!AC47</f>
        <v>0.20527649686000005</v>
      </c>
      <c r="AD47">
        <f>[1]data!AA48-'Urban population'!AD47</f>
        <v>0.19501774110000003</v>
      </c>
      <c r="AE47">
        <f>[1]data!AB48-'Urban population'!AE47</f>
        <v>0.18401063760000014</v>
      </c>
      <c r="AF47">
        <f>[1]data!AC48-'Urban population'!AF47</f>
        <v>0.17283924207000001</v>
      </c>
      <c r="AG47">
        <f>[1]data!AD48-'Urban population'!AG47</f>
        <v>0.16182293530000003</v>
      </c>
      <c r="AH47">
        <f>[1]data!AE48-'Urban population'!AH47</f>
        <v>0.15105188211999976</v>
      </c>
      <c r="AI47">
        <f>[1]data!AF48-'Urban population'!AI47</f>
        <v>0.14043633789999999</v>
      </c>
      <c r="AJ47">
        <f>[1]data!AG48-'Urban population'!AJ47</f>
        <v>0.13010222824999995</v>
      </c>
      <c r="AK47">
        <f>[1]data!AH48-'Urban population'!AK47</f>
        <v>0.12011703017999986</v>
      </c>
      <c r="AL47">
        <f>[1]data!AI48-'Urban population'!AL47</f>
        <v>0.11059284369000011</v>
      </c>
      <c r="AM47">
        <f>[1]data!AJ48-'Urban population'!AM47</f>
        <v>0.10162650887999991</v>
      </c>
    </row>
    <row r="48" spans="1:39" x14ac:dyDescent="0.25">
      <c r="A48" t="s">
        <v>30</v>
      </c>
      <c r="B48" t="s">
        <v>31</v>
      </c>
      <c r="C48" t="s">
        <v>79</v>
      </c>
      <c r="D48" t="str">
        <f>_xlfn.XLOOKUP(C48,'[5]Country Codes'!$A$2:$A$267,'[5]Country Codes'!$B$2:$B$267)</f>
        <v>DNK</v>
      </c>
      <c r="E48" t="str">
        <f>_xlfn.XLOOKUP(D48,[6]Feuil1!$C$2:$C$248,[6]Feuil1!$B$2:$B$248)</f>
        <v>DK</v>
      </c>
      <c r="F48" t="s">
        <v>33</v>
      </c>
      <c r="G48" t="str">
        <f>_xlfn.XLOOKUP(C48,'Urban population'!C48:C247,'Urban population'!G48:G247)</f>
        <v>Western Europe</v>
      </c>
      <c r="H48" t="s">
        <v>34</v>
      </c>
      <c r="I48">
        <f>[1]data!F49-'Urban population'!I48</f>
        <v>1.36048832</v>
      </c>
      <c r="J48">
        <f>[1]data!G49-'Urban population'!J48</f>
        <v>1.3406068640000002</v>
      </c>
      <c r="K48">
        <f>[1]data!H49-'Urban population'!K48</f>
        <v>1.2009453159999999</v>
      </c>
      <c r="L48">
        <f>[1]data!I49-'Urban population'!L48</f>
        <v>1.0894299599999999</v>
      </c>
      <c r="M48">
        <f>[1]data!J49-'Urban population'!M48</f>
        <v>0.9966333719999998</v>
      </c>
      <c r="N48">
        <f>[1]data!K49-'Urban population'!N48</f>
        <v>0.9031566720000006</v>
      </c>
      <c r="O48">
        <f>[1]data!L49-'Urban population'!O48</f>
        <v>0.83512479499999959</v>
      </c>
      <c r="P48">
        <f>[1]data!M49-'Urban population'!P48</f>
        <v>0.79873856399999976</v>
      </c>
      <c r="Q48">
        <f>[1]data!N49-'Urban population'!Q48</f>
        <v>0.78108422400000066</v>
      </c>
      <c r="R48">
        <f>[1]data!O49-'Urban population'!R48</f>
        <v>0.78373064999999986</v>
      </c>
      <c r="S48">
        <f>[1]data!P49-'Urban population'!S48</f>
        <v>0.79416910600000001</v>
      </c>
      <c r="T48">
        <f>[1]data!Q49-'Urban population'!T48</f>
        <v>0.76502017499999919</v>
      </c>
      <c r="U48">
        <f>[1]data!R49-'Urban population'!U48</f>
        <v>0.73102484400000023</v>
      </c>
      <c r="V48">
        <f>[1]data!S49-'Urban population'!V48</f>
        <v>0.70800662500000033</v>
      </c>
      <c r="W48">
        <f>[1]data!T49-'Urban population'!W48</f>
        <v>0.69148174900000026</v>
      </c>
      <c r="X48">
        <f>[1]data!U49-'Urban population'!X48</f>
        <v>0.65533710005999968</v>
      </c>
      <c r="Y48">
        <f>[1]data!V49-'Urban population'!Y48</f>
        <v>0.61623449719999979</v>
      </c>
      <c r="Z48">
        <f>[1]data!W49-'Urban population'!Z48</f>
        <v>0.57724744388000016</v>
      </c>
      <c r="AA48">
        <f>[1]data!X49-'Urban population'!AA48</f>
        <v>0.53875760567000075</v>
      </c>
      <c r="AB48">
        <f>[1]data!Y49-'Urban population'!AB48</f>
        <v>0.50165271086000018</v>
      </c>
      <c r="AC48">
        <f>[1]data!Z49-'Urban population'!AC48</f>
        <v>0.46696762287999949</v>
      </c>
      <c r="AD48">
        <f>[1]data!AA49-'Urban population'!AD48</f>
        <v>0.4336206329200003</v>
      </c>
      <c r="AE48">
        <f>[1]data!AB49-'Urban population'!AE48</f>
        <v>0.40195482912000013</v>
      </c>
      <c r="AF48">
        <f>[1]data!AC49-'Urban population'!AF48</f>
        <v>0.37181557126999998</v>
      </c>
      <c r="AG48">
        <f>[1]data!AD49-'Urban population'!AG48</f>
        <v>0.34341627884999948</v>
      </c>
      <c r="AH48">
        <f>[1]data!AE49-'Urban population'!AH48</f>
        <v>0.31665958922000037</v>
      </c>
      <c r="AI48">
        <f>[1]data!AF49-'Urban population'!AI48</f>
        <v>0.29133246136999968</v>
      </c>
      <c r="AJ48">
        <f>[1]data!AG49-'Urban population'!AJ48</f>
        <v>0.26695775463999993</v>
      </c>
      <c r="AK48">
        <f>[1]data!AH49-'Urban population'!AK48</f>
        <v>0.24362041400000045</v>
      </c>
      <c r="AL48">
        <f>[1]data!AI49-'Urban population'!AL48</f>
        <v>0.22163414344999932</v>
      </c>
      <c r="AM48">
        <f>[1]data!AJ49-'Urban population'!AM48</f>
        <v>0.20123843393999952</v>
      </c>
    </row>
    <row r="49" spans="1:39" x14ac:dyDescent="0.25">
      <c r="A49" t="s">
        <v>30</v>
      </c>
      <c r="B49" t="s">
        <v>31</v>
      </c>
      <c r="C49" t="s">
        <v>80</v>
      </c>
      <c r="D49" t="str">
        <f>_xlfn.XLOOKUP(C49,'[5]Country Codes'!$A$2:$A$267,'[5]Country Codes'!$B$2:$B$267)</f>
        <v>DOM</v>
      </c>
      <c r="E49" t="str">
        <f>_xlfn.XLOOKUP(D49,[6]Feuil1!$C$2:$C$248,[6]Feuil1!$B$2:$B$248)</f>
        <v>DO</v>
      </c>
      <c r="F49" t="s">
        <v>33</v>
      </c>
      <c r="G49" t="str">
        <f>_xlfn.XLOOKUP(C49,'Urban population'!C49:C248,'Urban population'!G49:G248)</f>
        <v>Central America</v>
      </c>
      <c r="H49" t="s">
        <v>34</v>
      </c>
      <c r="I49">
        <f>[1]data!F50-'Urban population'!I49</f>
        <v>1.7898583710000002</v>
      </c>
      <c r="J49">
        <f>[1]data!G50-'Urban population'!J49</f>
        <v>2.0092455720000002</v>
      </c>
      <c r="K49">
        <f>[1]data!H50-'Urban population'!K49</f>
        <v>2.2639260060000002</v>
      </c>
      <c r="L49">
        <f>[1]data!I50-'Urban population'!L49</f>
        <v>2.4734175289999998</v>
      </c>
      <c r="M49">
        <f>[1]data!J50-'Urban population'!M49</f>
        <v>2.6352224760000005</v>
      </c>
      <c r="N49">
        <f>[1]data!K50-'Urban population'!N49</f>
        <v>2.7379971360000002</v>
      </c>
      <c r="O49">
        <f>[1]data!L50-'Urban population'!O49</f>
        <v>2.7714731699999997</v>
      </c>
      <c r="P49">
        <f>[1]data!M50-'Urban population'!P49</f>
        <v>2.9273228009999999</v>
      </c>
      <c r="Q49">
        <f>[1]data!N50-'Urban population'!Q49</f>
        <v>3.1602350079999995</v>
      </c>
      <c r="R49">
        <f>[1]data!O50-'Urban population'!R49</f>
        <v>3.3061433919999992</v>
      </c>
      <c r="S49">
        <f>[1]data!P50-'Urban population'!S49</f>
        <v>3.2378396399999998</v>
      </c>
      <c r="T49">
        <f>[1]data!Q50-'Urban population'!T49</f>
        <v>2.967980936</v>
      </c>
      <c r="U49">
        <f>[1]data!R50-'Urban population'!U49</f>
        <v>2.5444399860000004</v>
      </c>
      <c r="V49">
        <f>[1]data!S50-'Urban population'!V49</f>
        <v>2.2136857640000009</v>
      </c>
      <c r="W49">
        <f>[1]data!T50-'Urban population'!W49</f>
        <v>1.9143846750000009</v>
      </c>
      <c r="X49">
        <f>[1]data!U50-'Urban population'!X49</f>
        <v>1.8852351878100002</v>
      </c>
      <c r="Y49">
        <f>[1]data!V50-'Urban population'!Y49</f>
        <v>1.8336794174999991</v>
      </c>
      <c r="Z49">
        <f>[1]data!W50-'Urban population'!Z49</f>
        <v>1.7614477817999994</v>
      </c>
      <c r="AA49">
        <f>[1]data!X50-'Urban population'!AA49</f>
        <v>1.6710021839499998</v>
      </c>
      <c r="AB49">
        <f>[1]data!Y50-'Urban population'!AB49</f>
        <v>1.5659685541600012</v>
      </c>
      <c r="AC49">
        <f>[1]data!Z50-'Urban population'!AC49</f>
        <v>1.4535280328799995</v>
      </c>
      <c r="AD49">
        <f>[1]data!AA50-'Urban population'!AD49</f>
        <v>1.3375519557400004</v>
      </c>
      <c r="AE49">
        <f>[1]data!AB50-'Urban population'!AE49</f>
        <v>1.221080068560001</v>
      </c>
      <c r="AF49">
        <f>[1]data!AC50-'Urban population'!AF49</f>
        <v>1.1062491383699999</v>
      </c>
      <c r="AG49">
        <f>[1]data!AD50-'Urban population'!AG49</f>
        <v>0.99521817486000153</v>
      </c>
      <c r="AH49">
        <f>[1]data!AE50-'Urban population'!AH49</f>
        <v>0.88965268395999964</v>
      </c>
      <c r="AI49">
        <f>[1]data!AF50-'Urban population'!AI49</f>
        <v>0.79049659932000083</v>
      </c>
      <c r="AJ49">
        <f>[1]data!AG50-'Urban population'!AJ49</f>
        <v>0.6989778851999997</v>
      </c>
      <c r="AK49">
        <f>[1]data!AH50-'Urban population'!AK49</f>
        <v>0.61534017600000013</v>
      </c>
      <c r="AL49">
        <f>[1]data!AI50-'Urban population'!AL49</f>
        <v>0.53958344808000192</v>
      </c>
      <c r="AM49">
        <f>[1]data!AJ50-'Urban population'!AM49</f>
        <v>0.47143011464999951</v>
      </c>
    </row>
    <row r="50" spans="1:39" x14ac:dyDescent="0.25">
      <c r="A50" t="s">
        <v>30</v>
      </c>
      <c r="B50" t="s">
        <v>31</v>
      </c>
      <c r="C50" t="s">
        <v>81</v>
      </c>
      <c r="D50" t="str">
        <f>_xlfn.XLOOKUP(C50,'[5]Country Codes'!$A$2:$A$267,'[5]Country Codes'!$B$2:$B$267)</f>
        <v>DZA</v>
      </c>
      <c r="E50" t="str">
        <f>_xlfn.XLOOKUP(D50,[6]Feuil1!$C$2:$C$248,[6]Feuil1!$B$2:$B$248)</f>
        <v>DZ</v>
      </c>
      <c r="F50" t="s">
        <v>33</v>
      </c>
      <c r="G50" t="str">
        <f>_xlfn.XLOOKUP(C50,'Urban population'!C50:C249,'Urban population'!G50:G249)</f>
        <v>Northern Africa</v>
      </c>
      <c r="H50" t="s">
        <v>34</v>
      </c>
      <c r="I50">
        <f>[1]data!F51-'Urban population'!I50</f>
        <v>6.9185921759999998</v>
      </c>
      <c r="J50">
        <f>[1]data!G51-'Urban population'!J50</f>
        <v>7.4835485320000004</v>
      </c>
      <c r="K50">
        <f>[1]data!H51-'Urban population'!K50</f>
        <v>7.8392323449999992</v>
      </c>
      <c r="L50">
        <f>[1]data!I51-'Urban population'!L50</f>
        <v>7.6675516320000003</v>
      </c>
      <c r="M50">
        <f>[1]data!J51-'Urban population'!M50</f>
        <v>8.2535939200000001</v>
      </c>
      <c r="N50">
        <f>[1]data!K51-'Urban population'!N50</f>
        <v>9.1596199590000005</v>
      </c>
      <c r="O50">
        <f>[1]data!L51-'Urban population'!O50</f>
        <v>10.420102334999999</v>
      </c>
      <c r="P50">
        <f>[1]data!M51-'Urban population'!P50</f>
        <v>11.313336320000001</v>
      </c>
      <c r="Q50">
        <f>[1]data!N51-'Urban population'!Q50</f>
        <v>12.075334693</v>
      </c>
      <c r="R50">
        <f>[1]data!O51-'Urban population'!R50</f>
        <v>12.417166519999999</v>
      </c>
      <c r="S50">
        <f>[1]data!P51-'Urban population'!S50</f>
        <v>12.254894032999999</v>
      </c>
      <c r="T50">
        <f>[1]data!Q51-'Urban population'!T50</f>
        <v>11.853485107999997</v>
      </c>
      <c r="U50">
        <f>[1]data!R51-'Urban population'!U50</f>
        <v>11.543782574999998</v>
      </c>
      <c r="V50">
        <f>[1]data!S51-'Urban population'!V50</f>
        <v>11.430772160000004</v>
      </c>
      <c r="W50">
        <f>[1]data!T51-'Urban population'!W50</f>
        <v>11.332930895999976</v>
      </c>
      <c r="X50">
        <f>[1]data!U51-'Urban population'!X50</f>
        <v>11.617514076059997</v>
      </c>
      <c r="Y50">
        <f>[1]data!V51-'Urban population'!Y50</f>
        <v>11.713917797100002</v>
      </c>
      <c r="Z50">
        <f>[1]data!W51-'Urban population'!Z50</f>
        <v>11.676797834799999</v>
      </c>
      <c r="AA50">
        <f>[1]data!X51-'Urban population'!AA50</f>
        <v>11.574144115059994</v>
      </c>
      <c r="AB50">
        <f>[1]data!Y51-'Urban population'!AB50</f>
        <v>11.427566099179998</v>
      </c>
      <c r="AC50">
        <f>[1]data!Z51-'Urban population'!AC50</f>
        <v>11.225798770179999</v>
      </c>
      <c r="AD50">
        <f>[1]data!AA51-'Urban population'!AD50</f>
        <v>10.926217998549987</v>
      </c>
      <c r="AE50">
        <f>[1]data!AB51-'Urban population'!AE50</f>
        <v>10.531371828960005</v>
      </c>
      <c r="AF50">
        <f>[1]data!AC51-'Urban population'!AF50</f>
        <v>10.064291663999995</v>
      </c>
      <c r="AG50">
        <f>[1]data!AD51-'Urban population'!AG50</f>
        <v>9.5703894628599997</v>
      </c>
      <c r="AH50">
        <f>[1]data!AE51-'Urban population'!AH50</f>
        <v>9.0809063418000022</v>
      </c>
      <c r="AI50">
        <f>[1]data!AF51-'Urban population'!AI50</f>
        <v>8.6092816127499958</v>
      </c>
      <c r="AJ50">
        <f>[1]data!AG51-'Urban population'!AJ50</f>
        <v>8.1535207276300028</v>
      </c>
      <c r="AK50">
        <f>[1]data!AH51-'Urban population'!AK50</f>
        <v>7.7053481226000073</v>
      </c>
      <c r="AL50">
        <f>[1]data!AI51-'Urban population'!AL50</f>
        <v>7.2610434364000014</v>
      </c>
      <c r="AM50">
        <f>[1]data!AJ51-'Urban population'!AM50</f>
        <v>6.8171168078499917</v>
      </c>
    </row>
    <row r="51" spans="1:39" x14ac:dyDescent="0.25">
      <c r="A51" t="s">
        <v>30</v>
      </c>
      <c r="B51" t="s">
        <v>31</v>
      </c>
      <c r="C51" t="s">
        <v>82</v>
      </c>
      <c r="D51" t="str">
        <f>_xlfn.XLOOKUP(C51,'[5]Country Codes'!$A$2:$A$267,'[5]Country Codes'!$B$2:$B$267)</f>
        <v>ECU</v>
      </c>
      <c r="E51" t="str">
        <f>_xlfn.XLOOKUP(D51,[6]Feuil1!$C$2:$C$248,[6]Feuil1!$B$2:$B$248)</f>
        <v>EC</v>
      </c>
      <c r="F51" t="s">
        <v>33</v>
      </c>
      <c r="G51" t="str">
        <f>_xlfn.XLOOKUP(C51,'Urban population'!C51:C250,'Urban population'!G51:G250)</f>
        <v>Rest of South America</v>
      </c>
      <c r="H51" t="s">
        <v>34</v>
      </c>
      <c r="I51">
        <f>[1]data!F52-'Urban population'!I51</f>
        <v>2.489556645</v>
      </c>
      <c r="J51">
        <f>[1]data!G52-'Urban population'!J51</f>
        <v>2.7378841199999999</v>
      </c>
      <c r="K51">
        <f>[1]data!H52-'Urban population'!K51</f>
        <v>3.0095111870000002</v>
      </c>
      <c r="L51">
        <f>[1]data!I52-'Urban population'!L51</f>
        <v>3.3342592559999997</v>
      </c>
      <c r="M51">
        <f>[1]data!J52-'Urban population'!M51</f>
        <v>3.6928289660000004</v>
      </c>
      <c r="N51">
        <f>[1]data!K52-'Urban population'!N51</f>
        <v>4.0362756480000002</v>
      </c>
      <c r="O51">
        <f>[1]data!L52-'Urban population'!O51</f>
        <v>4.2550122500000001</v>
      </c>
      <c r="P51">
        <f>[1]data!M52-'Urban population'!P51</f>
        <v>4.4591419679999991</v>
      </c>
      <c r="Q51">
        <f>[1]data!N52-'Urban population'!Q51</f>
        <v>4.6383460079999992</v>
      </c>
      <c r="R51">
        <f>[1]data!O52-'Urban population'!R51</f>
        <v>4.8339319300000003</v>
      </c>
      <c r="S51">
        <f>[1]data!P52-'Urban population'!S51</f>
        <v>4.9698401330000008</v>
      </c>
      <c r="T51">
        <f>[1]data!Q52-'Urban population'!T51</f>
        <v>5.2285306279999997</v>
      </c>
      <c r="U51">
        <f>[1]data!R52-'Urban population'!U51</f>
        <v>5.5450153890000013</v>
      </c>
      <c r="V51">
        <f>[1]data!S52-'Urban population'!V51</f>
        <v>5.8836319019999994</v>
      </c>
      <c r="W51">
        <f>[1]data!T52-'Urban population'!W51</f>
        <v>6.2604025639999996</v>
      </c>
      <c r="X51">
        <f>[1]data!U52-'Urban population'!X51</f>
        <v>6.3135114906599998</v>
      </c>
      <c r="Y51">
        <f>[1]data!V52-'Urban population'!Y51</f>
        <v>6.3358881777600011</v>
      </c>
      <c r="Z51">
        <f>[1]data!W52-'Urban population'!Z51</f>
        <v>6.2983467495200003</v>
      </c>
      <c r="AA51">
        <f>[1]data!X52-'Urban population'!AA51</f>
        <v>6.2024552124299976</v>
      </c>
      <c r="AB51">
        <f>[1]data!Y52-'Urban population'!AB51</f>
        <v>6.0639720816500002</v>
      </c>
      <c r="AC51">
        <f>[1]data!Z52-'Urban population'!AC51</f>
        <v>5.8910472347100029</v>
      </c>
      <c r="AD51">
        <f>[1]data!AA52-'Urban population'!AD51</f>
        <v>5.6886528303999988</v>
      </c>
      <c r="AE51">
        <f>[1]data!AB52-'Urban population'!AE51</f>
        <v>5.4611047281599987</v>
      </c>
      <c r="AF51">
        <f>[1]data!AC52-'Urban population'!AF51</f>
        <v>5.2143923971100001</v>
      </c>
      <c r="AG51">
        <f>[1]data!AD52-'Urban population'!AG51</f>
        <v>4.9535664687599983</v>
      </c>
      <c r="AH51">
        <f>[1]data!AE52-'Urban population'!AH51</f>
        <v>4.6812019242699989</v>
      </c>
      <c r="AI51">
        <f>[1]data!AF52-'Urban population'!AI51</f>
        <v>4.4032652497799987</v>
      </c>
      <c r="AJ51">
        <f>[1]data!AG52-'Urban population'!AJ51</f>
        <v>4.1245361108999994</v>
      </c>
      <c r="AK51">
        <f>[1]data!AH52-'Urban population'!AK51</f>
        <v>3.8499195897199989</v>
      </c>
      <c r="AL51">
        <f>[1]data!AI52-'Urban population'!AL51</f>
        <v>3.5834598359999994</v>
      </c>
      <c r="AM51">
        <f>[1]data!AJ52-'Urban population'!AM51</f>
        <v>3.3299564777099988</v>
      </c>
    </row>
    <row r="52" spans="1:39" x14ac:dyDescent="0.25">
      <c r="A52" t="s">
        <v>30</v>
      </c>
      <c r="B52" t="s">
        <v>31</v>
      </c>
      <c r="C52" t="s">
        <v>83</v>
      </c>
      <c r="D52" t="s">
        <v>259</v>
      </c>
      <c r="E52" t="str">
        <f>_xlfn.XLOOKUP(D52,[6]Feuil1!$C$2:$C$248,[6]Feuil1!$B$2:$B$248)</f>
        <v>EG</v>
      </c>
      <c r="F52" t="s">
        <v>33</v>
      </c>
      <c r="G52" t="str">
        <f>_xlfn.XLOOKUP(C52,'Urban population'!C52:C251,'Urban population'!G52:G251)</f>
        <v>Northern Africa</v>
      </c>
      <c r="H52" t="s">
        <v>34</v>
      </c>
      <c r="I52">
        <f>[1]data!F53-'Urban population'!I52</f>
        <v>14.252526420000002</v>
      </c>
      <c r="J52">
        <f>[1]data!G53-'Urban population'!J52</f>
        <v>15.347313900000003</v>
      </c>
      <c r="K52">
        <f>[1]data!H53-'Urban population'!K52</f>
        <v>16.570716183000002</v>
      </c>
      <c r="L52">
        <f>[1]data!I53-'Urban population'!L52</f>
        <v>18.343749033000002</v>
      </c>
      <c r="M52">
        <f>[1]data!J53-'Urban population'!M52</f>
        <v>20.117765655000003</v>
      </c>
      <c r="N52">
        <f>[1]data!K53-'Urban population'!N52</f>
        <v>21.740720273999997</v>
      </c>
      <c r="O52">
        <f>[1]data!L53-'Urban population'!O52</f>
        <v>24.221736</v>
      </c>
      <c r="P52">
        <f>[1]data!M53-'Urban population'!P52</f>
        <v>27.682442337000005</v>
      </c>
      <c r="Q52">
        <f>[1]data!N53-'Urban population'!Q52</f>
        <v>31.920055810000001</v>
      </c>
      <c r="R52">
        <f>[1]data!O53-'Urban population'!R52</f>
        <v>36.308901771999999</v>
      </c>
      <c r="S52">
        <f>[1]data!P53-'Urban population'!S52</f>
        <v>40.404668304000005</v>
      </c>
      <c r="T52">
        <f>[1]data!Q53-'Urban population'!T52</f>
        <v>44.632376549999996</v>
      </c>
      <c r="U52">
        <f>[1]data!R53-'Urban population'!U52</f>
        <v>49.213194659999999</v>
      </c>
      <c r="V52">
        <f>[1]data!S53-'Urban population'!V52</f>
        <v>55.298329371999998</v>
      </c>
      <c r="W52">
        <f>[1]data!T53-'Urban population'!W52</f>
        <v>60.940146124000002</v>
      </c>
      <c r="X52">
        <f>[1]data!U53-'Urban population'!X52</f>
        <v>62.905047534499992</v>
      </c>
      <c r="Y52">
        <f>[1]data!V53-'Urban population'!Y52</f>
        <v>64.510531300439993</v>
      </c>
      <c r="Z52">
        <f>[1]data!W53-'Urban population'!Z52</f>
        <v>65.799604214549987</v>
      </c>
      <c r="AA52">
        <f>[1]data!X53-'Urban population'!AA52</f>
        <v>66.822443950749999</v>
      </c>
      <c r="AB52">
        <f>[1]data!Y53-'Urban population'!AB52</f>
        <v>67.412892017739992</v>
      </c>
      <c r="AC52">
        <f>[1]data!Z53-'Urban population'!AC52</f>
        <v>67.47204206132001</v>
      </c>
      <c r="AD52">
        <f>[1]data!AA53-'Urban population'!AD52</f>
        <v>67.034004746240001</v>
      </c>
      <c r="AE52">
        <f>[1]data!AB53-'Urban population'!AE52</f>
        <v>66.185635542080007</v>
      </c>
      <c r="AF52">
        <f>[1]data!AC53-'Urban population'!AF52</f>
        <v>64.914584525699993</v>
      </c>
      <c r="AG52">
        <f>[1]data!AD53-'Urban population'!AG52</f>
        <v>63.309687153749977</v>
      </c>
      <c r="AH52">
        <f>[1]data!AE53-'Urban population'!AH52</f>
        <v>61.507656459100019</v>
      </c>
      <c r="AI52">
        <f>[1]data!AF53-'Urban population'!AI52</f>
        <v>59.585397925900025</v>
      </c>
      <c r="AJ52">
        <f>[1]data!AG53-'Urban population'!AJ52</f>
        <v>57.558205282040007</v>
      </c>
      <c r="AK52">
        <f>[1]data!AH53-'Urban population'!AK52</f>
        <v>55.49984005799999</v>
      </c>
      <c r="AL52">
        <f>[1]data!AI53-'Urban population'!AL52</f>
        <v>53.367697269139995</v>
      </c>
      <c r="AM52">
        <f>[1]data!AJ53-'Urban population'!AM52</f>
        <v>51.1841855184</v>
      </c>
    </row>
    <row r="53" spans="1:39" x14ac:dyDescent="0.25">
      <c r="A53" t="s">
        <v>30</v>
      </c>
      <c r="B53" t="s">
        <v>31</v>
      </c>
      <c r="C53" t="s">
        <v>84</v>
      </c>
      <c r="D53" t="str">
        <f>_xlfn.XLOOKUP(C53,'[5]Country Codes'!$A$2:$A$267,'[5]Country Codes'!$B$2:$B$267)</f>
        <v>ERI</v>
      </c>
      <c r="E53" t="str">
        <f>_xlfn.XLOOKUP(D53,[6]Feuil1!$C$2:$C$248,[6]Feuil1!$B$2:$B$248)</f>
        <v>ER</v>
      </c>
      <c r="F53" t="s">
        <v>33</v>
      </c>
      <c r="G53" t="str">
        <f>_xlfn.XLOOKUP(C53,'Urban population'!C53:C252,'Urban population'!G53:G252)</f>
        <v>Eastern Africa</v>
      </c>
      <c r="H53" t="s">
        <v>34</v>
      </c>
      <c r="I53">
        <f>[1]data!F54-'Urban population'!I53</f>
        <v>0.758718016</v>
      </c>
      <c r="J53">
        <f>[1]data!G54-'Urban population'!J53</f>
        <v>0.81207888400000006</v>
      </c>
      <c r="K53">
        <f>[1]data!H54-'Urban population'!K53</f>
        <v>0.88593628200000007</v>
      </c>
      <c r="L53">
        <f>[1]data!I54-'Urban population'!L53</f>
        <v>0.98029679999999997</v>
      </c>
      <c r="M53">
        <f>[1]data!J54-'Urban population'!M53</f>
        <v>1.0967472810000001</v>
      </c>
      <c r="N53">
        <f>[1]data!K54-'Urban population'!N53</f>
        <v>1.2385191100000001</v>
      </c>
      <c r="O53">
        <f>[1]data!L54-'Urban population'!O53</f>
        <v>1.3999734479999999</v>
      </c>
      <c r="P53">
        <f>[1]data!M54-'Urban population'!P53</f>
        <v>1.5783736260000001</v>
      </c>
      <c r="Q53">
        <f>[1]data!N54-'Urban population'!Q53</f>
        <v>1.7246653009999999</v>
      </c>
      <c r="R53">
        <f>[1]data!O54-'Urban population'!R53</f>
        <v>1.5960009000000002</v>
      </c>
      <c r="S53">
        <f>[1]data!P54-'Urban population'!S53</f>
        <v>1.7450894039999998</v>
      </c>
      <c r="T53">
        <f>[1]data!Q54-'Urban population'!T53</f>
        <v>1.928335994</v>
      </c>
      <c r="U53">
        <f>[1]data!R54-'Urban population'!U53</f>
        <v>2.0172790799999998</v>
      </c>
      <c r="V53">
        <f>[1]data!S54-'Urban population'!V53</f>
        <v>2.0557998660000001</v>
      </c>
      <c r="W53">
        <f>[1]data!T54-'Urban population'!W53</f>
        <v>2.0683837240000003</v>
      </c>
      <c r="X53">
        <f>[1]data!U54-'Urban population'!X53</f>
        <v>2.1465044899099999</v>
      </c>
      <c r="Y53">
        <f>[1]data!V54-'Urban population'!Y53</f>
        <v>2.2194794726999998</v>
      </c>
      <c r="Z53">
        <f>[1]data!W54-'Urban population'!Z53</f>
        <v>2.273832725580005</v>
      </c>
      <c r="AA53">
        <f>[1]data!X54-'Urban population'!AA53</f>
        <v>2.30076114426</v>
      </c>
      <c r="AB53">
        <f>[1]data!Y54-'Urban population'!AB53</f>
        <v>2.2968432616799999</v>
      </c>
      <c r="AC53">
        <f>[1]data!Z54-'Urban population'!AC53</f>
        <v>2.2679880154199998</v>
      </c>
      <c r="AD53">
        <f>[1]data!AA54-'Urban population'!AD53</f>
        <v>2.2199380814000036</v>
      </c>
      <c r="AE53">
        <f>[1]data!AB54-'Urban population'!AE53</f>
        <v>2.1574611873599996</v>
      </c>
      <c r="AF53">
        <f>[1]data!AC54-'Urban population'!AF53</f>
        <v>2.0871310852599994</v>
      </c>
      <c r="AG53">
        <f>[1]data!AD54-'Urban population'!AG53</f>
        <v>2.0064008588000002</v>
      </c>
      <c r="AH53">
        <f>[1]data!AE54-'Urban population'!AH53</f>
        <v>1.9168681675000006</v>
      </c>
      <c r="AI53">
        <f>[1]data!AF54-'Urban population'!AI53</f>
        <v>1.8243769356200001</v>
      </c>
      <c r="AJ53">
        <f>[1]data!AG54-'Urban population'!AJ53</f>
        <v>1.7323369499999997</v>
      </c>
      <c r="AK53">
        <f>[1]data!AH54-'Urban population'!AK53</f>
        <v>1.642314368470001</v>
      </c>
      <c r="AL53">
        <f>[1]data!AI54-'Urban population'!AL53</f>
        <v>1.5543422294400004</v>
      </c>
      <c r="AM53">
        <f>[1]data!AJ54-'Urban population'!AM53</f>
        <v>1.4694446611199998</v>
      </c>
    </row>
    <row r="54" spans="1:39" x14ac:dyDescent="0.25">
      <c r="A54" t="s">
        <v>30</v>
      </c>
      <c r="B54" t="s">
        <v>31</v>
      </c>
      <c r="C54" t="s">
        <v>85</v>
      </c>
      <c r="D54" t="e">
        <f>_xlfn.XLOOKUP(C54,'[5]Country Codes'!$A$2:$A$267,'[5]Country Codes'!$B$2:$B$267)</f>
        <v>#N/A</v>
      </c>
      <c r="E54" t="e">
        <f>_xlfn.XLOOKUP(D54,[6]Feuil1!$C$2:$C$248,[6]Feuil1!$B$2:$B$248)</f>
        <v>#N/A</v>
      </c>
      <c r="F54" t="s">
        <v>33</v>
      </c>
      <c r="G54" t="str">
        <f>_xlfn.XLOOKUP(C54,'Urban population'!C54:C253,'Urban population'!G54:G253)</f>
        <v>Northern Africa</v>
      </c>
      <c r="H54" t="s">
        <v>34</v>
      </c>
      <c r="I54">
        <f>[1]data!F55-'Urban population'!I54</f>
        <v>8.5359900000000002E-3</v>
      </c>
      <c r="J54">
        <f>[1]data!G55-'Urban population'!J54</f>
        <v>1.3588458000000001E-2</v>
      </c>
      <c r="K54">
        <f>[1]data!H55-'Urban population'!K54</f>
        <v>2.1672E-2</v>
      </c>
      <c r="L54">
        <f>[1]data!I55-'Urban population'!L54</f>
        <v>3.1292623999999998E-2</v>
      </c>
      <c r="M54">
        <f>[1]data!J55-'Urban population'!M54</f>
        <v>4.2735411000000001E-2</v>
      </c>
      <c r="N54">
        <f>[1]data!K55-'Urban population'!N54</f>
        <v>3.0628124999999999E-2</v>
      </c>
      <c r="O54">
        <f>[1]data!L55-'Urban population'!O54</f>
        <v>2.7121716000000004E-2</v>
      </c>
      <c r="P54">
        <f>[1]data!M55-'Urban population'!P54</f>
        <v>2.6089269000000012E-2</v>
      </c>
      <c r="Q54">
        <f>[1]data!N55-'Urban population'!Q54</f>
        <v>2.7915470999999997E-2</v>
      </c>
      <c r="R54">
        <f>[1]data!O55-'Urban population'!R54</f>
        <v>2.9451530000000004E-2</v>
      </c>
      <c r="S54">
        <f>[1]data!P55-'Urban population'!S54</f>
        <v>3.7444690000000003E-2</v>
      </c>
      <c r="T54">
        <f>[1]data!Q55-'Urban population'!T54</f>
        <v>4.6497359999999988E-2</v>
      </c>
      <c r="U54">
        <f>[1]data!R55-'Urban population'!U54</f>
        <v>5.554856800000002E-2</v>
      </c>
      <c r="V54">
        <f>[1]data!S55-'Urban population'!V54</f>
        <v>6.5468654999999987E-2</v>
      </c>
      <c r="W54">
        <f>[1]data!T55-'Urban population'!W54</f>
        <v>7.2763811999999983E-2</v>
      </c>
      <c r="X54">
        <f>[1]data!U55-'Urban population'!X54</f>
        <v>7.3128269519999844E-2</v>
      </c>
      <c r="Y54">
        <f>[1]data!V55-'Urban population'!Y54</f>
        <v>7.2497220180000044E-2</v>
      </c>
      <c r="Z54">
        <f>[1]data!W55-'Urban population'!Z54</f>
        <v>7.1166437439999952E-2</v>
      </c>
      <c r="AA54">
        <f>[1]data!X55-'Urban population'!AA54</f>
        <v>6.9343921599999803E-2</v>
      </c>
      <c r="AB54">
        <f>[1]data!Y55-'Urban population'!AB54</f>
        <v>6.7112726809999912E-2</v>
      </c>
      <c r="AC54">
        <f>[1]data!Z55-'Urban population'!AC54</f>
        <v>6.4593344400000086E-2</v>
      </c>
      <c r="AD54">
        <f>[1]data!AA55-'Urban population'!AD54</f>
        <v>6.180369552000009E-2</v>
      </c>
      <c r="AE54">
        <f>[1]data!AB55-'Urban population'!AE54</f>
        <v>5.8778906939999986E-2</v>
      </c>
      <c r="AF54">
        <f>[1]data!AC55-'Urban population'!AF54</f>
        <v>5.5423735910000049E-2</v>
      </c>
      <c r="AG54">
        <f>[1]data!AD55-'Urban population'!AG54</f>
        <v>5.189762880000004E-2</v>
      </c>
      <c r="AH54">
        <f>[1]data!AE55-'Urban population'!AH54</f>
        <v>4.8343822759999933E-2</v>
      </c>
      <c r="AI54">
        <f>[1]data!AF55-'Urban population'!AI54</f>
        <v>4.4852493840000007E-2</v>
      </c>
      <c r="AJ54">
        <f>[1]data!AG55-'Urban population'!AJ54</f>
        <v>4.1432756309999985E-2</v>
      </c>
      <c r="AK54">
        <f>[1]data!AH55-'Urban population'!AK54</f>
        <v>3.8079435600000044E-2</v>
      </c>
      <c r="AL54">
        <f>[1]data!AI55-'Urban population'!AL54</f>
        <v>3.4782885799999996E-2</v>
      </c>
      <c r="AM54">
        <f>[1]data!AJ55-'Urban population'!AM54</f>
        <v>3.1552470750000006E-2</v>
      </c>
    </row>
    <row r="55" spans="1:39" x14ac:dyDescent="0.25">
      <c r="A55" t="s">
        <v>30</v>
      </c>
      <c r="B55" t="s">
        <v>31</v>
      </c>
      <c r="C55" t="s">
        <v>86</v>
      </c>
      <c r="D55" t="str">
        <f>_xlfn.XLOOKUP(C55,'[5]Country Codes'!$A$2:$A$267,'[5]Country Codes'!$B$2:$B$267)</f>
        <v>ESP</v>
      </c>
      <c r="E55" t="str">
        <f>_xlfn.XLOOKUP(D55,[6]Feuil1!$C$2:$C$248,[6]Feuil1!$B$2:$B$248)</f>
        <v>ES</v>
      </c>
      <c r="F55" t="s">
        <v>33</v>
      </c>
      <c r="G55" t="str">
        <f>_xlfn.XLOOKUP(C55,'Urban population'!C55:C254,'Urban population'!G55:G254)</f>
        <v>Western Europe</v>
      </c>
      <c r="H55" t="s">
        <v>34</v>
      </c>
      <c r="I55">
        <f>[1]data!F56-'Urban population'!I55</f>
        <v>13.475485803</v>
      </c>
      <c r="J55">
        <f>[1]data!G56-'Urban population'!J55</f>
        <v>13.271413329999998</v>
      </c>
      <c r="K55">
        <f>[1]data!H56-'Urban population'!K55</f>
        <v>13.148179295999999</v>
      </c>
      <c r="L55">
        <f>[1]data!I56-'Urban population'!L55</f>
        <v>12.359059397999999</v>
      </c>
      <c r="M55">
        <f>[1]data!J56-'Urban population'!M55</f>
        <v>11.437004659999999</v>
      </c>
      <c r="N55">
        <f>[1]data!K56-'Urban population'!N55</f>
        <v>10.814368624</v>
      </c>
      <c r="O55">
        <f>[1]data!L56-'Urban population'!O55</f>
        <v>10.157121920000002</v>
      </c>
      <c r="P55">
        <f>[1]data!M56-'Urban population'!P55</f>
        <v>9.909342431999999</v>
      </c>
      <c r="Q55">
        <f>[1]data!N56-'Urban population'!Q55</f>
        <v>9.5630477879999987</v>
      </c>
      <c r="R55">
        <f>[1]data!O56-'Urban population'!R55</f>
        <v>9.5730824940000012</v>
      </c>
      <c r="S55">
        <f>[1]data!P56-'Urban population'!S55</f>
        <v>9.6301909289999976</v>
      </c>
      <c r="T55">
        <f>[1]data!Q56-'Urban population'!T55</f>
        <v>9.836088875999998</v>
      </c>
      <c r="U55">
        <f>[1]data!R56-'Urban population'!U55</f>
        <v>10.041479279999997</v>
      </c>
      <c r="V55">
        <f>[1]data!S56-'Urban population'!V55</f>
        <v>9.4723517880000045</v>
      </c>
      <c r="W55">
        <f>[1]data!T56-'Urban population'!W55</f>
        <v>9.0873513600000067</v>
      </c>
      <c r="X55">
        <f>[1]data!U56-'Urban population'!X55</f>
        <v>8.6815768678600023</v>
      </c>
      <c r="Y55">
        <f>[1]data!V56-'Urban population'!Y55</f>
        <v>8.2536052019499948</v>
      </c>
      <c r="Z55">
        <f>[1]data!W56-'Urban population'!Z55</f>
        <v>7.825204708050002</v>
      </c>
      <c r="AA55">
        <f>[1]data!X56-'Urban population'!AA55</f>
        <v>7.402626712</v>
      </c>
      <c r="AB55">
        <f>[1]data!Y56-'Urban population'!AB55</f>
        <v>6.9834909144000008</v>
      </c>
      <c r="AC55">
        <f>[1]data!Z56-'Urban population'!AC55</f>
        <v>6.5678067114199976</v>
      </c>
      <c r="AD55">
        <f>[1]data!AA56-'Urban population'!AD55</f>
        <v>6.1191415359499857</v>
      </c>
      <c r="AE55">
        <f>[1]data!AB56-'Urban population'!AE55</f>
        <v>5.6479342237499992</v>
      </c>
      <c r="AF55">
        <f>[1]data!AC56-'Urban population'!AF55</f>
        <v>5.1624877387599994</v>
      </c>
      <c r="AG55">
        <f>[1]data!AD56-'Urban population'!AG55</f>
        <v>4.6858974780800011</v>
      </c>
      <c r="AH55">
        <f>[1]data!AE56-'Urban population'!AH55</f>
        <v>4.2336486944999976</v>
      </c>
      <c r="AI55">
        <f>[1]data!AF56-'Urban population'!AI55</f>
        <v>3.8162401227800018</v>
      </c>
      <c r="AJ55">
        <f>[1]data!AG56-'Urban population'!AJ55</f>
        <v>3.4329421526400026</v>
      </c>
      <c r="AK55">
        <f>[1]data!AH56-'Urban population'!AK55</f>
        <v>3.0759055646399958</v>
      </c>
      <c r="AL55">
        <f>[1]data!AI56-'Urban population'!AL55</f>
        <v>2.7384696694000041</v>
      </c>
      <c r="AM55">
        <f>[1]data!AJ56-'Urban population'!AM55</f>
        <v>2.419305393960002</v>
      </c>
    </row>
    <row r="56" spans="1:39" x14ac:dyDescent="0.25">
      <c r="A56" t="s">
        <v>30</v>
      </c>
      <c r="B56" t="s">
        <v>31</v>
      </c>
      <c r="C56" t="s">
        <v>87</v>
      </c>
      <c r="D56" t="str">
        <f>_xlfn.XLOOKUP(C56,'[5]Country Codes'!$A$2:$A$267,'[5]Country Codes'!$B$2:$B$267)</f>
        <v>EST</v>
      </c>
      <c r="E56" t="str">
        <f>_xlfn.XLOOKUP(D56,[6]Feuil1!$C$2:$C$248,[6]Feuil1!$B$2:$B$248)</f>
        <v>EE</v>
      </c>
      <c r="F56" t="s">
        <v>33</v>
      </c>
      <c r="G56" t="str">
        <f>_xlfn.XLOOKUP(C56,'Urban population'!C56:C255,'Urban population'!G56:G255)</f>
        <v>Central Europe</v>
      </c>
      <c r="H56" t="s">
        <v>34</v>
      </c>
      <c r="I56">
        <f>[1]data!F57-'Urban population'!I56</f>
        <v>0.55069999299999983</v>
      </c>
      <c r="J56">
        <f>[1]data!G57-'Urban population'!J56</f>
        <v>0.53922646399999996</v>
      </c>
      <c r="K56">
        <f>[1]data!H57-'Urban population'!K56</f>
        <v>0.51447949999999998</v>
      </c>
      <c r="L56">
        <f>[1]data!I57-'Urban population'!L56</f>
        <v>0.49729964400000004</v>
      </c>
      <c r="M56">
        <f>[1]data!J57-'Urban population'!M56</f>
        <v>0.47589141600000007</v>
      </c>
      <c r="N56">
        <f>[1]data!K57-'Urban population'!N56</f>
        <v>0.45955414800000005</v>
      </c>
      <c r="O56">
        <f>[1]data!L57-'Urban population'!O56</f>
        <v>0.44627385299999989</v>
      </c>
      <c r="P56">
        <f>[1]data!M57-'Urban population'!P56</f>
        <v>0.44417492400000014</v>
      </c>
      <c r="Q56">
        <f>[1]data!N57-'Urban population'!Q56</f>
        <v>0.45236303999999983</v>
      </c>
      <c r="R56">
        <f>[1]data!O57-'Urban population'!R56</f>
        <v>0.43443229500000013</v>
      </c>
      <c r="S56">
        <f>[1]data!P57-'Urban population'!S56</f>
        <v>0.4287546539999999</v>
      </c>
      <c r="T56">
        <f>[1]data!Q57-'Urban population'!T56</f>
        <v>0.42528092499999992</v>
      </c>
      <c r="U56">
        <f>[1]data!R57-'Urban population'!U56</f>
        <v>0.42535779000000018</v>
      </c>
      <c r="V56">
        <f>[1]data!S57-'Urban population'!V56</f>
        <v>0.41498857999999994</v>
      </c>
      <c r="W56">
        <f>[1]data!T57-'Urban population'!W56</f>
        <v>0.40936002799999993</v>
      </c>
      <c r="X56">
        <f>[1]data!U57-'Urban population'!X56</f>
        <v>0.39280398611999989</v>
      </c>
      <c r="Y56">
        <f>[1]data!V57-'Urban population'!Y56</f>
        <v>0.3616053896000001</v>
      </c>
      <c r="Z56">
        <f>[1]data!W57-'Urban population'!Z56</f>
        <v>0.33320321980000001</v>
      </c>
      <c r="AA56">
        <f>[1]data!X57-'Urban population'!AA56</f>
        <v>0.30796161249999998</v>
      </c>
      <c r="AB56">
        <f>[1]data!Y57-'Urban population'!AB56</f>
        <v>0.28555809451000003</v>
      </c>
      <c r="AC56">
        <f>[1]data!Z57-'Urban population'!AC56</f>
        <v>0.26523022644999994</v>
      </c>
      <c r="AD56">
        <f>[1]data!AA57-'Urban population'!AD56</f>
        <v>0.24613528359000003</v>
      </c>
      <c r="AE56">
        <f>[1]data!AB57-'Urban population'!AE56</f>
        <v>0.22807694783999999</v>
      </c>
      <c r="AF56">
        <f>[1]data!AC57-'Urban population'!AF56</f>
        <v>0.21101667215999997</v>
      </c>
      <c r="AG56">
        <f>[1]data!AD57-'Urban population'!AG56</f>
        <v>0.19505518675999989</v>
      </c>
      <c r="AH56">
        <f>[1]data!AE57-'Urban population'!AH56</f>
        <v>0.18023748143000007</v>
      </c>
      <c r="AI56">
        <f>[1]data!AF57-'Urban population'!AI56</f>
        <v>0.16652394395999992</v>
      </c>
      <c r="AJ56">
        <f>[1]data!AG57-'Urban population'!AJ56</f>
        <v>0.15387299927999998</v>
      </c>
      <c r="AK56">
        <f>[1]data!AH57-'Urban population'!AK56</f>
        <v>0.14221594694000006</v>
      </c>
      <c r="AL56">
        <f>[1]data!AI57-'Urban population'!AL56</f>
        <v>0.13145531815</v>
      </c>
      <c r="AM56">
        <f>[1]data!AJ57-'Urban population'!AM56</f>
        <v>0.1213682922599999</v>
      </c>
    </row>
    <row r="57" spans="1:39" x14ac:dyDescent="0.25">
      <c r="A57" t="s">
        <v>30</v>
      </c>
      <c r="B57" t="s">
        <v>31</v>
      </c>
      <c r="C57" t="s">
        <v>88</v>
      </c>
      <c r="D57" t="str">
        <f>_xlfn.XLOOKUP(C57,'[5]Country Codes'!$A$2:$A$267,'[5]Country Codes'!$B$2:$B$267)</f>
        <v>ETH</v>
      </c>
      <c r="E57" t="str">
        <f>_xlfn.XLOOKUP(D57,[6]Feuil1!$C$2:$C$248,[6]Feuil1!$B$2:$B$248)</f>
        <v>ET</v>
      </c>
      <c r="F57" t="s">
        <v>33</v>
      </c>
      <c r="G57" t="str">
        <f>_xlfn.XLOOKUP(C57,'Urban population'!C57:C256,'Urban population'!G57:G256)</f>
        <v>Eastern Africa</v>
      </c>
      <c r="H57" t="s">
        <v>34</v>
      </c>
      <c r="I57">
        <f>[1]data!F58-'Urban population'!I57</f>
        <v>16.710907949999999</v>
      </c>
      <c r="J57">
        <f>[1]data!G58-'Urban population'!J57</f>
        <v>18.442269054</v>
      </c>
      <c r="K57">
        <f>[1]data!H58-'Urban population'!K57</f>
        <v>20.102205240000004</v>
      </c>
      <c r="L57">
        <f>[1]data!I58-'Urban population'!L57</f>
        <v>22.539229020000001</v>
      </c>
      <c r="M57">
        <f>[1]data!J58-'Urban population'!M57</f>
        <v>25.512735177999996</v>
      </c>
      <c r="N57">
        <f>[1]data!K58-'Urban population'!N57</f>
        <v>28.847125685000002</v>
      </c>
      <c r="O57">
        <f>[1]data!L58-'Urban population'!O57</f>
        <v>31.266288256000003</v>
      </c>
      <c r="P57">
        <f>[1]data!M58-'Urban population'!P57</f>
        <v>35.152228320000006</v>
      </c>
      <c r="Q57">
        <f>[1]data!N58-'Urban population'!Q57</f>
        <v>41.090258724000002</v>
      </c>
      <c r="R57">
        <f>[1]data!O58-'Urban population'!R57</f>
        <v>48.743898452000003</v>
      </c>
      <c r="S57">
        <f>[1]data!P58-'Urban population'!S57</f>
        <v>56.348719380000006</v>
      </c>
      <c r="T57">
        <f>[1]data!Q58-'Urban population'!T57</f>
        <v>64.385990559000007</v>
      </c>
      <c r="U57">
        <f>[1]data!R58-'Urban population'!U57</f>
        <v>72.751105645999999</v>
      </c>
      <c r="V57">
        <f>[1]data!S58-'Urban population'!V57</f>
        <v>81.484330303999997</v>
      </c>
      <c r="W57">
        <f>[1]data!T58-'Urban population'!W57</f>
        <v>90.54483118200001</v>
      </c>
      <c r="X57">
        <f>[1]data!U58-'Urban population'!X57</f>
        <v>99.697701342719995</v>
      </c>
      <c r="Y57">
        <f>[1]data!V58-'Urban population'!Y57</f>
        <v>108.57692424185001</v>
      </c>
      <c r="Z57">
        <f>[1]data!W58-'Urban population'!Z57</f>
        <v>116.70839873044</v>
      </c>
      <c r="AA57">
        <f>[1]data!X58-'Urban population'!AA57</f>
        <v>123.79843525563999</v>
      </c>
      <c r="AB57">
        <f>[1]data!Y58-'Urban population'!AB57</f>
        <v>129.7141167682</v>
      </c>
      <c r="AC57">
        <f>[1]data!Z58-'Urban population'!AC57</f>
        <v>134.48463147287998</v>
      </c>
      <c r="AD57">
        <f>[1]data!AA58-'Urban population'!AD57</f>
        <v>138.02889796553001</v>
      </c>
      <c r="AE57">
        <f>[1]data!AB58-'Urban population'!AE57</f>
        <v>140.3117023607</v>
      </c>
      <c r="AF57">
        <f>[1]data!AC58-'Urban population'!AF57</f>
        <v>141.01815290966999</v>
      </c>
      <c r="AG57">
        <f>[1]data!AD58-'Urban population'!AG57</f>
        <v>140.28454272296003</v>
      </c>
      <c r="AH57">
        <f>[1]data!AE58-'Urban population'!AH57</f>
        <v>138.07108324333998</v>
      </c>
      <c r="AI57">
        <f>[1]data!AF58-'Urban population'!AI57</f>
        <v>134.67992875586</v>
      </c>
      <c r="AJ57">
        <f>[1]data!AG58-'Urban population'!AJ57</f>
        <v>130.49782889616</v>
      </c>
      <c r="AK57">
        <f>[1]data!AH58-'Urban population'!AK57</f>
        <v>125.73955078020001</v>
      </c>
      <c r="AL57">
        <f>[1]data!AI58-'Urban population'!AL57</f>
        <v>120.49757034509997</v>
      </c>
      <c r="AM57">
        <f>[1]data!AJ58-'Urban population'!AM57</f>
        <v>114.87292994499958</v>
      </c>
    </row>
    <row r="58" spans="1:39" x14ac:dyDescent="0.25">
      <c r="A58" t="s">
        <v>30</v>
      </c>
      <c r="B58" t="s">
        <v>31</v>
      </c>
      <c r="C58" t="s">
        <v>89</v>
      </c>
      <c r="D58" t="str">
        <f>_xlfn.XLOOKUP(C58,'[5]Country Codes'!$A$2:$A$267,'[5]Country Codes'!$B$2:$B$267)</f>
        <v>FIN</v>
      </c>
      <c r="E58" t="str">
        <f>_xlfn.XLOOKUP(D58,[6]Feuil1!$C$2:$C$248,[6]Feuil1!$B$2:$B$248)</f>
        <v>FI</v>
      </c>
      <c r="F58" t="s">
        <v>33</v>
      </c>
      <c r="G58" t="str">
        <f>_xlfn.XLOOKUP(C58,'Urban population'!C58:C257,'Urban population'!G58:G257)</f>
        <v>Western Europe</v>
      </c>
      <c r="H58" t="s">
        <v>34</v>
      </c>
      <c r="I58">
        <f>[1]data!F59-'Urban population'!I58</f>
        <v>2.2723791000000002</v>
      </c>
      <c r="J58">
        <f>[1]data!G59-'Urban population'!J58</f>
        <v>2.1437588630000004</v>
      </c>
      <c r="K58">
        <f>[1]data!H59-'Urban population'!K58</f>
        <v>1.9728975270000002</v>
      </c>
      <c r="L58">
        <f>[1]data!I59-'Urban population'!L58</f>
        <v>1.8370771120000002</v>
      </c>
      <c r="M58">
        <f>[1]data!J59-'Urban population'!M58</f>
        <v>1.6750740270000004</v>
      </c>
      <c r="N58">
        <f>[1]data!K59-'Urban population'!N58</f>
        <v>1.514156056</v>
      </c>
      <c r="O58">
        <f>[1]data!L59-'Urban population'!O58</f>
        <v>1.3502394119999996</v>
      </c>
      <c r="P58">
        <f>[1]data!M59-'Urban population'!P58</f>
        <v>1.1842734639999999</v>
      </c>
      <c r="Q58">
        <f>[1]data!N59-'Urban population'!Q58</f>
        <v>1.0247453520000001</v>
      </c>
      <c r="R58">
        <f>[1]data!O59-'Urban population'!R58</f>
        <v>0.96879137999999987</v>
      </c>
      <c r="S58">
        <f>[1]data!P59-'Urban population'!S58</f>
        <v>0.92049585</v>
      </c>
      <c r="T58">
        <f>[1]data!Q59-'Urban population'!T58</f>
        <v>0.89545569299999972</v>
      </c>
      <c r="U58">
        <f>[1]data!R59-'Urban population'!U58</f>
        <v>0.86692112999999971</v>
      </c>
      <c r="V58">
        <f>[1]data!S59-'Urban population'!V58</f>
        <v>0.80981145199999993</v>
      </c>
      <c r="W58">
        <f>[1]data!T59-'Urban population'!W58</f>
        <v>0.80115588500000001</v>
      </c>
      <c r="X58">
        <f>[1]data!U59-'Urban population'!X58</f>
        <v>0.73011552996999995</v>
      </c>
      <c r="Y58">
        <f>[1]data!V59-'Urban population'!Y58</f>
        <v>0.66521547456000008</v>
      </c>
      <c r="Z58">
        <f>[1]data!W59-'Urban population'!Z58</f>
        <v>0.60945732143999987</v>
      </c>
      <c r="AA58">
        <f>[1]data!X59-'Urban population'!AA58</f>
        <v>0.56126625576000055</v>
      </c>
      <c r="AB58">
        <f>[1]data!Y59-'Urban population'!AB58</f>
        <v>0.51955166439999978</v>
      </c>
      <c r="AC58">
        <f>[1]data!Z59-'Urban population'!AC58</f>
        <v>0.48423444706000041</v>
      </c>
      <c r="AD58">
        <f>[1]data!AA59-'Urban population'!AD58</f>
        <v>0.45204632325000027</v>
      </c>
      <c r="AE58">
        <f>[1]data!AB59-'Urban population'!AE58</f>
        <v>0.42339960572000024</v>
      </c>
      <c r="AF58">
        <f>[1]data!AC59-'Urban population'!AF58</f>
        <v>0.39825369792000043</v>
      </c>
      <c r="AG58">
        <f>[1]data!AD59-'Urban population'!AG58</f>
        <v>0.37609687736999931</v>
      </c>
      <c r="AH58">
        <f>[1]data!AE59-'Urban population'!AH58</f>
        <v>0.35588189454999952</v>
      </c>
      <c r="AI58">
        <f>[1]data!AF59-'Urban population'!AI58</f>
        <v>0.33686067480000048</v>
      </c>
      <c r="AJ58">
        <f>[1]data!AG59-'Urban population'!AJ58</f>
        <v>0.31867547247999983</v>
      </c>
      <c r="AK58">
        <f>[1]data!AH59-'Urban population'!AK58</f>
        <v>0.30146501330999964</v>
      </c>
      <c r="AL58">
        <f>[1]data!AI59-'Urban population'!AL58</f>
        <v>0.28543692553000088</v>
      </c>
      <c r="AM58">
        <f>[1]data!AJ59-'Urban population'!AM58</f>
        <v>0.27072767890000016</v>
      </c>
    </row>
    <row r="59" spans="1:39" x14ac:dyDescent="0.25">
      <c r="A59" t="s">
        <v>30</v>
      </c>
      <c r="B59" t="s">
        <v>31</v>
      </c>
      <c r="C59" t="s">
        <v>90</v>
      </c>
      <c r="D59" t="str">
        <f>_xlfn.XLOOKUP(C59,'[5]Country Codes'!$A$2:$A$267,'[5]Country Codes'!$B$2:$B$267)</f>
        <v>FJI</v>
      </c>
      <c r="E59" t="str">
        <f>_xlfn.XLOOKUP(D59,[6]Feuil1!$C$2:$C$248,[6]Feuil1!$B$2:$B$248)</f>
        <v>FJ</v>
      </c>
      <c r="F59" t="s">
        <v>33</v>
      </c>
      <c r="G59" t="str">
        <f>_xlfn.XLOOKUP(C59,'Urban population'!C59:C258,'Urban population'!G59:G258)</f>
        <v>Oceania</v>
      </c>
      <c r="H59" t="s">
        <v>34</v>
      </c>
      <c r="I59">
        <f>[1]data!F60-'Urban population'!I59</f>
        <v>0.23161647600000002</v>
      </c>
      <c r="J59">
        <f>[1]data!G60-'Urban population'!J59</f>
        <v>0.24759043100000006</v>
      </c>
      <c r="K59">
        <f>[1]data!H60-'Urban population'!K59</f>
        <v>0.27805126299999999</v>
      </c>
      <c r="L59">
        <f>[1]data!I60-'Urban population'!L59</f>
        <v>0.31148370800000003</v>
      </c>
      <c r="M59">
        <f>[1]data!J60-'Urban population'!M59</f>
        <v>0.34058784800000003</v>
      </c>
      <c r="N59">
        <f>[1]data!K60-'Urban population'!N59</f>
        <v>0.36133728900000001</v>
      </c>
      <c r="O59">
        <f>[1]data!L60-'Urban population'!O59</f>
        <v>0.39598821400000006</v>
      </c>
      <c r="P59">
        <f>[1]data!M60-'Urban population'!P59</f>
        <v>0.44226925499999992</v>
      </c>
      <c r="Q59">
        <f>[1]data!N60-'Urban population'!Q59</f>
        <v>0.45358929599999998</v>
      </c>
      <c r="R59">
        <f>[1]data!O60-'Urban population'!R59</f>
        <v>0.43132880499999993</v>
      </c>
      <c r="S59">
        <f>[1]data!P60-'Urban population'!S59</f>
        <v>0.43142863800000003</v>
      </c>
      <c r="T59">
        <f>[1]data!Q60-'Urban population'!T59</f>
        <v>0.43630086000000001</v>
      </c>
      <c r="U59">
        <f>[1]data!R60-'Urban population'!U59</f>
        <v>0.43183523800000001</v>
      </c>
      <c r="V59">
        <f>[1]data!S60-'Urban population'!V59</f>
        <v>0.41519307299999997</v>
      </c>
      <c r="W59">
        <f>[1]data!T60-'Urban population'!W59</f>
        <v>0.39294251999999952</v>
      </c>
      <c r="X59">
        <f>[1]data!U60-'Urban population'!X59</f>
        <v>0.37985090128999965</v>
      </c>
      <c r="Y59">
        <f>[1]data!V60-'Urban population'!Y59</f>
        <v>0.36483998849999999</v>
      </c>
      <c r="Z59">
        <f>[1]data!W60-'Urban population'!Z59</f>
        <v>0.34823561919999979</v>
      </c>
      <c r="AA59">
        <f>[1]data!X60-'Urban population'!AA59</f>
        <v>0.33078339055999972</v>
      </c>
      <c r="AB59">
        <f>[1]data!Y60-'Urban population'!AB59</f>
        <v>0.31251033155999997</v>
      </c>
      <c r="AC59">
        <f>[1]data!Z60-'Urban population'!AC59</f>
        <v>0.2938192441199996</v>
      </c>
      <c r="AD59">
        <f>[1]data!AA60-'Urban population'!AD59</f>
        <v>0.27553254276999994</v>
      </c>
      <c r="AE59">
        <f>[1]data!AB60-'Urban population'!AE59</f>
        <v>0.25784024799999994</v>
      </c>
      <c r="AF59">
        <f>[1]data!AC60-'Urban population'!AF59</f>
        <v>0.24148510727000005</v>
      </c>
      <c r="AG59">
        <f>[1]data!AD60-'Urban population'!AG59</f>
        <v>0.22616641189999975</v>
      </c>
      <c r="AH59">
        <f>[1]data!AE60-'Urban population'!AH59</f>
        <v>0.21198023688000001</v>
      </c>
      <c r="AI59">
        <f>[1]data!AF60-'Urban population'!AI59</f>
        <v>0.19912969124999991</v>
      </c>
      <c r="AJ59">
        <f>[1]data!AG60-'Urban population'!AJ59</f>
        <v>0.18743947243999981</v>
      </c>
      <c r="AK59">
        <f>[1]data!AH60-'Urban population'!AK59</f>
        <v>0.1769393523599998</v>
      </c>
      <c r="AL59">
        <f>[1]data!AI60-'Urban population'!AL59</f>
        <v>0.16739367518999992</v>
      </c>
      <c r="AM59">
        <f>[1]data!AJ60-'Urban population'!AM59</f>
        <v>0.15875402467999966</v>
      </c>
    </row>
    <row r="60" spans="1:39" x14ac:dyDescent="0.25">
      <c r="A60" t="s">
        <v>30</v>
      </c>
      <c r="B60" t="s">
        <v>31</v>
      </c>
      <c r="C60" t="s">
        <v>91</v>
      </c>
      <c r="D60" t="str">
        <f>_xlfn.XLOOKUP(C60,'[5]Country Codes'!$A$2:$A$267,'[5]Country Codes'!$B$2:$B$267)</f>
        <v>FRA</v>
      </c>
      <c r="E60" t="str">
        <f>_xlfn.XLOOKUP(D60,[6]Feuil1!$C$2:$C$248,[6]Feuil1!$B$2:$B$248)</f>
        <v>FR</v>
      </c>
      <c r="F60" t="s">
        <v>33</v>
      </c>
      <c r="G60" t="str">
        <f>_xlfn.XLOOKUP(C60,'Urban population'!C60:C259,'Urban population'!G60:G259)</f>
        <v>Western Europe</v>
      </c>
      <c r="H60" t="s">
        <v>34</v>
      </c>
      <c r="I60">
        <f>[1]data!F61-'Urban population'!I60</f>
        <v>18.659915007999999</v>
      </c>
      <c r="J60">
        <f>[1]data!G61-'Urban population'!J60</f>
        <v>18.145084473999997</v>
      </c>
      <c r="K60">
        <f>[1]data!H61-'Urban population'!K60</f>
        <v>17.309260910999999</v>
      </c>
      <c r="L60">
        <f>[1]data!I61-'Urban population'!L60</f>
        <v>15.763622763000001</v>
      </c>
      <c r="M60">
        <f>[1]data!J61-'Urban population'!M60</f>
        <v>14.536714160999999</v>
      </c>
      <c r="N60">
        <f>[1]data!K61-'Urban population'!N60</f>
        <v>14.180185025999997</v>
      </c>
      <c r="O60">
        <f>[1]data!L61-'Urban population'!O60</f>
        <v>14.301041183999999</v>
      </c>
      <c r="P60">
        <f>[1]data!M61-'Urban population'!P60</f>
        <v>14.459398888999999</v>
      </c>
      <c r="Q60">
        <f>[1]data!N61-'Urban population'!Q60</f>
        <v>14.580212045000003</v>
      </c>
      <c r="R60">
        <f>[1]data!O61-'Urban population'!R60</f>
        <v>14.387789369999993</v>
      </c>
      <c r="S60">
        <f>[1]data!P61-'Urban population'!S60</f>
        <v>14.097279575999998</v>
      </c>
      <c r="T60">
        <f>[1]data!Q61-'Urban population'!T60</f>
        <v>13.811528150000008</v>
      </c>
      <c r="U60">
        <f>[1]data!R61-'Urban population'!U60</f>
        <v>13.450932143999999</v>
      </c>
      <c r="V60">
        <f>[1]data!S61-'Urban population'!V60</f>
        <v>12.934188847999998</v>
      </c>
      <c r="W60">
        <f>[1]data!T61-'Urban population'!W60</f>
        <v>12.246973449999992</v>
      </c>
      <c r="X60">
        <f>[1]data!U61-'Urban population'!X60</f>
        <v>11.750371200570001</v>
      </c>
      <c r="Y60">
        <f>[1]data!V61-'Urban population'!Y60</f>
        <v>11.229953382270011</v>
      </c>
      <c r="Z60">
        <f>[1]data!W61-'Urban population'!Z60</f>
        <v>10.700047951919998</v>
      </c>
      <c r="AA60">
        <f>[1]data!X61-'Urban population'!AA60</f>
        <v>10.155768558559991</v>
      </c>
      <c r="AB60">
        <f>[1]data!Y61-'Urban population'!AB60</f>
        <v>9.5833939370400003</v>
      </c>
      <c r="AC60">
        <f>[1]data!Z61-'Urban population'!AC60</f>
        <v>8.9880163807499969</v>
      </c>
      <c r="AD60">
        <f>[1]data!AA61-'Urban population'!AD60</f>
        <v>8.3760367121199977</v>
      </c>
      <c r="AE60">
        <f>[1]data!AB61-'Urban population'!AE60</f>
        <v>7.7678774791000151</v>
      </c>
      <c r="AF60">
        <f>[1]data!AC61-'Urban population'!AF60</f>
        <v>7.1705373438399889</v>
      </c>
      <c r="AG60">
        <f>[1]data!AD61-'Urban population'!AG60</f>
        <v>6.590268174560002</v>
      </c>
      <c r="AH60">
        <f>[1]data!AE61-'Urban population'!AH60</f>
        <v>6.0336394964400171</v>
      </c>
      <c r="AI60">
        <f>[1]data!AF61-'Urban population'!AI60</f>
        <v>5.5010272243499969</v>
      </c>
      <c r="AJ60">
        <f>[1]data!AG61-'Urban population'!AJ60</f>
        <v>4.9912257473399961</v>
      </c>
      <c r="AK60">
        <f>[1]data!AH61-'Urban population'!AK60</f>
        <v>4.5068468799500039</v>
      </c>
      <c r="AL60">
        <f>[1]data!AI61-'Urban population'!AL60</f>
        <v>4.0510170437999875</v>
      </c>
      <c r="AM60">
        <f>[1]data!AJ61-'Urban population'!AM60</f>
        <v>3.6233329747999932</v>
      </c>
    </row>
    <row r="61" spans="1:39" x14ac:dyDescent="0.25">
      <c r="A61" t="s">
        <v>30</v>
      </c>
      <c r="B61" t="s">
        <v>31</v>
      </c>
      <c r="C61" t="s">
        <v>92</v>
      </c>
      <c r="D61" t="e">
        <f>_xlfn.XLOOKUP(C61,'[5]Country Codes'!$A$2:$A$267,'[5]Country Codes'!$B$2:$B$267)</f>
        <v>#N/A</v>
      </c>
      <c r="E61" t="e">
        <f>_xlfn.XLOOKUP(D61,[6]Feuil1!$C$2:$C$248,[6]Feuil1!$B$2:$B$248)</f>
        <v>#N/A</v>
      </c>
      <c r="F61" t="s">
        <v>33</v>
      </c>
      <c r="G61" t="str">
        <f>_xlfn.XLOOKUP(C61,'Urban population'!C61:C260,'Urban population'!G61:G260)</f>
        <v>Oceania</v>
      </c>
      <c r="H61" t="s">
        <v>34</v>
      </c>
      <c r="I61">
        <f>[1]data!F62-'Urban population'!I61</f>
        <v>2.5163999999999999E-2</v>
      </c>
      <c r="J61">
        <f>[1]data!G62-'Urban population'!J61</f>
        <v>2.8616240999999997E-2</v>
      </c>
      <c r="K61">
        <f>[1]data!H62-'Urban population'!K61</f>
        <v>3.2800278000000002E-2</v>
      </c>
      <c r="L61">
        <f>[1]data!I62-'Urban population'!L61</f>
        <v>3.8233935000000004E-2</v>
      </c>
      <c r="M61">
        <f>[1]data!J62-'Urban population'!M61</f>
        <v>4.3685184000000002E-2</v>
      </c>
      <c r="N61">
        <f>[1]data!K62-'Urban population'!N61</f>
        <v>4.9198695000000001E-2</v>
      </c>
      <c r="O61">
        <f>[1]data!L62-'Urban population'!O61</f>
        <v>5.5343519999999993E-2</v>
      </c>
      <c r="P61">
        <f>[1]data!M62-'Urban population'!P61</f>
        <v>6.4108989000000005E-2</v>
      </c>
      <c r="Q61">
        <f>[1]data!N62-'Urban population'!Q61</f>
        <v>7.2491174000000005E-2</v>
      </c>
      <c r="R61">
        <f>[1]data!O62-'Urban population'!R61</f>
        <v>8.2440183E-2</v>
      </c>
      <c r="S61">
        <f>[1]data!P62-'Urban population'!S61</f>
        <v>8.6675126999999991E-2</v>
      </c>
      <c r="T61">
        <f>[1]data!Q62-'Urban population'!T61</f>
        <v>8.6415609000000004E-2</v>
      </c>
      <c r="U61">
        <f>[1]data!R62-'Urban population'!U61</f>
        <v>8.3489426999999991E-2</v>
      </c>
      <c r="V61">
        <f>[1]data!S62-'Urban population'!V61</f>
        <v>8.4663324999999998E-2</v>
      </c>
      <c r="W61">
        <f>[1]data!T62-'Urban population'!W61</f>
        <v>0.49412079300000011</v>
      </c>
      <c r="X61">
        <f>[1]data!U62-'Urban population'!X61</f>
        <v>0.49999968281999996</v>
      </c>
      <c r="Y61">
        <f>[1]data!V62-'Urban population'!Y61</f>
        <v>0.50219141805000012</v>
      </c>
      <c r="Z61">
        <f>[1]data!W62-'Urban population'!Z61</f>
        <v>0.49936629465000004</v>
      </c>
      <c r="AA61">
        <f>[1]data!X62-'Urban population'!AA61</f>
        <v>0.49137101981999998</v>
      </c>
      <c r="AB61">
        <f>[1]data!Y62-'Urban population'!AB61</f>
        <v>0.47929400770999997</v>
      </c>
      <c r="AC61">
        <f>[1]data!Z62-'Urban population'!AC61</f>
        <v>0.46330799255999944</v>
      </c>
      <c r="AD61">
        <f>[1]data!AA62-'Urban population'!AD61</f>
        <v>0.44405336885000063</v>
      </c>
      <c r="AE61">
        <f>[1]data!AB62-'Urban population'!AE61</f>
        <v>0.42272787424999991</v>
      </c>
      <c r="AF61">
        <f>[1]data!AC62-'Urban population'!AF61</f>
        <v>0.40142637051999996</v>
      </c>
      <c r="AG61">
        <f>[1]data!AD62-'Urban population'!AG61</f>
        <v>0.38051784165999997</v>
      </c>
      <c r="AH61">
        <f>[1]data!AE62-'Urban population'!AH61</f>
        <v>0.36024965823000005</v>
      </c>
      <c r="AI61">
        <f>[1]data!AF62-'Urban population'!AI61</f>
        <v>0.34041020855999998</v>
      </c>
      <c r="AJ61">
        <f>[1]data!AG62-'Urban population'!AJ61</f>
        <v>0.32114811439999996</v>
      </c>
      <c r="AK61">
        <f>[1]data!AH62-'Urban population'!AK61</f>
        <v>0.30235795357</v>
      </c>
      <c r="AL61">
        <f>[1]data!AI62-'Urban population'!AL61</f>
        <v>0.28433423614999997</v>
      </c>
      <c r="AM61">
        <f>[1]data!AJ62-'Urban population'!AM61</f>
        <v>0.26729264524999991</v>
      </c>
    </row>
    <row r="62" spans="1:39" x14ac:dyDescent="0.25">
      <c r="A62" t="s">
        <v>30</v>
      </c>
      <c r="B62" t="s">
        <v>31</v>
      </c>
      <c r="C62" t="s">
        <v>93</v>
      </c>
      <c r="D62" t="str">
        <f>_xlfn.XLOOKUP(C62,'[5]Country Codes'!$A$2:$A$267,'[5]Country Codes'!$B$2:$B$267)</f>
        <v>GAB</v>
      </c>
      <c r="E62" t="str">
        <f>_xlfn.XLOOKUP(D62,[6]Feuil1!$C$2:$C$248,[6]Feuil1!$B$2:$B$248)</f>
        <v>GA</v>
      </c>
      <c r="F62" t="s">
        <v>33</v>
      </c>
      <c r="G62" t="str">
        <f>_xlfn.XLOOKUP(C62,'Urban population'!C62:C261,'Urban population'!G62:G261)</f>
        <v>Western Africa</v>
      </c>
      <c r="H62" t="s">
        <v>34</v>
      </c>
      <c r="I62">
        <f>[1]data!F63-'Urban population'!I62</f>
        <v>0.41772685000000004</v>
      </c>
      <c r="J62">
        <f>[1]data!G63-'Urban population'!J62</f>
        <v>0.41875906400000001</v>
      </c>
      <c r="K62">
        <f>[1]data!H63-'Urban population'!K62</f>
        <v>0.42163252600000001</v>
      </c>
      <c r="L62">
        <f>[1]data!I63-'Urban population'!L62</f>
        <v>0.41418814799999998</v>
      </c>
      <c r="M62">
        <f>[1]data!J63-'Urban population'!M62</f>
        <v>0.40182899999999994</v>
      </c>
      <c r="N62">
        <f>[1]data!K63-'Urban population'!N62</f>
        <v>0.37387383000000002</v>
      </c>
      <c r="O62">
        <f>[1]data!L63-'Urban population'!O62</f>
        <v>0.33495091799999999</v>
      </c>
      <c r="P62">
        <f>[1]data!M63-'Urban population'!P62</f>
        <v>0.31762562400000005</v>
      </c>
      <c r="Q62">
        <f>[1]data!N63-'Urban population'!Q62</f>
        <v>0.29962494000000006</v>
      </c>
      <c r="R62">
        <f>[1]data!O63-'Urban population'!R62</f>
        <v>0.27914997600000002</v>
      </c>
      <c r="S62">
        <f>[1]data!P63-'Urban population'!S62</f>
        <v>0.26511411499999993</v>
      </c>
      <c r="T62">
        <f>[1]data!Q63-'Urban population'!T62</f>
        <v>0.25148199999999998</v>
      </c>
      <c r="U62">
        <f>[1]data!R63-'Urban population'!U62</f>
        <v>0.24378429499999998</v>
      </c>
      <c r="V62">
        <f>[1]data!S63-'Urban population'!V62</f>
        <v>0.23783423300000028</v>
      </c>
      <c r="W62">
        <f>[1]data!T63-'Urban population'!W62</f>
        <v>0.2245314060000001</v>
      </c>
      <c r="X62">
        <f>[1]data!U63-'Urban population'!X62</f>
        <v>0.23156261259999988</v>
      </c>
      <c r="Y62">
        <f>[1]data!V63-'Urban population'!Y62</f>
        <v>0.23557304735999995</v>
      </c>
      <c r="Z62">
        <f>[1]data!W63-'Urban population'!Z62</f>
        <v>0.23674508000999994</v>
      </c>
      <c r="AA62">
        <f>[1]data!X63-'Urban population'!AA62</f>
        <v>0.23547768753999998</v>
      </c>
      <c r="AB62">
        <f>[1]data!Y63-'Urban population'!AB62</f>
        <v>0.23189258213999997</v>
      </c>
      <c r="AC62">
        <f>[1]data!Z63-'Urban population'!AC62</f>
        <v>0.22603739444000048</v>
      </c>
      <c r="AD62">
        <f>[1]data!AA63-'Urban population'!AD62</f>
        <v>0.21816117364999998</v>
      </c>
      <c r="AE62">
        <f>[1]data!AB63-'Urban population'!AE62</f>
        <v>0.20834366365000001</v>
      </c>
      <c r="AF62">
        <f>[1]data!AC63-'Urban population'!AF62</f>
        <v>0.19694458377000013</v>
      </c>
      <c r="AG62">
        <f>[1]data!AD63-'Urban population'!AG62</f>
        <v>0.1844945630999999</v>
      </c>
      <c r="AH62">
        <f>[1]data!AE63-'Urban population'!AH62</f>
        <v>0.17175588594000013</v>
      </c>
      <c r="AI62">
        <f>[1]data!AF63-'Urban population'!AI62</f>
        <v>0.15915749903999998</v>
      </c>
      <c r="AJ62">
        <f>[1]data!AG63-'Urban population'!AJ62</f>
        <v>0.14666323279999993</v>
      </c>
      <c r="AK62">
        <f>[1]data!AH63-'Urban population'!AK62</f>
        <v>0.13445796836999957</v>
      </c>
      <c r="AL62">
        <f>[1]data!AI63-'Urban population'!AL62</f>
        <v>0.12248681374000014</v>
      </c>
      <c r="AM62">
        <f>[1]data!AJ63-'Urban population'!AM62</f>
        <v>0.11095884162000047</v>
      </c>
    </row>
    <row r="63" spans="1:39" x14ac:dyDescent="0.25">
      <c r="A63" t="s">
        <v>30</v>
      </c>
      <c r="B63" t="s">
        <v>31</v>
      </c>
      <c r="C63" t="s">
        <v>94</v>
      </c>
      <c r="D63" t="str">
        <f>_xlfn.XLOOKUP(C63,'[5]Country Codes'!$A$2:$A$267,'[5]Country Codes'!$B$2:$B$267)</f>
        <v>GBR</v>
      </c>
      <c r="E63" t="str">
        <f>_xlfn.XLOOKUP(D63,[6]Feuil1!$C$2:$C$248,[6]Feuil1!$B$2:$B$248)</f>
        <v>GB</v>
      </c>
      <c r="F63" t="s">
        <v>33</v>
      </c>
      <c r="G63" t="str">
        <f>_xlfn.XLOOKUP(C63,'Urban population'!C63:C262,'Urban population'!G63:G262)</f>
        <v>Western Europe</v>
      </c>
      <c r="H63" t="s">
        <v>34</v>
      </c>
      <c r="I63">
        <f>[1]data!F64-'Urban population'!I63</f>
        <v>10.485518819999996</v>
      </c>
      <c r="J63">
        <f>[1]data!G64-'Urban population'!J63</f>
        <v>10.881646658999998</v>
      </c>
      <c r="K63">
        <f>[1]data!H64-'Urban population'!K63</f>
        <v>11.314561464000001</v>
      </c>
      <c r="L63">
        <f>[1]data!I64-'Urban population'!L63</f>
        <v>12.000106770000002</v>
      </c>
      <c r="M63">
        <f>[1]data!J64-'Urban population'!M63</f>
        <v>12.718401459000006</v>
      </c>
      <c r="N63">
        <f>[1]data!K64-'Urban population'!N63</f>
        <v>12.545662893999996</v>
      </c>
      <c r="O63">
        <f>[1]data!L64-'Urban population'!O63</f>
        <v>12.101725424999998</v>
      </c>
      <c r="P63">
        <f>[1]data!M64-'Urban population'!P63</f>
        <v>12.227201639999997</v>
      </c>
      <c r="Q63">
        <f>[1]data!N64-'Urban population'!Q63</f>
        <v>12.512434038000002</v>
      </c>
      <c r="R63">
        <f>[1]data!O64-'Urban population'!R63</f>
        <v>12.498393096000001</v>
      </c>
      <c r="S63">
        <f>[1]data!P64-'Urban population'!S63</f>
        <v>12.510508565999999</v>
      </c>
      <c r="T63">
        <f>[1]data!Q64-'Urban population'!T63</f>
        <v>12.097135955999995</v>
      </c>
      <c r="U63">
        <f>[1]data!R64-'Urban population'!U63</f>
        <v>11.687337871000004</v>
      </c>
      <c r="V63">
        <f>[1]data!S64-'Urban population'!V63</f>
        <v>11.311407312</v>
      </c>
      <c r="W63">
        <f>[1]data!T64-'Urban population'!W63</f>
        <v>10.779138691999997</v>
      </c>
      <c r="X63">
        <f>[1]data!U64-'Urban population'!X63</f>
        <v>10.301197607999981</v>
      </c>
      <c r="Y63">
        <f>[1]data!V64-'Urban population'!Y63</f>
        <v>9.8000793896399969</v>
      </c>
      <c r="Z63">
        <f>[1]data!W64-'Urban population'!Z63</f>
        <v>9.2843938770000065</v>
      </c>
      <c r="AA63">
        <f>[1]data!X64-'Urban population'!AA63</f>
        <v>8.7675481391400041</v>
      </c>
      <c r="AB63">
        <f>[1]data!Y64-'Urban population'!AB63</f>
        <v>8.2557644477500034</v>
      </c>
      <c r="AC63">
        <f>[1]data!Z64-'Urban population'!AC63</f>
        <v>7.74940028316</v>
      </c>
      <c r="AD63">
        <f>[1]data!AA64-'Urban population'!AD63</f>
        <v>7.2201013138800079</v>
      </c>
      <c r="AE63">
        <f>[1]data!AB64-'Urban population'!AE63</f>
        <v>6.6838467214400055</v>
      </c>
      <c r="AF63">
        <f>[1]data!AC64-'Urban population'!AF63</f>
        <v>6.1530103363799924</v>
      </c>
      <c r="AG63">
        <f>[1]data!AD64-'Urban population'!AG63</f>
        <v>5.642467789899996</v>
      </c>
      <c r="AH63">
        <f>[1]data!AE64-'Urban population'!AH63</f>
        <v>5.1542141102499812</v>
      </c>
      <c r="AI63">
        <f>[1]data!AF64-'Urban population'!AI63</f>
        <v>4.6836413010999962</v>
      </c>
      <c r="AJ63">
        <f>[1]data!AG64-'Urban population'!AJ63</f>
        <v>4.2291919826700024</v>
      </c>
      <c r="AK63">
        <f>[1]data!AH64-'Urban population'!AK63</f>
        <v>3.7962556420799984</v>
      </c>
      <c r="AL63">
        <f>[1]data!AI64-'Urban population'!AL63</f>
        <v>3.3913194113600014</v>
      </c>
      <c r="AM63">
        <f>[1]data!AJ64-'Urban population'!AM63</f>
        <v>3.0172420705799965</v>
      </c>
    </row>
    <row r="64" spans="1:39" x14ac:dyDescent="0.25">
      <c r="A64" t="s">
        <v>30</v>
      </c>
      <c r="B64" t="s">
        <v>31</v>
      </c>
      <c r="C64" t="s">
        <v>95</v>
      </c>
      <c r="D64" t="str">
        <f>_xlfn.XLOOKUP(C64,'[5]Country Codes'!$A$2:$A$267,'[5]Country Codes'!$B$2:$B$267)</f>
        <v>GEO</v>
      </c>
      <c r="E64" t="str">
        <f>_xlfn.XLOOKUP(D64,[6]Feuil1!$C$2:$C$248,[6]Feuil1!$B$2:$B$248)</f>
        <v>GE</v>
      </c>
      <c r="F64" t="s">
        <v>33</v>
      </c>
      <c r="G64" t="str">
        <f>_xlfn.XLOOKUP(C64,'Urban population'!C64:C263,'Urban population'!G64:G263)</f>
        <v>Russia region</v>
      </c>
      <c r="H64" t="s">
        <v>34</v>
      </c>
      <c r="I64">
        <f>[1]data!F65-'Urban population'!I64</f>
        <v>2.207080881</v>
      </c>
      <c r="J64">
        <f>[1]data!G65-'Urban population'!J64</f>
        <v>2.2238839390000003</v>
      </c>
      <c r="K64">
        <f>[1]data!H65-'Urban population'!K64</f>
        <v>2.2843711280000001</v>
      </c>
      <c r="L64">
        <f>[1]data!I65-'Urban population'!L64</f>
        <v>2.3900124799999998</v>
      </c>
      <c r="M64">
        <f>[1]data!J65-'Urban population'!M64</f>
        <v>2.4855989599999999</v>
      </c>
      <c r="N64">
        <f>[1]data!K65-'Urban population'!N64</f>
        <v>2.4616211200000002</v>
      </c>
      <c r="O64">
        <f>[1]data!L65-'Urban population'!O64</f>
        <v>2.4359192250000001</v>
      </c>
      <c r="P64">
        <f>[1]data!M65-'Urban population'!P64</f>
        <v>2.4362893219999995</v>
      </c>
      <c r="Q64">
        <f>[1]data!N65-'Urban population'!Q64</f>
        <v>2.4409953</v>
      </c>
      <c r="R64">
        <f>[1]data!O65-'Urban population'!R64</f>
        <v>2.2795472700000006</v>
      </c>
      <c r="S64">
        <f>[1]data!P65-'Urban population'!S64</f>
        <v>2.0528835719999998</v>
      </c>
      <c r="T64">
        <f>[1]data!Q65-'Urban population'!T64</f>
        <v>1.8442737920000001</v>
      </c>
      <c r="U64">
        <f>[1]data!R65-'Urban population'!U64</f>
        <v>1.7105101349999998</v>
      </c>
      <c r="V64">
        <f>[1]data!S65-'Urban population'!V64</f>
        <v>1.6067152320000004</v>
      </c>
      <c r="W64">
        <f>[1]data!T65-'Urban population'!W64</f>
        <v>1.5265191150000001</v>
      </c>
      <c r="X64">
        <f>[1]data!U65-'Urban population'!X64</f>
        <v>1.38487590585</v>
      </c>
      <c r="Y64">
        <f>[1]data!V65-'Urban population'!Y64</f>
        <v>1.2510367994700005</v>
      </c>
      <c r="Z64">
        <f>[1]data!W65-'Urban population'!Z64</f>
        <v>1.1281912879700005</v>
      </c>
      <c r="AA64">
        <f>[1]data!X65-'Urban population'!AA64</f>
        <v>1.0192233259999997</v>
      </c>
      <c r="AB64">
        <f>[1]data!Y65-'Urban population'!AB64</f>
        <v>0.92144385960000008</v>
      </c>
      <c r="AC64">
        <f>[1]data!Z65-'Urban population'!AC64</f>
        <v>0.83204386253999996</v>
      </c>
      <c r="AD64">
        <f>[1]data!AA65-'Urban population'!AD64</f>
        <v>0.7494952896</v>
      </c>
      <c r="AE64">
        <f>[1]data!AB65-'Urban population'!AE64</f>
        <v>0.67381918609000002</v>
      </c>
      <c r="AF64">
        <f>[1]data!AC65-'Urban population'!AF64</f>
        <v>0.60781050363000011</v>
      </c>
      <c r="AG64">
        <f>[1]data!AD65-'Urban population'!AG64</f>
        <v>0.55061568520000015</v>
      </c>
      <c r="AH64">
        <f>[1]data!AE65-'Urban population'!AH64</f>
        <v>0.50090413282000013</v>
      </c>
      <c r="AI64">
        <f>[1]data!AF65-'Urban population'!AI64</f>
        <v>0.4574643769500002</v>
      </c>
      <c r="AJ64">
        <f>[1]data!AG65-'Urban population'!AJ64</f>
        <v>0.41969832621000003</v>
      </c>
      <c r="AK64">
        <f>[1]data!AH65-'Urban population'!AK64</f>
        <v>0.38713210980000001</v>
      </c>
      <c r="AL64">
        <f>[1]data!AI65-'Urban population'!AL64</f>
        <v>0.35899492199999994</v>
      </c>
      <c r="AM64">
        <f>[1]data!AJ65-'Urban population'!AM64</f>
        <v>0.33419072959999996</v>
      </c>
    </row>
    <row r="65" spans="1:39" x14ac:dyDescent="0.25">
      <c r="A65" t="s">
        <v>30</v>
      </c>
      <c r="B65" t="s">
        <v>31</v>
      </c>
      <c r="C65" t="s">
        <v>96</v>
      </c>
      <c r="D65" t="str">
        <f>_xlfn.XLOOKUP(C65,'[5]Country Codes'!$A$2:$A$267,'[5]Country Codes'!$B$2:$B$267)</f>
        <v>GHA</v>
      </c>
      <c r="E65" t="str">
        <f>_xlfn.XLOOKUP(D65,[6]Feuil1!$C$2:$C$248,[6]Feuil1!$B$2:$B$248)</f>
        <v>GH</v>
      </c>
      <c r="F65" t="s">
        <v>33</v>
      </c>
      <c r="G65" t="str">
        <f>_xlfn.XLOOKUP(C65,'Urban population'!C65:C264,'Urban population'!G65:G264)</f>
        <v>Western Africa</v>
      </c>
      <c r="H65" t="s">
        <v>34</v>
      </c>
      <c r="I65">
        <f>[1]data!F66-'Urban population'!I65</f>
        <v>4.2377392080000007</v>
      </c>
      <c r="J65">
        <f>[1]data!G66-'Urban population'!J65</f>
        <v>4.6876283409999999</v>
      </c>
      <c r="K65">
        <f>[1]data!H66-'Urban population'!K65</f>
        <v>5.2148644470000001</v>
      </c>
      <c r="L65">
        <f>[1]data!I66-'Urban population'!L65</f>
        <v>5.7141039290000002</v>
      </c>
      <c r="M65">
        <f>[1]data!J66-'Urban population'!M65</f>
        <v>6.2050499700000001</v>
      </c>
      <c r="N65">
        <f>[1]data!K66-'Urban population'!N65</f>
        <v>7.0433971999999994</v>
      </c>
      <c r="O65">
        <f>[1]data!L66-'Urban population'!O65</f>
        <v>8.0465507840000008</v>
      </c>
      <c r="P65">
        <f>[1]data!M66-'Urban population'!P65</f>
        <v>9.0555925570000007</v>
      </c>
      <c r="Q65">
        <f>[1]data!N66-'Urban population'!Q65</f>
        <v>9.697075464000001</v>
      </c>
      <c r="R65">
        <f>[1]data!O66-'Urban population'!R65</f>
        <v>10.325311618000001</v>
      </c>
      <c r="S65">
        <f>[1]data!P66-'Urban population'!S65</f>
        <v>10.890354156000001</v>
      </c>
      <c r="T65">
        <f>[1]data!Q66-'Urban population'!T65</f>
        <v>11.698328082000002</v>
      </c>
      <c r="U65">
        <f>[1]data!R66-'Urban population'!U65</f>
        <v>12.455523722000001</v>
      </c>
      <c r="V65">
        <f>[1]data!S66-'Urban population'!V65</f>
        <v>13.096118690999997</v>
      </c>
      <c r="W65">
        <f>[1]data!T66-'Urban population'!W65</f>
        <v>13.599628469000002</v>
      </c>
      <c r="X65">
        <f>[1]data!U66-'Urban population'!X65</f>
        <v>14.356495311720003</v>
      </c>
      <c r="Y65">
        <f>[1]data!V66-'Urban population'!Y65</f>
        <v>15.042094503410002</v>
      </c>
      <c r="Z65">
        <f>[1]data!W66-'Urban population'!Z65</f>
        <v>15.64723322435</v>
      </c>
      <c r="AA65">
        <f>[1]data!X66-'Urban population'!AA65</f>
        <v>16.185333459000002</v>
      </c>
      <c r="AB65">
        <f>[1]data!Y66-'Urban population'!AB65</f>
        <v>16.641206589420001</v>
      </c>
      <c r="AC65">
        <f>[1]data!Z66-'Urban population'!AC65</f>
        <v>16.997483467800002</v>
      </c>
      <c r="AD65">
        <f>[1]data!AA66-'Urban population'!AD65</f>
        <v>17.214340769400003</v>
      </c>
      <c r="AE65">
        <f>[1]data!AB66-'Urban population'!AE65</f>
        <v>17.3178686101</v>
      </c>
      <c r="AF65">
        <f>[1]data!AC66-'Urban population'!AF65</f>
        <v>17.302561706569996</v>
      </c>
      <c r="AG65">
        <f>[1]data!AD66-'Urban population'!AG65</f>
        <v>17.200598726079996</v>
      </c>
      <c r="AH65">
        <f>[1]data!AE66-'Urban population'!AH65</f>
        <v>17.012455273389996</v>
      </c>
      <c r="AI65">
        <f>[1]data!AF66-'Urban population'!AI65</f>
        <v>16.734907435019977</v>
      </c>
      <c r="AJ65">
        <f>[1]data!AG66-'Urban population'!AJ65</f>
        <v>16.387084251890002</v>
      </c>
      <c r="AK65">
        <f>[1]data!AH66-'Urban population'!AK65</f>
        <v>15.986467950150001</v>
      </c>
      <c r="AL65">
        <f>[1]data!AI66-'Urban population'!AL65</f>
        <v>15.543797821940004</v>
      </c>
      <c r="AM65">
        <f>[1]data!AJ66-'Urban population'!AM65</f>
        <v>15.069513281499994</v>
      </c>
    </row>
    <row r="66" spans="1:39" x14ac:dyDescent="0.25">
      <c r="A66" t="s">
        <v>30</v>
      </c>
      <c r="B66" t="s">
        <v>31</v>
      </c>
      <c r="C66" t="s">
        <v>97</v>
      </c>
      <c r="D66" t="str">
        <f>_xlfn.XLOOKUP(C66,'[5]Country Codes'!$A$2:$A$267,'[5]Country Codes'!$B$2:$B$267)</f>
        <v>GIN</v>
      </c>
      <c r="E66" t="str">
        <f>_xlfn.XLOOKUP(D66,[6]Feuil1!$C$2:$C$248,[6]Feuil1!$B$2:$B$248)</f>
        <v>GN</v>
      </c>
      <c r="F66" t="s">
        <v>33</v>
      </c>
      <c r="G66" t="str">
        <f>_xlfn.XLOOKUP(C66,'Urban population'!C66:C265,'Urban population'!G66:G265)</f>
        <v>Western Africa</v>
      </c>
      <c r="H66" t="s">
        <v>34</v>
      </c>
      <c r="I66">
        <f>[1]data!F67-'Urban population'!I66</f>
        <v>2.7607796549999999</v>
      </c>
      <c r="J66">
        <f>[1]data!G67-'Urban population'!J66</f>
        <v>2.9381890799999999</v>
      </c>
      <c r="K66">
        <f>[1]data!H67-'Urban population'!K66</f>
        <v>3.12031547</v>
      </c>
      <c r="L66">
        <f>[1]data!I67-'Urban population'!L66</f>
        <v>3.3144894599999999</v>
      </c>
      <c r="M66">
        <f>[1]data!J67-'Urban population'!M66</f>
        <v>3.5146213200000007</v>
      </c>
      <c r="N66">
        <f>[1]data!K67-'Urban population'!N66</f>
        <v>3.6648880799999999</v>
      </c>
      <c r="O66">
        <f>[1]data!L67-'Urban population'!O66</f>
        <v>3.7643548240000007</v>
      </c>
      <c r="P66">
        <f>[1]data!M67-'Urban population'!P66</f>
        <v>4.0107822539999995</v>
      </c>
      <c r="Q66">
        <f>[1]data!N67-'Urban population'!Q66</f>
        <v>4.4753839199999996</v>
      </c>
      <c r="R66">
        <f>[1]data!O67-'Urban population'!R66</f>
        <v>5.18698674</v>
      </c>
      <c r="S66">
        <f>[1]data!P67-'Urban population'!S66</f>
        <v>5.70997485</v>
      </c>
      <c r="T66">
        <f>[1]data!Q67-'Urban population'!T66</f>
        <v>6.1284057460000003</v>
      </c>
      <c r="U66">
        <f>[1]data!R67-'Urban population'!U66</f>
        <v>6.7254189599999989</v>
      </c>
      <c r="V66">
        <f>[1]data!S67-'Urban population'!V66</f>
        <v>7.4475125340000004</v>
      </c>
      <c r="W66">
        <f>[1]data!T67-'Urban population'!W66</f>
        <v>8.2292432900000012</v>
      </c>
      <c r="X66">
        <f>[1]data!U67-'Urban population'!X66</f>
        <v>8.7300787083099998</v>
      </c>
      <c r="Y66">
        <f>[1]data!V67-'Urban population'!Y66</f>
        <v>9.1535244236999986</v>
      </c>
      <c r="Z66">
        <f>[1]data!W67-'Urban population'!Z66</f>
        <v>9.4800092523499995</v>
      </c>
      <c r="AA66">
        <f>[1]data!X67-'Urban population'!AA66</f>
        <v>9.7106407382800004</v>
      </c>
      <c r="AB66">
        <f>[1]data!Y67-'Urban population'!AB66</f>
        <v>9.8521314177299999</v>
      </c>
      <c r="AC66">
        <f>[1]data!Z67-'Urban population'!AC66</f>
        <v>9.9025210771400012</v>
      </c>
      <c r="AD66">
        <f>[1]data!AA67-'Urban population'!AD66</f>
        <v>9.8702403934300005</v>
      </c>
      <c r="AE66">
        <f>[1]data!AB67-'Urban population'!AE66</f>
        <v>9.761603559720001</v>
      </c>
      <c r="AF66">
        <f>[1]data!AC67-'Urban population'!AF66</f>
        <v>9.5876588130400009</v>
      </c>
      <c r="AG66">
        <f>[1]data!AD67-'Urban population'!AG66</f>
        <v>9.3583241739000016</v>
      </c>
      <c r="AH66">
        <f>[1]data!AE67-'Urban population'!AH66</f>
        <v>9.0747098237900019</v>
      </c>
      <c r="AI66">
        <f>[1]data!AF67-'Urban population'!AI66</f>
        <v>8.7565495995000013</v>
      </c>
      <c r="AJ66">
        <f>[1]data!AG67-'Urban population'!AJ66</f>
        <v>8.4075726323800026</v>
      </c>
      <c r="AK66">
        <f>[1]data!AH67-'Urban population'!AK66</f>
        <v>8.0550525729800029</v>
      </c>
      <c r="AL66">
        <f>[1]data!AI67-'Urban population'!AL66</f>
        <v>7.7046875496000027</v>
      </c>
      <c r="AM66">
        <f>[1]data!AJ67-'Urban population'!AM66</f>
        <v>7.3597778578100019</v>
      </c>
    </row>
    <row r="67" spans="1:39" x14ac:dyDescent="0.25">
      <c r="A67" t="s">
        <v>30</v>
      </c>
      <c r="B67" t="s">
        <v>31</v>
      </c>
      <c r="C67" t="s">
        <v>98</v>
      </c>
      <c r="D67" t="e">
        <f>_xlfn.XLOOKUP(C67,'[5]Country Codes'!$A$2:$A$267,'[5]Country Codes'!$B$2:$B$267)</f>
        <v>#N/A</v>
      </c>
      <c r="E67" t="e">
        <f>_xlfn.XLOOKUP(D67,[6]Feuil1!$C$2:$C$248,[6]Feuil1!$B$2:$B$248)</f>
        <v>#N/A</v>
      </c>
      <c r="F67" t="s">
        <v>33</v>
      </c>
      <c r="G67" t="str">
        <f>_xlfn.XLOOKUP(C67,'Urban population'!C67:C266,'Urban population'!G67:G266)</f>
        <v>Central America</v>
      </c>
      <c r="H67" t="s">
        <v>34</v>
      </c>
      <c r="I67">
        <f>[1]data!F68-'Urban population'!I67</f>
        <v>0.13765764</v>
      </c>
      <c r="J67">
        <f>[1]data!G68-'Urban population'!J67</f>
        <v>0.12572227499999999</v>
      </c>
      <c r="K67">
        <f>[1]data!H68-'Urban population'!K67</f>
        <v>0.11092285400000002</v>
      </c>
      <c r="L67">
        <f>[1]data!I68-'Urban population'!L67</f>
        <v>8.9214103999999989E-2</v>
      </c>
      <c r="M67">
        <f>[1]data!J68-'Urban population'!M67</f>
        <v>6.5389549999999963E-2</v>
      </c>
      <c r="N67">
        <f>[1]data!K68-'Urban population'!N67</f>
        <v>4.4649072000000012E-2</v>
      </c>
      <c r="O67">
        <f>[1]data!L68-'Urban population'!O67</f>
        <v>3.0041910000000005E-2</v>
      </c>
      <c r="P67">
        <f>[1]data!M68-'Urban population'!P67</f>
        <v>2.0198349000000004E-2</v>
      </c>
      <c r="Q67">
        <f>[1]data!N68-'Urban population'!Q67</f>
        <v>1.4011055999999966E-2</v>
      </c>
      <c r="R67">
        <f>[1]data!O68-'Urban population'!R67</f>
        <v>9.4743669999999836E-3</v>
      </c>
      <c r="S67">
        <f>[1]data!P68-'Urban population'!S67</f>
        <v>6.8050879999999592E-3</v>
      </c>
      <c r="T67">
        <f>[1]data!Q68-'Urban population'!T67</f>
        <v>6.4966719999999811E-3</v>
      </c>
      <c r="U67">
        <f>[1]data!R68-'Urban population'!U67</f>
        <v>6.447439999999971E-3</v>
      </c>
      <c r="V67">
        <f>[1]data!S68-'Urban population'!V67</f>
        <v>6.3977599999999746E-3</v>
      </c>
      <c r="W67">
        <f>[1]data!T68-'Urban population'!W67</f>
        <v>5.9263949999999732E-3</v>
      </c>
      <c r="X67">
        <f>[1]data!U68-'Urban population'!X67</f>
        <v>1.0117818720000005E-2</v>
      </c>
      <c r="Y67">
        <f>[1]data!V68-'Urban population'!Y67</f>
        <v>1.5994613520000034E-2</v>
      </c>
      <c r="Z67">
        <f>[1]data!W68-'Urban population'!Z67</f>
        <v>2.2654245029999964E-2</v>
      </c>
      <c r="AA67">
        <f>[1]data!X68-'Urban population'!AA67</f>
        <v>2.8465475349999991E-2</v>
      </c>
      <c r="AB67">
        <f>[1]data!Y68-'Urban population'!AB67</f>
        <v>3.223005695000003E-2</v>
      </c>
      <c r="AC67">
        <f>[1]data!Z68-'Urban population'!AC67</f>
        <v>3.4056037799999994E-2</v>
      </c>
      <c r="AD67">
        <f>[1]data!AA68-'Urban population'!AD67</f>
        <v>3.4713253509999931E-2</v>
      </c>
      <c r="AE67">
        <f>[1]data!AB68-'Urban population'!AE67</f>
        <v>3.4823872650000032E-2</v>
      </c>
      <c r="AF67">
        <f>[1]data!AC68-'Urban population'!AF67</f>
        <v>3.4766536939999981E-2</v>
      </c>
      <c r="AG67">
        <f>[1]data!AD68-'Urban population'!AG67</f>
        <v>3.4711041199999959E-2</v>
      </c>
      <c r="AH67">
        <f>[1]data!AE68-'Urban population'!AH67</f>
        <v>3.4721084160000026E-2</v>
      </c>
      <c r="AI67">
        <f>[1]data!AF68-'Urban population'!AI67</f>
        <v>3.4830848249999991E-2</v>
      </c>
      <c r="AJ67">
        <f>[1]data!AG68-'Urban population'!AJ67</f>
        <v>3.501316594999998E-2</v>
      </c>
      <c r="AK67">
        <f>[1]data!AH68-'Urban population'!AK67</f>
        <v>3.5195250570000003E-2</v>
      </c>
      <c r="AL67">
        <f>[1]data!AI68-'Urban population'!AL67</f>
        <v>3.5320682400000025E-2</v>
      </c>
      <c r="AM67">
        <f>[1]data!AJ68-'Urban population'!AM67</f>
        <v>3.5360807160000007E-2</v>
      </c>
    </row>
    <row r="68" spans="1:39" x14ac:dyDescent="0.25">
      <c r="A68" t="s">
        <v>30</v>
      </c>
      <c r="B68" t="s">
        <v>31</v>
      </c>
      <c r="C68" t="s">
        <v>99</v>
      </c>
      <c r="D68" t="s">
        <v>260</v>
      </c>
      <c r="E68" t="str">
        <f>_xlfn.XLOOKUP(D68,[6]Feuil1!$C$2:$C$248,[6]Feuil1!$B$2:$B$248)</f>
        <v>GM</v>
      </c>
      <c r="F68" t="s">
        <v>33</v>
      </c>
      <c r="G68" t="str">
        <f>_xlfn.XLOOKUP(C68,'Urban population'!C68:C267,'Urban population'!G68:G267)</f>
        <v>Western Africa</v>
      </c>
      <c r="H68" t="s">
        <v>34</v>
      </c>
      <c r="I68">
        <f>[1]data!F69-'Urban population'!I68</f>
        <v>0.27176588399999996</v>
      </c>
      <c r="J68">
        <f>[1]data!G69-'Urban population'!J68</f>
        <v>0.30613267200000005</v>
      </c>
      <c r="K68">
        <f>[1]data!H69-'Urban population'!K68</f>
        <v>0.34646839800000001</v>
      </c>
      <c r="L68">
        <f>[1]data!I69-'Urban population'!L68</f>
        <v>0.38693538000000005</v>
      </c>
      <c r="M68">
        <f>[1]data!J69-'Urban population'!M68</f>
        <v>0.41947261999999996</v>
      </c>
      <c r="N68">
        <f>[1]data!K69-'Urban population'!N68</f>
        <v>0.45638585999999992</v>
      </c>
      <c r="O68">
        <f>[1]data!L69-'Urban population'!O68</f>
        <v>0.505906984</v>
      </c>
      <c r="P68">
        <f>[1]data!M69-'Urban population'!P68</f>
        <v>0.56274639999999998</v>
      </c>
      <c r="Q68">
        <f>[1]data!N69-'Urban population'!Q68</f>
        <v>0.62912775200000004</v>
      </c>
      <c r="R68">
        <f>[1]data!O69-'Urban population'!R68</f>
        <v>0.69275909599999985</v>
      </c>
      <c r="S68">
        <f>[1]data!P69-'Urban population'!S68</f>
        <v>0.73817207700000009</v>
      </c>
      <c r="T68">
        <f>[1]data!Q69-'Urban population'!T68</f>
        <v>0.78514704000000002</v>
      </c>
      <c r="U68">
        <f>[1]data!R69-'Urban population'!U68</f>
        <v>0.84495472099999991</v>
      </c>
      <c r="V68">
        <f>[1]data!S69-'Urban population'!V68</f>
        <v>0.90621124799999997</v>
      </c>
      <c r="W68">
        <f>[1]data!T69-'Urban population'!W68</f>
        <v>0.95035195199999989</v>
      </c>
      <c r="X68">
        <f>[1]data!U69-'Urban population'!X68</f>
        <v>1.0040723352000001</v>
      </c>
      <c r="Y68">
        <f>[1]data!V69-'Urban population'!Y68</f>
        <v>1.0536033558</v>
      </c>
      <c r="Z68">
        <f>[1]data!W69-'Urban population'!Z68</f>
        <v>1.0968086446199998</v>
      </c>
      <c r="AA68">
        <f>[1]data!X69-'Urban population'!AA68</f>
        <v>1.1289530164800001</v>
      </c>
      <c r="AB68">
        <f>[1]data!Y69-'Urban population'!AB68</f>
        <v>1.1497654220800002</v>
      </c>
      <c r="AC68">
        <f>[1]data!Z69-'Urban population'!AC68</f>
        <v>1.1578865540400001</v>
      </c>
      <c r="AD68">
        <f>[1]data!AA69-'Urban population'!AD68</f>
        <v>1.1538517221799971</v>
      </c>
      <c r="AE68">
        <f>[1]data!AB69-'Urban population'!AE68</f>
        <v>1.13802217832</v>
      </c>
      <c r="AF68">
        <f>[1]data!AC69-'Urban population'!AF68</f>
        <v>1.1141213234799996</v>
      </c>
      <c r="AG68">
        <f>[1]data!AD69-'Urban population'!AG68</f>
        <v>1.0831704936800008</v>
      </c>
      <c r="AH68">
        <f>[1]data!AE69-'Urban population'!AH68</f>
        <v>1.0454482707199997</v>
      </c>
      <c r="AI68">
        <f>[1]data!AF69-'Urban population'!AI68</f>
        <v>1.0021545933599993</v>
      </c>
      <c r="AJ68">
        <f>[1]data!AG69-'Urban population'!AJ68</f>
        <v>0.95606016131999993</v>
      </c>
      <c r="AK68">
        <f>[1]data!AH69-'Urban population'!AK68</f>
        <v>0.90819625668000192</v>
      </c>
      <c r="AL68">
        <f>[1]data!AI69-'Urban population'!AL68</f>
        <v>0.85948140024999997</v>
      </c>
      <c r="AM68">
        <f>[1]data!AJ69-'Urban population'!AM68</f>
        <v>0.81038589580000053</v>
      </c>
    </row>
    <row r="69" spans="1:39" x14ac:dyDescent="0.25">
      <c r="A69" t="s">
        <v>30</v>
      </c>
      <c r="B69" t="s">
        <v>31</v>
      </c>
      <c r="C69" t="s">
        <v>100</v>
      </c>
      <c r="D69" t="str">
        <f>_xlfn.XLOOKUP(C69,'[5]Country Codes'!$A$2:$A$267,'[5]Country Codes'!$B$2:$B$267)</f>
        <v>GNB</v>
      </c>
      <c r="E69" t="str">
        <f>_xlfn.XLOOKUP(D69,[6]Feuil1!$C$2:$C$248,[6]Feuil1!$B$2:$B$248)</f>
        <v>GW</v>
      </c>
      <c r="F69" t="s">
        <v>33</v>
      </c>
      <c r="G69" t="str">
        <f>_xlfn.XLOOKUP(C69,'Urban population'!C69:C268,'Urban population'!G69:G268)</f>
        <v>Western Africa</v>
      </c>
      <c r="H69" t="s">
        <v>34</v>
      </c>
      <c r="I69">
        <f>[1]data!F70-'Urban population'!I69</f>
        <v>0.48558239999999991</v>
      </c>
      <c r="J69">
        <f>[1]data!G70-'Urban population'!J69</f>
        <v>0.49642613199999996</v>
      </c>
      <c r="K69">
        <f>[1]data!H70-'Urban population'!K69</f>
        <v>0.49809513599999999</v>
      </c>
      <c r="L69">
        <f>[1]data!I70-'Urban population'!L69</f>
        <v>0.49989666999999999</v>
      </c>
      <c r="M69">
        <f>[1]data!J70-'Urban population'!M69</f>
        <v>0.49818046500000002</v>
      </c>
      <c r="N69">
        <f>[1]data!K70-'Urban population'!N69</f>
        <v>0.53775287999999999</v>
      </c>
      <c r="O69">
        <f>[1]data!L70-'Urban population'!O69</f>
        <v>0.677964228</v>
      </c>
      <c r="P69">
        <f>[1]data!M70-'Urban population'!P69</f>
        <v>0.68145513800000002</v>
      </c>
      <c r="Q69">
        <f>[1]data!N70-'Urban population'!Q69</f>
        <v>0.66843048000000005</v>
      </c>
      <c r="R69">
        <f>[1]data!O70-'Urban population'!R69</f>
        <v>0.72486097599999999</v>
      </c>
      <c r="S69">
        <f>[1]data!P70-'Urban population'!S69</f>
        <v>0.77705528999999984</v>
      </c>
      <c r="T69">
        <f>[1]data!Q70-'Urban population'!T69</f>
        <v>0.84236428199999991</v>
      </c>
      <c r="U69">
        <f>[1]data!R70-'Urban population'!U69</f>
        <v>0.92657273399999995</v>
      </c>
      <c r="V69">
        <f>[1]data!S70-'Urban population'!V69</f>
        <v>1.0225655309999999</v>
      </c>
      <c r="W69">
        <f>[1]data!T70-'Urban population'!W69</f>
        <v>1.1122625159999999</v>
      </c>
      <c r="X69">
        <f>[1]data!U70-'Urban population'!X69</f>
        <v>1.17260767953</v>
      </c>
      <c r="Y69">
        <f>[1]data!V70-'Urban population'!Y69</f>
        <v>1.22167502626</v>
      </c>
      <c r="Z69">
        <f>[1]data!W70-'Urban population'!Z69</f>
        <v>1.2569242192499999</v>
      </c>
      <c r="AA69">
        <f>[1]data!X70-'Urban population'!AA69</f>
        <v>1.2786666261200001</v>
      </c>
      <c r="AB69">
        <f>[1]data!Y70-'Urban population'!AB69</f>
        <v>1.2863120123700003</v>
      </c>
      <c r="AC69">
        <f>[1]data!Z70-'Urban population'!AC69</f>
        <v>1.2795256838699998</v>
      </c>
      <c r="AD69">
        <f>[1]data!AA70-'Urban population'!AD69</f>
        <v>1.25932419426</v>
      </c>
      <c r="AE69">
        <f>[1]data!AB70-'Urban population'!AE69</f>
        <v>1.2283672779999999</v>
      </c>
      <c r="AF69">
        <f>[1]data!AC70-'Urban population'!AF69</f>
        <v>1.1879934531400003</v>
      </c>
      <c r="AG69">
        <f>[1]data!AD70-'Urban population'!AG69</f>
        <v>1.1397046620200033</v>
      </c>
      <c r="AH69">
        <f>[1]data!AE70-'Urban population'!AH69</f>
        <v>1.0851709524499999</v>
      </c>
      <c r="AI69">
        <f>[1]data!AF70-'Urban population'!AI69</f>
        <v>1.0269809413799997</v>
      </c>
      <c r="AJ69">
        <f>[1]data!AG70-'Urban population'!AJ69</f>
        <v>0.96736567559999997</v>
      </c>
      <c r="AK69">
        <f>[1]data!AH70-'Urban population'!AK69</f>
        <v>0.90718716954999978</v>
      </c>
      <c r="AL69">
        <f>[1]data!AI70-'Urban population'!AL69</f>
        <v>0.84754739498999987</v>
      </c>
      <c r="AM69">
        <f>[1]data!AJ70-'Urban population'!AM69</f>
        <v>0.78915083598000013</v>
      </c>
    </row>
    <row r="70" spans="1:39" x14ac:dyDescent="0.25">
      <c r="A70" t="s">
        <v>30</v>
      </c>
      <c r="B70" t="s">
        <v>31</v>
      </c>
      <c r="C70" t="s">
        <v>101</v>
      </c>
      <c r="D70" t="str">
        <f>_xlfn.XLOOKUP(C70,'[5]Country Codes'!$A$2:$A$267,'[5]Country Codes'!$B$2:$B$267)</f>
        <v>GNQ</v>
      </c>
      <c r="E70" t="str">
        <f>_xlfn.XLOOKUP(D70,[6]Feuil1!$C$2:$C$248,[6]Feuil1!$B$2:$B$248)</f>
        <v>GQ</v>
      </c>
      <c r="F70" t="s">
        <v>33</v>
      </c>
      <c r="G70" t="str">
        <f>_xlfn.XLOOKUP(C70,'Urban population'!C70:C269,'Urban population'!G70:G269)</f>
        <v>Western Africa</v>
      </c>
      <c r="H70" t="s">
        <v>34</v>
      </c>
      <c r="I70">
        <f>[1]data!F71-'Urban population'!I70</f>
        <v>0.18968306500000001</v>
      </c>
      <c r="J70">
        <f>[1]data!G71-'Urban population'!J70</f>
        <v>0.194043308</v>
      </c>
      <c r="K70">
        <f>[1]data!H71-'Urban population'!K70</f>
        <v>0.19740711999999999</v>
      </c>
      <c r="L70">
        <f>[1]data!I71-'Urban population'!L70</f>
        <v>0.21450754499999997</v>
      </c>
      <c r="M70">
        <f>[1]data!J71-'Urban population'!M70</f>
        <v>0.23281816999999996</v>
      </c>
      <c r="N70">
        <f>[1]data!K71-'Urban population'!N70</f>
        <v>0.20822986799999998</v>
      </c>
      <c r="O70">
        <f>[1]data!L71-'Urban population'!O70</f>
        <v>0.19941201700000002</v>
      </c>
      <c r="P70">
        <f>[1]data!M71-'Urban population'!P70</f>
        <v>0.25833462300000004</v>
      </c>
      <c r="Q70">
        <f>[1]data!N71-'Urban population'!Q70</f>
        <v>0.29834786399999996</v>
      </c>
      <c r="R70">
        <f>[1]data!O71-'Urban population'!R70</f>
        <v>0.32731306999999998</v>
      </c>
      <c r="S70">
        <f>[1]data!P71-'Urban population'!S70</f>
        <v>0.33999062199999996</v>
      </c>
      <c r="T70">
        <f>[1]data!Q71-'Urban population'!T70</f>
        <v>0.35744938199999998</v>
      </c>
      <c r="U70">
        <f>[1]data!R71-'Urban population'!U70</f>
        <v>0.36440692200000002</v>
      </c>
      <c r="V70">
        <f>[1]data!S71-'Urban population'!V70</f>
        <v>0.38836988400000017</v>
      </c>
      <c r="W70">
        <f>[1]data!T71-'Urban population'!W70</f>
        <v>0.42457991600000011</v>
      </c>
      <c r="X70">
        <f>[1]data!U71-'Urban population'!X70</f>
        <v>0.44923261692000005</v>
      </c>
      <c r="Y70">
        <f>[1]data!V71-'Urban population'!Y70</f>
        <v>0.47011948365</v>
      </c>
      <c r="Z70">
        <f>[1]data!W71-'Urban population'!Z70</f>
        <v>0.48712843789999982</v>
      </c>
      <c r="AA70">
        <f>[1]data!X71-'Urban population'!AA70</f>
        <v>0.49983679855999985</v>
      </c>
      <c r="AB70">
        <f>[1]data!Y71-'Urban population'!AB70</f>
        <v>0.50807060879999977</v>
      </c>
      <c r="AC70">
        <f>[1]data!Z71-'Urban population'!AC70</f>
        <v>0.51161389776000021</v>
      </c>
      <c r="AD70">
        <f>[1]data!AA71-'Urban population'!AD70</f>
        <v>0.51006124272999998</v>
      </c>
      <c r="AE70">
        <f>[1]data!AB71-'Urban population'!AE70</f>
        <v>0.50362615737000027</v>
      </c>
      <c r="AF70">
        <f>[1]data!AC71-'Urban population'!AF70</f>
        <v>0.49263563939999999</v>
      </c>
      <c r="AG70">
        <f>[1]data!AD71-'Urban population'!AG70</f>
        <v>0.47733048160000013</v>
      </c>
      <c r="AH70">
        <f>[1]data!AE71-'Urban population'!AH70</f>
        <v>0.45848170247999986</v>
      </c>
      <c r="AI70">
        <f>[1]data!AF71-'Urban population'!AI70</f>
        <v>0.43657502019000027</v>
      </c>
      <c r="AJ70">
        <f>[1]data!AG71-'Urban population'!AJ70</f>
        <v>0.41317406550000024</v>
      </c>
      <c r="AK70">
        <f>[1]data!AH71-'Urban population'!AK70</f>
        <v>0.38872275750000007</v>
      </c>
      <c r="AL70">
        <f>[1]data!AI71-'Urban population'!AL70</f>
        <v>0.36344714659999999</v>
      </c>
      <c r="AM70">
        <f>[1]data!AJ71-'Urban population'!AM70</f>
        <v>0.33760763908000024</v>
      </c>
    </row>
    <row r="71" spans="1:39" x14ac:dyDescent="0.25">
      <c r="A71" t="s">
        <v>30</v>
      </c>
      <c r="B71" t="s">
        <v>31</v>
      </c>
      <c r="C71" t="s">
        <v>102</v>
      </c>
      <c r="D71" t="str">
        <f>_xlfn.XLOOKUP(C71,'[5]Country Codes'!$A$2:$A$267,'[5]Country Codes'!$B$2:$B$267)</f>
        <v>GRC</v>
      </c>
      <c r="E71" t="str">
        <f>_xlfn.XLOOKUP(D71,[6]Feuil1!$C$2:$C$248,[6]Feuil1!$B$2:$B$248)</f>
        <v>GR</v>
      </c>
      <c r="F71" t="s">
        <v>33</v>
      </c>
      <c r="G71" t="str">
        <f>_xlfn.XLOOKUP(C71,'Urban population'!C71:C270,'Urban population'!G71:G270)</f>
        <v>Western Europe</v>
      </c>
      <c r="H71" t="s">
        <v>34</v>
      </c>
      <c r="I71">
        <f>[1]data!F72-'Urban population'!I71</f>
        <v>3.6424833239999996</v>
      </c>
      <c r="J71">
        <f>[1]data!G72-'Urban population'!J71</f>
        <v>3.7175979779999997</v>
      </c>
      <c r="K71">
        <f>[1]data!H72-'Urban population'!K71</f>
        <v>3.7377642960000008</v>
      </c>
      <c r="L71">
        <f>[1]data!I72-'Urban population'!L71</f>
        <v>3.4120172000000002</v>
      </c>
      <c r="M71">
        <f>[1]data!J72-'Urban population'!M71</f>
        <v>3.05443452</v>
      </c>
      <c r="N71">
        <f>[1]data!K72-'Urban population'!N71</f>
        <v>2.9013957259999996</v>
      </c>
      <c r="O71">
        <f>[1]data!L72-'Urban population'!O71</f>
        <v>2.8399464800000001</v>
      </c>
      <c r="P71">
        <f>[1]data!M72-'Urban population'!P71</f>
        <v>2.888450315</v>
      </c>
      <c r="Q71">
        <f>[1]data!N72-'Urban population'!Q71</f>
        <v>2.9233401900000002</v>
      </c>
      <c r="R71">
        <f>[1]data!O72-'Urban population'!R71</f>
        <v>2.9821779900000003</v>
      </c>
      <c r="S71">
        <f>[1]data!P72-'Urban population'!S71</f>
        <v>3.0081195689999998</v>
      </c>
      <c r="T71">
        <f>[1]data!Q72-'Urban population'!T71</f>
        <v>2.8344634650000007</v>
      </c>
      <c r="U71">
        <f>[1]data!R72-'Urban population'!U71</f>
        <v>2.6178773520000007</v>
      </c>
      <c r="V71">
        <f>[1]data!S72-'Urban population'!V71</f>
        <v>2.3840115199999996</v>
      </c>
      <c r="W71">
        <f>[1]data!T72-'Urban population'!W71</f>
        <v>2.140299035</v>
      </c>
      <c r="X71">
        <f>[1]data!U72-'Urban population'!X71</f>
        <v>1.9971366611400008</v>
      </c>
      <c r="Y71">
        <f>[1]data!V72-'Urban population'!Y71</f>
        <v>1.8620224155400003</v>
      </c>
      <c r="Z71">
        <f>[1]data!W72-'Urban population'!Z71</f>
        <v>1.7349476840000015</v>
      </c>
      <c r="AA71">
        <f>[1]data!X72-'Urban population'!AA71</f>
        <v>1.6157477667600002</v>
      </c>
      <c r="AB71">
        <f>[1]data!Y72-'Urban population'!AB71</f>
        <v>1.5027533640299993</v>
      </c>
      <c r="AC71">
        <f>[1]data!Z72-'Urban population'!AC71</f>
        <v>1.3946066851199994</v>
      </c>
      <c r="AD71">
        <f>[1]data!AA72-'Urban population'!AD71</f>
        <v>1.2879269491199992</v>
      </c>
      <c r="AE71">
        <f>[1]data!AB72-'Urban population'!AE71</f>
        <v>1.1837459144700002</v>
      </c>
      <c r="AF71">
        <f>[1]data!AC72-'Urban population'!AF71</f>
        <v>1.0828132848000003</v>
      </c>
      <c r="AG71">
        <f>[1]data!AD72-'Urban population'!AG71</f>
        <v>0.98682176324000181</v>
      </c>
      <c r="AH71">
        <f>[1]data!AE72-'Urban population'!AH71</f>
        <v>0.89707939880000076</v>
      </c>
      <c r="AI71">
        <f>[1]data!AF72-'Urban population'!AI71</f>
        <v>0.81412370042999882</v>
      </c>
      <c r="AJ71">
        <f>[1]data!AG72-'Urban population'!AJ71</f>
        <v>0.73782010454999991</v>
      </c>
      <c r="AK71">
        <f>[1]data!AH72-'Urban population'!AK71</f>
        <v>0.66712868351999965</v>
      </c>
      <c r="AL71">
        <f>[1]data!AI72-'Urban population'!AL71</f>
        <v>0.60097619076000086</v>
      </c>
      <c r="AM71">
        <f>[1]data!AJ72-'Urban population'!AM71</f>
        <v>0.53850844453999969</v>
      </c>
    </row>
    <row r="72" spans="1:39" x14ac:dyDescent="0.25">
      <c r="A72" t="s">
        <v>30</v>
      </c>
      <c r="B72" t="s">
        <v>31</v>
      </c>
      <c r="C72" t="s">
        <v>103</v>
      </c>
      <c r="D72" t="str">
        <f>_xlfn.XLOOKUP(C72,'[5]Country Codes'!$A$2:$A$267,'[5]Country Codes'!$B$2:$B$267)</f>
        <v>GRD</v>
      </c>
      <c r="E72" t="str">
        <f>_xlfn.XLOOKUP(D72,[6]Feuil1!$C$2:$C$248,[6]Feuil1!$B$2:$B$248)</f>
        <v>GD</v>
      </c>
      <c r="F72" t="s">
        <v>33</v>
      </c>
      <c r="G72" t="str">
        <f>_xlfn.XLOOKUP(C72,'Urban population'!C72:C271,'Urban population'!G72:G271)</f>
        <v>Central America</v>
      </c>
      <c r="H72" t="s">
        <v>34</v>
      </c>
      <c r="I72">
        <f>[1]data!F73-'Urban population'!I72</f>
        <v>5.5067870000000005E-2</v>
      </c>
      <c r="J72">
        <f>[1]data!G73-'Urban population'!J72</f>
        <v>5.7718324000000001E-2</v>
      </c>
      <c r="K72">
        <f>[1]data!H73-'Urban population'!K72</f>
        <v>6.4796605000000007E-2</v>
      </c>
      <c r="L72">
        <f>[1]data!I73-'Urban population'!L72</f>
        <v>6.7293024000000007E-2</v>
      </c>
      <c r="M72">
        <f>[1]data!J73-'Urban population'!M72</f>
        <v>6.7058268000000004E-2</v>
      </c>
      <c r="N72">
        <f>[1]data!K73-'Urban population'!N72</f>
        <v>6.561053E-2</v>
      </c>
      <c r="O72">
        <f>[1]data!L73-'Urban population'!O72</f>
        <v>6.3707424000000012E-2</v>
      </c>
      <c r="P72">
        <f>[1]data!M73-'Urban population'!P72</f>
        <v>6.696031999999999E-2</v>
      </c>
      <c r="Q72">
        <f>[1]data!N73-'Urban population'!Q72</f>
        <v>6.5944656000000018E-2</v>
      </c>
      <c r="R72">
        <f>[1]data!O73-'Urban population'!R72</f>
        <v>6.7886820000000014E-2</v>
      </c>
      <c r="S72">
        <f>[1]data!P73-'Urban population'!S72</f>
        <v>6.8883947000000001E-2</v>
      </c>
      <c r="T72">
        <f>[1]data!Q73-'Urban population'!T72</f>
        <v>7.0432439000000013E-2</v>
      </c>
      <c r="U72">
        <f>[1]data!R73-'Urban population'!U72</f>
        <v>7.2845163000000004E-2</v>
      </c>
      <c r="V72">
        <f>[1]data!S73-'Urban population'!V72</f>
        <v>7.5827200000000011E-2</v>
      </c>
      <c r="W72">
        <f>[1]data!T73-'Urban population'!W72</f>
        <v>7.8207234999999375E-2</v>
      </c>
      <c r="X72">
        <f>[1]data!U73-'Urban population'!X72</f>
        <v>7.6236226719999994E-2</v>
      </c>
      <c r="Y72">
        <f>[1]data!V73-'Urban population'!Y72</f>
        <v>7.3541896079999988E-2</v>
      </c>
      <c r="Z72">
        <f>[1]data!W73-'Urban population'!Z72</f>
        <v>7.0413493800000004E-2</v>
      </c>
      <c r="AA72">
        <f>[1]data!X73-'Urban population'!AA72</f>
        <v>6.7266190640000001E-2</v>
      </c>
      <c r="AB72">
        <f>[1]data!Y73-'Urban population'!AB72</f>
        <v>6.4178152350000003E-2</v>
      </c>
      <c r="AC72">
        <f>[1]data!Z73-'Urban population'!AC72</f>
        <v>6.1060094479999535E-2</v>
      </c>
      <c r="AD72">
        <f>[1]data!AA73-'Urban population'!AD72</f>
        <v>5.7927485680000002E-2</v>
      </c>
      <c r="AE72">
        <f>[1]data!AB73-'Urban population'!AE72</f>
        <v>5.4773201889999998E-2</v>
      </c>
      <c r="AF72">
        <f>[1]data!AC73-'Urban population'!AF72</f>
        <v>5.1763723260000005E-2</v>
      </c>
      <c r="AG72">
        <f>[1]data!AD73-'Urban population'!AG72</f>
        <v>4.8919511739999991E-2</v>
      </c>
      <c r="AH72">
        <f>[1]data!AE73-'Urban population'!AH72</f>
        <v>4.619693250000001E-2</v>
      </c>
      <c r="AI72">
        <f>[1]data!AF73-'Urban population'!AI72</f>
        <v>4.3572576239999994E-2</v>
      </c>
      <c r="AJ72">
        <f>[1]data!AG73-'Urban population'!AJ72</f>
        <v>4.1085892319999998E-2</v>
      </c>
      <c r="AK72">
        <f>[1]data!AH73-'Urban population'!AK72</f>
        <v>3.8793089159999988E-2</v>
      </c>
      <c r="AL72">
        <f>[1]data!AI73-'Urban population'!AL72</f>
        <v>3.6724626329999691E-2</v>
      </c>
      <c r="AM72">
        <f>[1]data!AJ73-'Urban population'!AM72</f>
        <v>3.4854786040000002E-2</v>
      </c>
    </row>
    <row r="73" spans="1:39" x14ac:dyDescent="0.25">
      <c r="A73" t="s">
        <v>30</v>
      </c>
      <c r="B73" t="s">
        <v>31</v>
      </c>
      <c r="C73" t="s">
        <v>104</v>
      </c>
      <c r="D73" t="str">
        <f>_xlfn.XLOOKUP(C73,'[5]Country Codes'!$A$2:$A$267,'[5]Country Codes'!$B$2:$B$267)</f>
        <v>GTM</v>
      </c>
      <c r="E73" t="str">
        <f>_xlfn.XLOOKUP(D73,[6]Feuil1!$C$2:$C$248,[6]Feuil1!$B$2:$B$248)</f>
        <v>GT</v>
      </c>
      <c r="F73" t="s">
        <v>33</v>
      </c>
      <c r="G73" t="str">
        <f>_xlfn.XLOOKUP(C73,'Urban population'!C73:C272,'Urban population'!G73:G272)</f>
        <v>Central America</v>
      </c>
      <c r="H73" t="s">
        <v>34</v>
      </c>
      <c r="I73">
        <f>[1]data!F74-'Urban population'!I73</f>
        <v>2.2906382380000001</v>
      </c>
      <c r="J73">
        <f>[1]data!G74-'Urban population'!J73</f>
        <v>2.5278660000000004</v>
      </c>
      <c r="K73">
        <f>[1]data!H74-'Urban population'!K73</f>
        <v>2.7825354569999998</v>
      </c>
      <c r="L73">
        <f>[1]data!I74-'Urban population'!L73</f>
        <v>3.0859395599999999</v>
      </c>
      <c r="M73">
        <f>[1]data!J74-'Urban population'!M73</f>
        <v>3.4702115850000004</v>
      </c>
      <c r="N73">
        <f>[1]data!K74-'Urban population'!N73</f>
        <v>3.8526187099999998</v>
      </c>
      <c r="O73">
        <f>[1]data!L74-'Urban population'!O73</f>
        <v>4.2292243119999995</v>
      </c>
      <c r="P73">
        <f>[1]data!M74-'Urban population'!P73</f>
        <v>4.6713644070000004</v>
      </c>
      <c r="Q73">
        <f>[1]data!N74-'Urban population'!Q73</f>
        <v>5.1972877799999999</v>
      </c>
      <c r="R73">
        <f>[1]data!O74-'Urban population'!R73</f>
        <v>5.7589117989999989</v>
      </c>
      <c r="S73">
        <f>[1]data!P74-'Urban population'!S73</f>
        <v>6.3464728690000003</v>
      </c>
      <c r="T73">
        <f>[1]data!Q74-'Urban population'!T73</f>
        <v>6.9001596809999999</v>
      </c>
      <c r="U73">
        <f>[1]data!R74-'Urban population'!U73</f>
        <v>7.430038284000001</v>
      </c>
      <c r="V73">
        <f>[1]data!S74-'Urban population'!V73</f>
        <v>7.9294025000000001</v>
      </c>
      <c r="W73">
        <f>[1]data!T74-'Urban population'!W73</f>
        <v>8.3054263499999994</v>
      </c>
      <c r="X73">
        <f>[1]data!U74-'Urban population'!X73</f>
        <v>8.5879049596199994</v>
      </c>
      <c r="Y73">
        <f>[1]data!V74-'Urban population'!Y73</f>
        <v>8.8485083716900004</v>
      </c>
      <c r="Z73">
        <f>[1]data!W74-'Urban population'!Z73</f>
        <v>9.0181299291600006</v>
      </c>
      <c r="AA73">
        <f>[1]data!X74-'Urban population'!AA73</f>
        <v>9.1007666722199989</v>
      </c>
      <c r="AB73">
        <f>[1]data!Y74-'Urban population'!AB73</f>
        <v>9.0923733545000012</v>
      </c>
      <c r="AC73">
        <f>[1]data!Z74-'Urban population'!AC73</f>
        <v>8.9965111314600001</v>
      </c>
      <c r="AD73">
        <f>[1]data!AA74-'Urban population'!AD73</f>
        <v>8.8249062314500009</v>
      </c>
      <c r="AE73">
        <f>[1]data!AB74-'Urban population'!AE73</f>
        <v>8.6004504190799977</v>
      </c>
      <c r="AF73">
        <f>[1]data!AC74-'Urban population'!AF73</f>
        <v>8.3388143843999991</v>
      </c>
      <c r="AG73">
        <f>[1]data!AD74-'Urban population'!AG73</f>
        <v>8.0435500603500003</v>
      </c>
      <c r="AH73">
        <f>[1]data!AE74-'Urban population'!AH73</f>
        <v>7.7175448360799983</v>
      </c>
      <c r="AI73">
        <f>[1]data!AF74-'Urban population'!AI73</f>
        <v>7.3639457775399997</v>
      </c>
      <c r="AJ73">
        <f>[1]data!AG74-'Urban population'!AJ73</f>
        <v>6.9949331852099981</v>
      </c>
      <c r="AK73">
        <f>[1]data!AH74-'Urban population'!AK73</f>
        <v>6.6205509538499996</v>
      </c>
      <c r="AL73">
        <f>[1]data!AI74-'Urban population'!AL73</f>
        <v>6.2478374335799991</v>
      </c>
      <c r="AM73">
        <f>[1]data!AJ74-'Urban population'!AM73</f>
        <v>5.8855985607599983</v>
      </c>
    </row>
    <row r="74" spans="1:39" x14ac:dyDescent="0.25">
      <c r="A74" t="s">
        <v>30</v>
      </c>
      <c r="B74" t="s">
        <v>31</v>
      </c>
      <c r="C74" t="s">
        <v>105</v>
      </c>
      <c r="D74" t="e">
        <f>_xlfn.XLOOKUP(C74,'[5]Country Codes'!$A$2:$A$267,'[5]Country Codes'!$B$2:$B$267)</f>
        <v>#N/A</v>
      </c>
      <c r="E74" t="e">
        <f>_xlfn.XLOOKUP(D74,[6]Feuil1!$C$2:$C$248,[6]Feuil1!$B$2:$B$248)</f>
        <v>#N/A</v>
      </c>
      <c r="F74" t="s">
        <v>33</v>
      </c>
      <c r="G74" t="str">
        <f>_xlfn.XLOOKUP(C74,'Urban population'!C74:C273,'Urban population'!G74:G273)</f>
        <v>Rest of South America</v>
      </c>
      <c r="H74" t="s">
        <v>34</v>
      </c>
      <c r="I74">
        <f>[1]data!F75-'Urban population'!I74</f>
        <v>1.0763824E-2</v>
      </c>
      <c r="J74">
        <f>[1]data!G75-'Urban population'!J74</f>
        <v>1.0339236E-2</v>
      </c>
      <c r="K74">
        <f>[1]data!H75-'Urban population'!K74</f>
        <v>1.1181756000000001E-2</v>
      </c>
      <c r="L74">
        <f>[1]data!I75-'Urban population'!L74</f>
        <v>1.3048062999999999E-2</v>
      </c>
      <c r="M74">
        <f>[1]data!J75-'Urban population'!M74</f>
        <v>1.4939601999999996E-2</v>
      </c>
      <c r="N74">
        <f>[1]data!K75-'Urban population'!N74</f>
        <v>1.6448688000000003E-2</v>
      </c>
      <c r="O74">
        <f>[1]data!L75-'Urban population'!O74</f>
        <v>1.9123664000000005E-2</v>
      </c>
      <c r="P74">
        <f>[1]data!M75-'Urban population'!P74</f>
        <v>2.3041746000000002E-2</v>
      </c>
      <c r="Q74">
        <f>[1]data!N75-'Urban population'!Q74</f>
        <v>2.8331160000000008E-2</v>
      </c>
      <c r="R74">
        <f>[1]data!O75-'Urban population'!R74</f>
        <v>3.0977779999999996E-2</v>
      </c>
      <c r="S74">
        <f>[1]data!P75-'Urban population'!S74</f>
        <v>3.3627264000000018E-2</v>
      </c>
      <c r="T74">
        <f>[1]data!Q75-'Urban population'!T74</f>
        <v>3.7316916000000006E-2</v>
      </c>
      <c r="U74">
        <f>[1]data!R75-'Urban population'!U74</f>
        <v>3.8638475999999977E-2</v>
      </c>
      <c r="V74">
        <f>[1]data!S75-'Urban population'!V74</f>
        <v>3.9396815000000002E-2</v>
      </c>
      <c r="W74">
        <f>[1]data!T75-'Urban population'!W74</f>
        <v>4.0869588000000012E-2</v>
      </c>
      <c r="X74">
        <f>[1]data!U75-'Urban population'!X74</f>
        <v>4.1567185799999906E-2</v>
      </c>
      <c r="Y74">
        <f>[1]data!V75-'Urban population'!Y74</f>
        <v>4.2000951600000003E-2</v>
      </c>
      <c r="Z74">
        <f>[1]data!W75-'Urban population'!Z74</f>
        <v>4.2188653210000038E-2</v>
      </c>
      <c r="AA74">
        <f>[1]data!X75-'Urban population'!AA74</f>
        <v>4.2141403990000048E-2</v>
      </c>
      <c r="AB74">
        <f>[1]data!Y75-'Urban population'!AB74</f>
        <v>4.1885317950000001E-2</v>
      </c>
      <c r="AC74">
        <f>[1]data!Z75-'Urban population'!AC74</f>
        <v>4.1477103809999971E-2</v>
      </c>
      <c r="AD74">
        <f>[1]data!AA75-'Urban population'!AD74</f>
        <v>4.090180734000004E-2</v>
      </c>
      <c r="AE74">
        <f>[1]data!AB75-'Urban population'!AE74</f>
        <v>4.017430084000001E-2</v>
      </c>
      <c r="AF74">
        <f>[1]data!AC75-'Urban population'!AF74</f>
        <v>3.9256373519999888E-2</v>
      </c>
      <c r="AG74">
        <f>[1]data!AD75-'Urban population'!AG74</f>
        <v>3.8180539640000011E-2</v>
      </c>
      <c r="AH74">
        <f>[1]data!AE75-'Urban population'!AH74</f>
        <v>3.7053261750000011E-2</v>
      </c>
      <c r="AI74">
        <f>[1]data!AF75-'Urban population'!AI74</f>
        <v>3.5929214840000001E-2</v>
      </c>
      <c r="AJ74">
        <f>[1]data!AG75-'Urban population'!AJ74</f>
        <v>3.4794287450000017E-2</v>
      </c>
      <c r="AK74">
        <f>[1]data!AH75-'Urban population'!AK74</f>
        <v>3.3654152960000072E-2</v>
      </c>
      <c r="AL74">
        <f>[1]data!AI75-'Urban population'!AL74</f>
        <v>3.2464242199999993E-2</v>
      </c>
      <c r="AM74">
        <f>[1]data!AJ75-'Urban population'!AM74</f>
        <v>3.1242796419999941E-2</v>
      </c>
    </row>
    <row r="75" spans="1:39" x14ac:dyDescent="0.25">
      <c r="A75" t="s">
        <v>30</v>
      </c>
      <c r="B75" t="s">
        <v>31</v>
      </c>
      <c r="C75" t="s">
        <v>106</v>
      </c>
      <c r="D75" t="str">
        <f>_xlfn.XLOOKUP(C75,'[5]Country Codes'!$A$2:$A$267,'[5]Country Codes'!$B$2:$B$267)</f>
        <v>GUM</v>
      </c>
      <c r="E75" t="str">
        <f>_xlfn.XLOOKUP(D75,[6]Feuil1!$C$2:$C$248,[6]Feuil1!$B$2:$B$248)</f>
        <v>GU</v>
      </c>
      <c r="F75" t="s">
        <v>33</v>
      </c>
      <c r="G75" t="str">
        <f>_xlfn.XLOOKUP(C75,'Urban population'!C75:C274,'Urban population'!G75:G274)</f>
        <v>Oceania</v>
      </c>
      <c r="H75" t="s">
        <v>34</v>
      </c>
      <c r="I75">
        <f>[1]data!F76-'Urban population'!I75</f>
        <v>3.5531697000000001E-2</v>
      </c>
      <c r="J75">
        <f>[1]data!G76-'Urban population'!J75</f>
        <v>3.5527947000000004E-2</v>
      </c>
      <c r="K75">
        <f>[1]data!H76-'Urban population'!K75</f>
        <v>3.5747860999999999E-2</v>
      </c>
      <c r="L75">
        <f>[1]data!I76-'Urban population'!L75</f>
        <v>3.5349909999999998E-2</v>
      </c>
      <c r="M75">
        <f>[1]data!J76-'Urban population'!M75</f>
        <v>3.3242631000000002E-2</v>
      </c>
      <c r="N75">
        <f>[1]data!K76-'Urban population'!N75</f>
        <v>1.6142192E-2</v>
      </c>
      <c r="O75">
        <f>[1]data!L76-'Urban population'!O75</f>
        <v>6.7491960000000129E-3</v>
      </c>
      <c r="P75">
        <f>[1]data!M76-'Urban population'!P75</f>
        <v>9.4930990000000048E-3</v>
      </c>
      <c r="Q75">
        <f>[1]data!N76-'Urban population'!Q75</f>
        <v>1.2605748000000014E-2</v>
      </c>
      <c r="R75">
        <f>[1]data!O76-'Urban population'!R75</f>
        <v>1.1769262000000003E-2</v>
      </c>
      <c r="S75">
        <f>[1]data!P76-'Urban population'!S75</f>
        <v>1.1000393999999997E-2</v>
      </c>
      <c r="T75">
        <f>[1]data!Q76-'Urban population'!T75</f>
        <v>1.0512960000000016E-2</v>
      </c>
      <c r="U75">
        <f>[1]data!R76-'Urban population'!U75</f>
        <v>9.7045560000000031E-3</v>
      </c>
      <c r="V75">
        <f>[1]data!S76-'Urban population'!V75</f>
        <v>9.228504999999998E-3</v>
      </c>
      <c r="W75">
        <f>[1]data!T76-'Urban population'!W75</f>
        <v>8.5971209999999854E-3</v>
      </c>
      <c r="X75">
        <f>[1]data!U76-'Urban population'!X75</f>
        <v>1.0433869200000001E-2</v>
      </c>
      <c r="Y75">
        <f>[1]data!V76-'Urban population'!Y75</f>
        <v>1.2171196120000005E-2</v>
      </c>
      <c r="Z75">
        <f>[1]data!W76-'Urban population'!Z75</f>
        <v>1.3688670380000018E-2</v>
      </c>
      <c r="AA75">
        <f>[1]data!X76-'Urban population'!AA75</f>
        <v>1.4897906099999914E-2</v>
      </c>
      <c r="AB75">
        <f>[1]data!Y76-'Urban population'!AB75</f>
        <v>1.5788384639999986E-2</v>
      </c>
      <c r="AC75">
        <f>[1]data!Z76-'Urban population'!AC75</f>
        <v>1.6373512209999996E-2</v>
      </c>
      <c r="AD75">
        <f>[1]data!AA76-'Urban population'!AD75</f>
        <v>1.6711423869999992E-2</v>
      </c>
      <c r="AE75">
        <f>[1]data!AB76-'Urban population'!AE75</f>
        <v>1.6894508199999991E-2</v>
      </c>
      <c r="AF75">
        <f>[1]data!AC76-'Urban population'!AF75</f>
        <v>1.7027411519999897E-2</v>
      </c>
      <c r="AG75">
        <f>[1]data!AD76-'Urban population'!AG75</f>
        <v>1.7133466540000003E-2</v>
      </c>
      <c r="AH75">
        <f>[1]data!AE76-'Urban population'!AH75</f>
        <v>1.7230454400000011E-2</v>
      </c>
      <c r="AI75">
        <f>[1]data!AF76-'Urban population'!AI75</f>
        <v>1.7298925500000006E-2</v>
      </c>
      <c r="AJ75">
        <f>[1]data!AG76-'Urban population'!AJ75</f>
        <v>1.7338271729999993E-2</v>
      </c>
      <c r="AK75">
        <f>[1]data!AH76-'Urban population'!AK75</f>
        <v>1.7352014119999981E-2</v>
      </c>
      <c r="AL75">
        <f>[1]data!AI76-'Urban population'!AL75</f>
        <v>1.7339534520000005E-2</v>
      </c>
      <c r="AM75">
        <f>[1]data!AJ76-'Urban population'!AM75</f>
        <v>1.7312952719999997E-2</v>
      </c>
    </row>
    <row r="76" spans="1:39" x14ac:dyDescent="0.25">
      <c r="A76" t="s">
        <v>30</v>
      </c>
      <c r="B76" t="s">
        <v>31</v>
      </c>
      <c r="C76" t="s">
        <v>107</v>
      </c>
      <c r="D76" t="str">
        <f>_xlfn.XLOOKUP(C76,'[5]Country Codes'!$A$2:$A$267,'[5]Country Codes'!$B$2:$B$267)</f>
        <v>GUY</v>
      </c>
      <c r="E76" t="str">
        <f>_xlfn.XLOOKUP(D76,[6]Feuil1!$C$2:$C$248,[6]Feuil1!$B$2:$B$248)</f>
        <v>GY</v>
      </c>
      <c r="F76" t="s">
        <v>33</v>
      </c>
      <c r="G76" t="str">
        <f>_xlfn.XLOOKUP(C76,'Urban population'!C76:C275,'Urban population'!G76:G275)</f>
        <v>Brazil</v>
      </c>
      <c r="H76" t="s">
        <v>34</v>
      </c>
      <c r="I76">
        <f>[1]data!F77-'Urban population'!I76</f>
        <v>0.29718144000000002</v>
      </c>
      <c r="J76">
        <f>[1]data!G77-'Urban population'!J76</f>
        <v>0.33983521</v>
      </c>
      <c r="K76">
        <f>[1]data!H77-'Urban population'!K76</f>
        <v>0.40014748</v>
      </c>
      <c r="L76">
        <f>[1]data!I77-'Urban population'!L76</f>
        <v>0.45550879200000005</v>
      </c>
      <c r="M76">
        <f>[1]data!J77-'Urban population'!M76</f>
        <v>0.4947316180000001</v>
      </c>
      <c r="N76">
        <f>[1]data!K77-'Urban population'!N76</f>
        <v>0.51913399999999998</v>
      </c>
      <c r="O76">
        <f>[1]data!L77-'Urban population'!O76</f>
        <v>0.53998581000000001</v>
      </c>
      <c r="P76">
        <f>[1]data!M77-'Urban population'!P76</f>
        <v>0.54219689999999998</v>
      </c>
      <c r="Q76">
        <f>[1]data!N77-'Urban population'!Q76</f>
        <v>0.52804505599999996</v>
      </c>
      <c r="R76">
        <f>[1]data!O77-'Urban population'!R76</f>
        <v>0.53223566499999997</v>
      </c>
      <c r="S76">
        <f>[1]data!P77-'Urban population'!S76</f>
        <v>0.54088893000000005</v>
      </c>
      <c r="T76">
        <f>[1]data!Q77-'Urban population'!T76</f>
        <v>0.54889761199999998</v>
      </c>
      <c r="U76">
        <f>[1]data!R77-'Urban population'!U76</f>
        <v>0.55027686399999998</v>
      </c>
      <c r="V76">
        <f>[1]data!S77-'Urban population'!V76</f>
        <v>0.55422860800000007</v>
      </c>
      <c r="W76">
        <f>[1]data!T77-'Urban population'!W76</f>
        <v>0.57963053999999925</v>
      </c>
      <c r="X76">
        <f>[1]data!U77-'Urban population'!X76</f>
        <v>0.56793021545999933</v>
      </c>
      <c r="Y76">
        <f>[1]data!V77-'Urban population'!Y76</f>
        <v>0.55141721152000001</v>
      </c>
      <c r="Z76">
        <f>[1]data!W77-'Urban population'!Z76</f>
        <v>0.52978906225</v>
      </c>
      <c r="AA76">
        <f>[1]data!X77-'Urban population'!AA76</f>
        <v>0.50402150820000002</v>
      </c>
      <c r="AB76">
        <f>[1]data!Y77-'Urban population'!AB76</f>
        <v>0.4751425815499995</v>
      </c>
      <c r="AC76">
        <f>[1]data!Z77-'Urban population'!AC76</f>
        <v>0.44460881999999952</v>
      </c>
      <c r="AD76">
        <f>[1]data!AA77-'Urban population'!AD76</f>
        <v>0.41405775833999997</v>
      </c>
      <c r="AE76">
        <f>[1]data!AB77-'Urban population'!AE76</f>
        <v>0.38419990881999999</v>
      </c>
      <c r="AF76">
        <f>[1]data!AC77-'Urban population'!AF76</f>
        <v>0.35675541245999998</v>
      </c>
      <c r="AG76">
        <f>[1]data!AD77-'Urban population'!AG76</f>
        <v>0.33155365949999965</v>
      </c>
      <c r="AH76">
        <f>[1]data!AE77-'Urban population'!AH76</f>
        <v>0.30834393554</v>
      </c>
      <c r="AI76">
        <f>[1]data!AF77-'Urban population'!AI76</f>
        <v>0.28692052308000005</v>
      </c>
      <c r="AJ76">
        <f>[1]data!AG77-'Urban population'!AJ76</f>
        <v>0.26720008719999994</v>
      </c>
      <c r="AK76">
        <f>[1]data!AH77-'Urban population'!AK76</f>
        <v>0.24919043852999995</v>
      </c>
      <c r="AL76">
        <f>[1]data!AI77-'Urban population'!AL76</f>
        <v>0.23289042133999999</v>
      </c>
      <c r="AM76">
        <f>[1]data!AJ77-'Urban population'!AM76</f>
        <v>0.21829899286999993</v>
      </c>
    </row>
    <row r="77" spans="1:39" x14ac:dyDescent="0.25">
      <c r="A77" t="s">
        <v>30</v>
      </c>
      <c r="B77" t="s">
        <v>31</v>
      </c>
      <c r="C77" t="s">
        <v>108</v>
      </c>
      <c r="D77" t="e">
        <f>_xlfn.XLOOKUP(C77,'[5]Country Codes'!$A$2:$A$267,'[5]Country Codes'!$B$2:$B$267)</f>
        <v>#N/A</v>
      </c>
      <c r="E77" t="e">
        <f>_xlfn.XLOOKUP(D77,[6]Feuil1!$C$2:$C$248,[6]Feuil1!$B$2:$B$248)</f>
        <v>#N/A</v>
      </c>
      <c r="F77" t="s">
        <v>33</v>
      </c>
      <c r="G77" t="e">
        <f>_xlfn.XLOOKUP(C77,'Urban population'!C77:C276,'Urban population'!G77:G276)</f>
        <v>#N/A</v>
      </c>
      <c r="H77" t="s">
        <v>34</v>
      </c>
      <c r="I77" t="e">
        <f>[1]data!F78-'Urban population'!I77</f>
        <v>#N/A</v>
      </c>
      <c r="J77" t="e">
        <f>[1]data!G78-'Urban population'!J77</f>
        <v>#N/A</v>
      </c>
      <c r="K77" t="e">
        <f>[1]data!H78-'Urban population'!K77</f>
        <v>#N/A</v>
      </c>
      <c r="L77" t="e">
        <f>[1]data!I78-'Urban population'!L77</f>
        <v>#N/A</v>
      </c>
      <c r="M77" t="e">
        <f>[1]data!J78-'Urban population'!M77</f>
        <v>#N/A</v>
      </c>
      <c r="N77" t="e">
        <f>[1]data!K78-'Urban population'!N77</f>
        <v>#N/A</v>
      </c>
      <c r="O77" t="e">
        <f>[1]data!L78-'Urban population'!O77</f>
        <v>#N/A</v>
      </c>
      <c r="P77" t="e">
        <f>[1]data!M78-'Urban population'!P77</f>
        <v>#N/A</v>
      </c>
      <c r="Q77" t="e">
        <f>[1]data!N78-'Urban population'!Q77</f>
        <v>#N/A</v>
      </c>
      <c r="R77" t="e">
        <f>[1]data!O78-'Urban population'!R77</f>
        <v>#N/A</v>
      </c>
      <c r="S77" t="e">
        <f>[1]data!P78-'Urban population'!S77</f>
        <v>#N/A</v>
      </c>
      <c r="T77" t="e">
        <f>[1]data!Q78-'Urban population'!T77</f>
        <v>#N/A</v>
      </c>
      <c r="U77" t="e">
        <f>[1]data!R78-'Urban population'!U77</f>
        <v>#N/A</v>
      </c>
      <c r="V77" t="e">
        <f>[1]data!S78-'Urban population'!V77</f>
        <v>#N/A</v>
      </c>
      <c r="W77" t="e">
        <f>[1]data!T78-'Urban population'!W77</f>
        <v>#N/A</v>
      </c>
      <c r="X77" t="e">
        <f>[1]data!U78-'Urban population'!X77</f>
        <v>#N/A</v>
      </c>
      <c r="Y77" t="e">
        <f>[1]data!V78-'Urban population'!Y77</f>
        <v>#N/A</v>
      </c>
      <c r="Z77" t="e">
        <f>[1]data!W78-'Urban population'!Z77</f>
        <v>#N/A</v>
      </c>
      <c r="AA77" t="e">
        <f>[1]data!X78-'Urban population'!AA77</f>
        <v>#N/A</v>
      </c>
      <c r="AB77" t="e">
        <f>[1]data!Y78-'Urban population'!AB77</f>
        <v>#N/A</v>
      </c>
      <c r="AC77" t="e">
        <f>[1]data!Z78-'Urban population'!AC77</f>
        <v>#N/A</v>
      </c>
      <c r="AD77" t="e">
        <f>[1]data!AA78-'Urban population'!AD77</f>
        <v>#N/A</v>
      </c>
      <c r="AE77" t="e">
        <f>[1]data!AB78-'Urban population'!AE77</f>
        <v>#N/A</v>
      </c>
      <c r="AF77" t="e">
        <f>[1]data!AC78-'Urban population'!AF77</f>
        <v>#N/A</v>
      </c>
      <c r="AG77" t="e">
        <f>[1]data!AD78-'Urban population'!AG77</f>
        <v>#N/A</v>
      </c>
      <c r="AH77" t="e">
        <f>[1]data!AE78-'Urban population'!AH77</f>
        <v>#N/A</v>
      </c>
      <c r="AI77" t="e">
        <f>[1]data!AF78-'Urban population'!AI77</f>
        <v>#N/A</v>
      </c>
      <c r="AJ77" t="e">
        <f>[1]data!AG78-'Urban population'!AJ77</f>
        <v>#N/A</v>
      </c>
      <c r="AK77" t="e">
        <f>[1]data!AH78-'Urban population'!AK77</f>
        <v>#N/A</v>
      </c>
      <c r="AL77" t="e">
        <f>[1]data!AI78-'Urban population'!AL77</f>
        <v>#N/A</v>
      </c>
      <c r="AM77" t="e">
        <f>[1]data!AJ78-'Urban population'!AM77</f>
        <v>#N/A</v>
      </c>
    </row>
    <row r="78" spans="1:39" x14ac:dyDescent="0.25">
      <c r="A78" t="s">
        <v>30</v>
      </c>
      <c r="B78" t="s">
        <v>31</v>
      </c>
      <c r="C78" t="s">
        <v>109</v>
      </c>
      <c r="D78" t="str">
        <f>_xlfn.XLOOKUP(C78,'[5]Country Codes'!$A$2:$A$267,'[5]Country Codes'!$B$2:$B$267)</f>
        <v>HND</v>
      </c>
      <c r="E78" t="str">
        <f>_xlfn.XLOOKUP(D78,[6]Feuil1!$C$2:$C$248,[6]Feuil1!$B$2:$B$248)</f>
        <v>HN</v>
      </c>
      <c r="F78" t="s">
        <v>33</v>
      </c>
      <c r="G78" t="str">
        <f>_xlfn.XLOOKUP(C78,'Urban population'!C78:C277,'Urban population'!G78:G277)</f>
        <v>Central America</v>
      </c>
      <c r="H78" t="s">
        <v>34</v>
      </c>
      <c r="I78">
        <f>[1]data!F79-'Urban population'!I78</f>
        <v>1.265757936</v>
      </c>
      <c r="J78">
        <f>[1]data!G79-'Urban population'!J78</f>
        <v>1.4164136000000001</v>
      </c>
      <c r="K78">
        <f>[1]data!H79-'Urban population'!K78</f>
        <v>1.5833111640000002</v>
      </c>
      <c r="L78">
        <f>[1]data!I79-'Urban population'!L78</f>
        <v>1.7597122839999999</v>
      </c>
      <c r="M78">
        <f>[1]data!J79-'Urban population'!M78</f>
        <v>1.949055768</v>
      </c>
      <c r="N78">
        <f>[1]data!K79-'Urban population'!N78</f>
        <v>2.1598351740000004</v>
      </c>
      <c r="O78">
        <f>[1]data!L79-'Urban population'!O78</f>
        <v>2.4215305589999998</v>
      </c>
      <c r="P78">
        <f>[1]data!M79-'Urban population'!P78</f>
        <v>2.6940775260000001</v>
      </c>
      <c r="Q78">
        <f>[1]data!N79-'Urban population'!Q78</f>
        <v>2.9645732200000001</v>
      </c>
      <c r="R78">
        <f>[1]data!O79-'Urban population'!R78</f>
        <v>3.2729440210000003</v>
      </c>
      <c r="S78">
        <f>[1]data!P79-'Urban population'!S78</f>
        <v>3.5787386850000003</v>
      </c>
      <c r="T78">
        <f>[1]data!Q79-'Urban population'!T78</f>
        <v>3.841687914</v>
      </c>
      <c r="U78">
        <f>[1]data!R79-'Urban population'!U78</f>
        <v>4.0234207</v>
      </c>
      <c r="V78">
        <f>[1]data!S79-'Urban population'!V78</f>
        <v>4.1266480639999994</v>
      </c>
      <c r="W78">
        <f>[1]data!T79-'Urban population'!W78</f>
        <v>4.1773817280000003</v>
      </c>
      <c r="X78">
        <f>[1]data!U79-'Urban population'!X78</f>
        <v>4.2595846162200006</v>
      </c>
      <c r="Y78">
        <f>[1]data!V79-'Urban population'!Y78</f>
        <v>4.3127515138399994</v>
      </c>
      <c r="Z78">
        <f>[1]data!W79-'Urban population'!Z78</f>
        <v>4.3243791102500007</v>
      </c>
      <c r="AA78">
        <f>[1]data!X79-'Urban population'!AA78</f>
        <v>4.2924329816000011</v>
      </c>
      <c r="AB78">
        <f>[1]data!Y79-'Urban population'!AB78</f>
        <v>4.2234222710400005</v>
      </c>
      <c r="AC78">
        <f>[1]data!Z79-'Urban population'!AC78</f>
        <v>4.1293502489999998</v>
      </c>
      <c r="AD78">
        <f>[1]data!AA79-'Urban population'!AD78</f>
        <v>4.0160768824000019</v>
      </c>
      <c r="AE78">
        <f>[1]data!AB79-'Urban population'!AE78</f>
        <v>3.8856334831600012</v>
      </c>
      <c r="AF78">
        <f>[1]data!AC79-'Urban population'!AF78</f>
        <v>3.7415387360499999</v>
      </c>
      <c r="AG78">
        <f>[1]data!AD79-'Urban population'!AG78</f>
        <v>3.5835181358199986</v>
      </c>
      <c r="AH78">
        <f>[1]data!AE79-'Urban population'!AH78</f>
        <v>3.4161506375999995</v>
      </c>
      <c r="AI78">
        <f>[1]data!AF79-'Urban population'!AI78</f>
        <v>3.2432714647500003</v>
      </c>
      <c r="AJ78">
        <f>[1]data!AG79-'Urban population'!AJ78</f>
        <v>3.069912562199999</v>
      </c>
      <c r="AK78">
        <f>[1]data!AH79-'Urban population'!AK78</f>
        <v>2.8986292657299995</v>
      </c>
      <c r="AL78">
        <f>[1]data!AI79-'Urban population'!AL78</f>
        <v>2.7319718914600006</v>
      </c>
      <c r="AM78">
        <f>[1]data!AJ79-'Urban population'!AM78</f>
        <v>2.5718118665399992</v>
      </c>
    </row>
    <row r="79" spans="1:39" x14ac:dyDescent="0.25">
      <c r="A79" t="s">
        <v>30</v>
      </c>
      <c r="B79" t="s">
        <v>31</v>
      </c>
      <c r="C79" t="s">
        <v>110</v>
      </c>
      <c r="D79" t="str">
        <f>_xlfn.XLOOKUP(C79,'[5]Country Codes'!$A$2:$A$267,'[5]Country Codes'!$B$2:$B$267)</f>
        <v>HRV</v>
      </c>
      <c r="E79" t="str">
        <f>_xlfn.XLOOKUP(D79,[6]Feuil1!$C$2:$C$248,[6]Feuil1!$B$2:$B$248)</f>
        <v>HR</v>
      </c>
      <c r="F79" t="s">
        <v>33</v>
      </c>
      <c r="G79" t="str">
        <f>_xlfn.XLOOKUP(C79,'Urban population'!C79:C278,'Urban population'!G79:G278)</f>
        <v>Central Europe</v>
      </c>
      <c r="H79" t="s">
        <v>34</v>
      </c>
      <c r="I79">
        <f>[1]data!F80-'Urban population'!I79</f>
        <v>2.9883653100000003</v>
      </c>
      <c r="J79">
        <f>[1]data!G80-'Urban population'!J79</f>
        <v>2.9829962400000003</v>
      </c>
      <c r="K79">
        <f>[1]data!H80-'Urban population'!K79</f>
        <v>2.9310402040000003</v>
      </c>
      <c r="L79">
        <f>[1]data!I80-'Urban population'!L79</f>
        <v>2.8313310999999999</v>
      </c>
      <c r="M79">
        <f>[1]data!J80-'Urban population'!M79</f>
        <v>2.68168316</v>
      </c>
      <c r="N79">
        <f>[1]data!K80-'Urban population'!N79</f>
        <v>2.5641150150000001</v>
      </c>
      <c r="O79">
        <f>[1]data!L80-'Urban population'!O79</f>
        <v>2.4604602350000007</v>
      </c>
      <c r="P79">
        <f>[1]data!M80-'Urban population'!P79</f>
        <v>2.428487412</v>
      </c>
      <c r="Q79">
        <f>[1]data!N80-'Urban population'!Q79</f>
        <v>2.3892395099999999</v>
      </c>
      <c r="R79">
        <f>[1]data!O80-'Urban population'!R79</f>
        <v>2.3053686660000001</v>
      </c>
      <c r="S79">
        <f>[1]data!P80-'Urban population'!S79</f>
        <v>2.1330791179999995</v>
      </c>
      <c r="T79">
        <f>[1]data!Q80-'Urban population'!T79</f>
        <v>2.0272917590000006</v>
      </c>
      <c r="U79">
        <f>[1]data!R80-'Urban population'!U79</f>
        <v>1.9605160960000001</v>
      </c>
      <c r="V79">
        <f>[1]data!S80-'Urban population'!V79</f>
        <v>1.8706782899999999</v>
      </c>
      <c r="W79">
        <f>[1]data!T80-'Urban population'!W79</f>
        <v>1.7446090559999998</v>
      </c>
      <c r="X79">
        <f>[1]data!U80-'Urban population'!X79</f>
        <v>1.5957351438000003</v>
      </c>
      <c r="Y79">
        <f>[1]data!V80-'Urban population'!Y79</f>
        <v>1.4591384687999995</v>
      </c>
      <c r="Z79">
        <f>[1]data!W80-'Urban population'!Z79</f>
        <v>1.3358062064</v>
      </c>
      <c r="AA79">
        <f>[1]data!X80-'Urban population'!AA79</f>
        <v>1.2242936233999999</v>
      </c>
      <c r="AB79">
        <f>[1]data!Y80-'Urban population'!AB79</f>
        <v>1.12418139645</v>
      </c>
      <c r="AC79">
        <f>[1]data!Z80-'Urban population'!AC79</f>
        <v>1.0348937467499999</v>
      </c>
      <c r="AD79">
        <f>[1]data!AA80-'Urban population'!AD79</f>
        <v>0.95523955308999975</v>
      </c>
      <c r="AE79">
        <f>[1]data!AB80-'Urban population'!AE79</f>
        <v>0.88418633243999967</v>
      </c>
      <c r="AF79">
        <f>[1]data!AC80-'Urban population'!AF79</f>
        <v>0.82042932720000028</v>
      </c>
      <c r="AG79">
        <f>[1]data!AD80-'Urban population'!AG79</f>
        <v>0.76260056389999997</v>
      </c>
      <c r="AH79">
        <f>[1]data!AE80-'Urban population'!AH79</f>
        <v>0.70966942919999987</v>
      </c>
      <c r="AI79">
        <f>[1]data!AF80-'Urban population'!AI79</f>
        <v>0.6611575502</v>
      </c>
      <c r="AJ79">
        <f>[1]data!AG80-'Urban population'!AJ79</f>
        <v>0.61689016959999998</v>
      </c>
      <c r="AK79">
        <f>[1]data!AH80-'Urban population'!AK79</f>
        <v>0.5764230831599999</v>
      </c>
      <c r="AL79">
        <f>[1]data!AI80-'Urban population'!AL79</f>
        <v>0.53909279424000012</v>
      </c>
      <c r="AM79">
        <f>[1]data!AJ80-'Urban population'!AM79</f>
        <v>0.50430505193999986</v>
      </c>
    </row>
    <row r="80" spans="1:39" x14ac:dyDescent="0.25">
      <c r="A80" t="s">
        <v>30</v>
      </c>
      <c r="B80" t="s">
        <v>31</v>
      </c>
      <c r="C80" t="s">
        <v>111</v>
      </c>
      <c r="D80" t="str">
        <f>_xlfn.XLOOKUP(C80,'[5]Country Codes'!$A$2:$A$267,'[5]Country Codes'!$B$2:$B$267)</f>
        <v>HTI</v>
      </c>
      <c r="E80" t="str">
        <f>_xlfn.XLOOKUP(D80,[6]Feuil1!$C$2:$C$248,[6]Feuil1!$B$2:$B$248)</f>
        <v>HT</v>
      </c>
      <c r="F80" t="s">
        <v>33</v>
      </c>
      <c r="G80" t="str">
        <f>_xlfn.XLOOKUP(C80,'Urban population'!C80:C279,'Urban population'!G80:G279)</f>
        <v>Central America</v>
      </c>
      <c r="H80" t="s">
        <v>34</v>
      </c>
      <c r="I80">
        <f>[1]data!F81-'Urban population'!I80</f>
        <v>2.8274277899999998</v>
      </c>
      <c r="J80">
        <f>[1]data!G81-'Urban population'!J80</f>
        <v>3.0278913700000003</v>
      </c>
      <c r="K80">
        <f>[1]data!H81-'Urban population'!K80</f>
        <v>3.2615696359999999</v>
      </c>
      <c r="L80">
        <f>[1]data!I81-'Urban population'!L80</f>
        <v>3.4897850240000001</v>
      </c>
      <c r="M80">
        <f>[1]data!J81-'Urban population'!M80</f>
        <v>3.7199366500000002</v>
      </c>
      <c r="N80">
        <f>[1]data!K81-'Urban population'!N80</f>
        <v>4.0409489240000003</v>
      </c>
      <c r="O80">
        <f>[1]data!L81-'Urban population'!O80</f>
        <v>4.4448704400000008</v>
      </c>
      <c r="P80">
        <f>[1]data!M81-'Urban population'!P80</f>
        <v>4.7413508610000008</v>
      </c>
      <c r="Q80">
        <f>[1]data!N81-'Urban population'!Q80</f>
        <v>4.9008259299999999</v>
      </c>
      <c r="R80">
        <f>[1]data!O81-'Urban population'!R80</f>
        <v>5.0928181399999994</v>
      </c>
      <c r="S80">
        <f>[1]data!P81-'Urban population'!S80</f>
        <v>5.3347478800000001</v>
      </c>
      <c r="T80">
        <f>[1]data!Q81-'Urban population'!T80</f>
        <v>5.1859774959999996</v>
      </c>
      <c r="U80">
        <f>[1]data!R81-'Urban population'!U80</f>
        <v>5.1496473000000007</v>
      </c>
      <c r="V80">
        <f>[1]data!S81-'Urban population'!V80</f>
        <v>4.9924926800000007</v>
      </c>
      <c r="W80">
        <f>[1]data!T81-'Urban population'!W80</f>
        <v>4.8196026449999989</v>
      </c>
      <c r="X80">
        <f>[1]data!U81-'Urban population'!X80</f>
        <v>4.9139970489000007</v>
      </c>
      <c r="Y80">
        <f>[1]data!V81-'Urban population'!Y80</f>
        <v>4.9795529259800002</v>
      </c>
      <c r="Z80">
        <f>[1]data!W81-'Urban population'!Z80</f>
        <v>5.0016543907199988</v>
      </c>
      <c r="AA80">
        <f>[1]data!X81-'Urban population'!AA80</f>
        <v>4.9791620867800006</v>
      </c>
      <c r="AB80">
        <f>[1]data!Y81-'Urban population'!AB80</f>
        <v>4.9198573249999988</v>
      </c>
      <c r="AC80">
        <f>[1]data!Z81-'Urban population'!AC80</f>
        <v>4.8207003905100017</v>
      </c>
      <c r="AD80">
        <f>[1]data!AA81-'Urban population'!AD80</f>
        <v>4.6831037083599991</v>
      </c>
      <c r="AE80">
        <f>[1]data!AB81-'Urban population'!AE80</f>
        <v>4.5143020095300006</v>
      </c>
      <c r="AF80">
        <f>[1]data!AC81-'Urban population'!AF80</f>
        <v>4.3311945319500005</v>
      </c>
      <c r="AG80">
        <f>[1]data!AD81-'Urban population'!AG80</f>
        <v>4.1407157845199993</v>
      </c>
      <c r="AH80">
        <f>[1]data!AE81-'Urban population'!AH80</f>
        <v>3.9476636669299996</v>
      </c>
      <c r="AI80">
        <f>[1]data!AF81-'Urban population'!AI80</f>
        <v>3.7543532530000014</v>
      </c>
      <c r="AJ80">
        <f>[1]data!AG81-'Urban population'!AJ80</f>
        <v>3.5619046379099988</v>
      </c>
      <c r="AK80">
        <f>[1]data!AH81-'Urban population'!AK80</f>
        <v>3.3717257707200012</v>
      </c>
      <c r="AL80">
        <f>[1]data!AI81-'Urban population'!AL80</f>
        <v>3.1856487103499997</v>
      </c>
      <c r="AM80">
        <f>[1]data!AJ81-'Urban population'!AM80</f>
        <v>3.006102520979999</v>
      </c>
    </row>
    <row r="81" spans="1:39" x14ac:dyDescent="0.25">
      <c r="A81" t="s">
        <v>30</v>
      </c>
      <c r="B81" t="s">
        <v>31</v>
      </c>
      <c r="C81" t="s">
        <v>112</v>
      </c>
      <c r="D81" t="str">
        <f>_xlfn.XLOOKUP(C81,'[5]Country Codes'!$A$2:$A$267,'[5]Country Codes'!$B$2:$B$267)</f>
        <v>HUN</v>
      </c>
      <c r="E81" t="str">
        <f>_xlfn.XLOOKUP(D81,[6]Feuil1!$C$2:$C$248,[6]Feuil1!$B$2:$B$248)</f>
        <v>HU</v>
      </c>
      <c r="F81" t="s">
        <v>33</v>
      </c>
      <c r="G81" t="str">
        <f>_xlfn.XLOOKUP(C81,'Urban population'!C81:C280,'Urban population'!G81:G280)</f>
        <v>Central Europe</v>
      </c>
      <c r="H81" t="s">
        <v>34</v>
      </c>
      <c r="I81">
        <f>[1]data!F82-'Urban population'!I81</f>
        <v>4.367435519999999</v>
      </c>
      <c r="J81">
        <f>[1]data!G82-'Urban population'!J81</f>
        <v>4.452924359999999</v>
      </c>
      <c r="K81">
        <f>[1]data!H82-'Urban population'!K81</f>
        <v>4.3927692480000013</v>
      </c>
      <c r="L81">
        <f>[1]data!I82-'Urban population'!L81</f>
        <v>4.2542661000000006</v>
      </c>
      <c r="M81">
        <f>[1]data!J82-'Urban population'!M81</f>
        <v>4.1095212480000001</v>
      </c>
      <c r="N81">
        <f>[1]data!K82-'Urban population'!N81</f>
        <v>3.9646764360000004</v>
      </c>
      <c r="O81">
        <f>[1]data!L82-'Urban population'!O81</f>
        <v>3.8329022979999996</v>
      </c>
      <c r="P81">
        <f>[1]data!M82-'Urban population'!P81</f>
        <v>3.6857474690000007</v>
      </c>
      <c r="Q81">
        <f>[1]data!N82-'Urban population'!Q81</f>
        <v>3.5490307860000012</v>
      </c>
      <c r="R81">
        <f>[1]data!O82-'Urban population'!R81</f>
        <v>3.5967017999999999</v>
      </c>
      <c r="S81">
        <f>[1]data!P82-'Urban population'!S81</f>
        <v>3.6155694420000009</v>
      </c>
      <c r="T81">
        <f>[1]data!Q82-'Urban population'!T81</f>
        <v>3.3883553759999998</v>
      </c>
      <c r="U81">
        <f>[1]data!R82-'Urban population'!U81</f>
        <v>3.110316286999999</v>
      </c>
      <c r="V81">
        <f>[1]data!S82-'Urban population'!V81</f>
        <v>2.9077916950000002</v>
      </c>
      <c r="W81">
        <f>[1]data!T82-'Urban population'!W81</f>
        <v>2.7454045630000019</v>
      </c>
      <c r="X81">
        <f>[1]data!U82-'Urban population'!X81</f>
        <v>2.50970922572</v>
      </c>
      <c r="Y81">
        <f>[1]data!V82-'Urban population'!Y81</f>
        <v>2.2937643729600028</v>
      </c>
      <c r="Z81">
        <f>[1]data!W82-'Urban population'!Z81</f>
        <v>2.0916250664200033</v>
      </c>
      <c r="AA81">
        <f>[1]data!X82-'Urban population'!AA81</f>
        <v>1.9056527364000031</v>
      </c>
      <c r="AB81">
        <f>[1]data!Y82-'Urban population'!AB81</f>
        <v>1.7372305626000015</v>
      </c>
      <c r="AC81">
        <f>[1]data!Z82-'Urban population'!AC81</f>
        <v>1.58645452824</v>
      </c>
      <c r="AD81">
        <f>[1]data!AA82-'Urban population'!AD81</f>
        <v>1.4499780078000013</v>
      </c>
      <c r="AE81">
        <f>[1]data!AB82-'Urban population'!AE81</f>
        <v>1.3246857238800001</v>
      </c>
      <c r="AF81">
        <f>[1]data!AC82-'Urban population'!AF81</f>
        <v>1.2069795051299987</v>
      </c>
      <c r="AG81">
        <f>[1]data!AD82-'Urban population'!AG81</f>
        <v>1.0975053580000012</v>
      </c>
      <c r="AH81">
        <f>[1]data!AE82-'Urban population'!AH81</f>
        <v>0.9976945618899995</v>
      </c>
      <c r="AI81">
        <f>[1]data!AF82-'Urban population'!AI81</f>
        <v>0.90802641181999988</v>
      </c>
      <c r="AJ81">
        <f>[1]data!AG82-'Urban population'!AJ81</f>
        <v>0.82757870117999932</v>
      </c>
      <c r="AK81">
        <f>[1]data!AH82-'Urban population'!AK81</f>
        <v>0.75433041295999992</v>
      </c>
      <c r="AL81">
        <f>[1]data!AI82-'Urban population'!AL81</f>
        <v>0.68727687615000033</v>
      </c>
      <c r="AM81">
        <f>[1]data!AJ82-'Urban population'!AM81</f>
        <v>0.62585456903000036</v>
      </c>
    </row>
    <row r="82" spans="1:39" x14ac:dyDescent="0.25">
      <c r="A82" t="s">
        <v>30</v>
      </c>
      <c r="B82" t="s">
        <v>31</v>
      </c>
      <c r="C82" t="s">
        <v>113</v>
      </c>
      <c r="D82" t="str">
        <f>_xlfn.XLOOKUP(C82,'[5]Country Codes'!$A$2:$A$267,'[5]Country Codes'!$B$2:$B$267)</f>
        <v>IDN</v>
      </c>
      <c r="E82" t="str">
        <f>_xlfn.XLOOKUP(D82,[6]Feuil1!$C$2:$C$248,[6]Feuil1!$B$2:$B$248)</f>
        <v>ID</v>
      </c>
      <c r="F82" t="s">
        <v>33</v>
      </c>
      <c r="G82" t="str">
        <f>_xlfn.XLOOKUP(C82,'Urban population'!C82:C281,'Urban population'!G82:G281)</f>
        <v>Indonesia region</v>
      </c>
      <c r="H82" t="s">
        <v>34</v>
      </c>
      <c r="I82">
        <f>[1]data!F83-'Urban population'!I82</f>
        <v>60.323943323999998</v>
      </c>
      <c r="J82">
        <f>[1]data!G83-'Urban population'!J82</f>
        <v>66.440585990000002</v>
      </c>
      <c r="K82">
        <f>[1]data!H83-'Urban population'!K82</f>
        <v>74.459587048000003</v>
      </c>
      <c r="L82">
        <f>[1]data!I83-'Urban population'!L82</f>
        <v>84.249441398000002</v>
      </c>
      <c r="M82">
        <f>[1]data!J83-'Urban population'!M82</f>
        <v>94.238523150000006</v>
      </c>
      <c r="N82">
        <f>[1]data!K83-'Urban population'!N82</f>
        <v>104.559545724</v>
      </c>
      <c r="O82">
        <f>[1]data!L83-'Urban population'!O82</f>
        <v>114.065832188</v>
      </c>
      <c r="P82">
        <f>[1]data!M83-'Urban population'!P82</f>
        <v>121.26662105699999</v>
      </c>
      <c r="Q82">
        <f>[1]data!N83-'Urban population'!Q82</f>
        <v>125.314964422</v>
      </c>
      <c r="R82">
        <f>[1]data!O83-'Urban population'!R82</f>
        <v>125.581074417</v>
      </c>
      <c r="S82">
        <f>[1]data!P83-'Urban population'!S82</f>
        <v>123.27558032</v>
      </c>
      <c r="T82">
        <f>[1]data!Q83-'Urban population'!T82</f>
        <v>122.98174083600001</v>
      </c>
      <c r="U82">
        <f>[1]data!R83-'Urban population'!U82</f>
        <v>121.49176152600002</v>
      </c>
      <c r="V82">
        <f>[1]data!S83-'Urban population'!V82</f>
        <v>120.34006390100001</v>
      </c>
      <c r="W82">
        <f>[1]data!T83-'Urban population'!W82</f>
        <v>117.53841716399998</v>
      </c>
      <c r="X82">
        <f>[1]data!U83-'Urban population'!X82</f>
        <v>116.21802289768002</v>
      </c>
      <c r="Y82">
        <f>[1]data!V83-'Urban population'!Y82</f>
        <v>114.75368154277999</v>
      </c>
      <c r="Z82">
        <f>[1]data!W83-'Urban population'!Z82</f>
        <v>112.47046693167999</v>
      </c>
      <c r="AA82">
        <f>[1]data!X83-'Urban population'!AA82</f>
        <v>109.40292506642999</v>
      </c>
      <c r="AB82">
        <f>[1]data!Y83-'Urban population'!AB82</f>
        <v>105.6886670136</v>
      </c>
      <c r="AC82">
        <f>[1]data!Z83-'Urban population'!AC82</f>
        <v>101.44858092824001</v>
      </c>
      <c r="AD82">
        <f>[1]data!AA83-'Urban population'!AD82</f>
        <v>96.954159652839991</v>
      </c>
      <c r="AE82">
        <f>[1]data!AB83-'Urban population'!AE82</f>
        <v>92.285933777790035</v>
      </c>
      <c r="AF82">
        <f>[1]data!AC83-'Urban population'!AF82</f>
        <v>87.535927787999981</v>
      </c>
      <c r="AG82">
        <f>[1]data!AD83-'Urban population'!AG82</f>
        <v>82.782128551160014</v>
      </c>
      <c r="AH82">
        <f>[1]data!AE83-'Urban population'!AH82</f>
        <v>78.088727380980004</v>
      </c>
      <c r="AI82">
        <f>[1]data!AF83-'Urban population'!AI82</f>
        <v>73.462172836400015</v>
      </c>
      <c r="AJ82">
        <f>[1]data!AG83-'Urban population'!AJ82</f>
        <v>68.936209854400005</v>
      </c>
      <c r="AK82">
        <f>[1]data!AH83-'Urban population'!AK82</f>
        <v>64.552289787900008</v>
      </c>
      <c r="AL82">
        <f>[1]data!AI83-'Urban population'!AL82</f>
        <v>60.329423293740035</v>
      </c>
      <c r="AM82">
        <f>[1]data!AJ83-'Urban population'!AM82</f>
        <v>56.297316231449997</v>
      </c>
    </row>
    <row r="83" spans="1:39" x14ac:dyDescent="0.25">
      <c r="A83" t="s">
        <v>30</v>
      </c>
      <c r="B83" t="s">
        <v>31</v>
      </c>
      <c r="C83" t="s">
        <v>114</v>
      </c>
      <c r="D83" t="str">
        <f>_xlfn.XLOOKUP(C83,'[5]Country Codes'!$A$2:$A$267,'[5]Country Codes'!$B$2:$B$267)</f>
        <v>IND</v>
      </c>
      <c r="E83" t="str">
        <f>_xlfn.XLOOKUP(D83,[6]Feuil1!$C$2:$C$248,[6]Feuil1!$B$2:$B$248)</f>
        <v>IN</v>
      </c>
      <c r="F83" t="s">
        <v>33</v>
      </c>
      <c r="G83" t="str">
        <f>_xlfn.XLOOKUP(C83,'Urban population'!C83:C282,'Urban population'!G83:G282)</f>
        <v>India</v>
      </c>
      <c r="H83" t="s">
        <v>34</v>
      </c>
      <c r="I83">
        <f>[1]data!F84-'Urban population'!I83</f>
        <v>293.07654908000001</v>
      </c>
      <c r="J83">
        <f>[1]data!G84-'Urban population'!J83</f>
        <v>324.73426516799998</v>
      </c>
      <c r="K83">
        <f>[1]data!H84-'Urban population'!K83</f>
        <v>361.91961394800001</v>
      </c>
      <c r="L83">
        <f>[1]data!I84-'Urban population'!L83</f>
        <v>401.67803499599995</v>
      </c>
      <c r="M83">
        <f>[1]data!J84-'Urban population'!M83</f>
        <v>442.14720107400001</v>
      </c>
      <c r="N83">
        <f>[1]data!K84-'Urban population'!N83</f>
        <v>485.26687029100009</v>
      </c>
      <c r="O83">
        <f>[1]data!L84-'Urban population'!O83</f>
        <v>529.74460815700002</v>
      </c>
      <c r="P83">
        <f>[1]data!M84-'Urban population'!P83</f>
        <v>584.04039094699999</v>
      </c>
      <c r="Q83">
        <f>[1]data!N84-'Urban population'!Q83</f>
        <v>641.59753427999999</v>
      </c>
      <c r="R83">
        <f>[1]data!O84-'Urban population'!R83</f>
        <v>700.8125533299999</v>
      </c>
      <c r="S83">
        <f>[1]data!P84-'Urban population'!S83</f>
        <v>759.15849163500025</v>
      </c>
      <c r="T83">
        <f>[1]data!Q84-'Urban population'!T83</f>
        <v>811.11226261200011</v>
      </c>
      <c r="U83">
        <f>[1]data!R84-'Urban population'!U83</f>
        <v>851.37100310799997</v>
      </c>
      <c r="V83">
        <f>[1]data!S84-'Urban population'!V83</f>
        <v>883.74907488000008</v>
      </c>
      <c r="W83">
        <f>[1]data!T84-'Urban population'!W83</f>
        <v>904.86812249400009</v>
      </c>
      <c r="X83">
        <f>[1]data!U84-'Urban population'!X83</f>
        <v>897.38262043919997</v>
      </c>
      <c r="Y83">
        <f>[1]data!V84-'Urban population'!Y83</f>
        <v>887.54974472595995</v>
      </c>
      <c r="Z83">
        <f>[1]data!W84-'Urban population'!Z83</f>
        <v>869.82816746188007</v>
      </c>
      <c r="AA83">
        <f>[1]data!X84-'Urban population'!AA83</f>
        <v>845.13455260780017</v>
      </c>
      <c r="AB83">
        <f>[1]data!Y84-'Urban population'!AB83</f>
        <v>814.31341514546</v>
      </c>
      <c r="AC83">
        <f>[1]data!Z84-'Urban population'!AC83</f>
        <v>778.69541858979005</v>
      </c>
      <c r="AD83">
        <f>[1]data!AA84-'Urban population'!AD83</f>
        <v>740.89826430447999</v>
      </c>
      <c r="AE83">
        <f>[1]data!AB84-'Urban population'!AE83</f>
        <v>701.92451179619991</v>
      </c>
      <c r="AF83">
        <f>[1]data!AC84-'Urban population'!AF83</f>
        <v>661.96184424330011</v>
      </c>
      <c r="AG83">
        <f>[1]data!AD84-'Urban population'!AG83</f>
        <v>621.82788418157998</v>
      </c>
      <c r="AH83">
        <f>[1]data!AE84-'Urban population'!AH83</f>
        <v>581.77229500425017</v>
      </c>
      <c r="AI83">
        <f>[1]data!AF84-'Urban population'!AI83</f>
        <v>542.48655426378002</v>
      </c>
      <c r="AJ83">
        <f>[1]data!AG84-'Urban population'!AJ83</f>
        <v>504.72538205418005</v>
      </c>
      <c r="AK83">
        <f>[1]data!AH84-'Urban population'!AK83</f>
        <v>469.05075617583998</v>
      </c>
      <c r="AL83">
        <f>[1]data!AI84-'Urban population'!AL83</f>
        <v>435.60013876387984</v>
      </c>
      <c r="AM83">
        <f>[1]data!AJ84-'Urban population'!AM83</f>
        <v>404.48477343218008</v>
      </c>
    </row>
    <row r="84" spans="1:39" x14ac:dyDescent="0.25">
      <c r="A84" t="s">
        <v>30</v>
      </c>
      <c r="B84" t="s">
        <v>31</v>
      </c>
      <c r="C84" t="s">
        <v>115</v>
      </c>
      <c r="D84" t="str">
        <f>_xlfn.XLOOKUP(C84,'[5]Country Codes'!$A$2:$A$267,'[5]Country Codes'!$B$2:$B$267)</f>
        <v>IRL</v>
      </c>
      <c r="E84" t="str">
        <f>_xlfn.XLOOKUP(D84,[6]Feuil1!$C$2:$C$248,[6]Feuil1!$B$2:$B$248)</f>
        <v>IE</v>
      </c>
      <c r="F84" t="s">
        <v>33</v>
      </c>
      <c r="G84" t="str">
        <f>_xlfn.XLOOKUP(C84,'Urban population'!C84:C283,'Urban population'!G84:G283)</f>
        <v>Western Europe</v>
      </c>
      <c r="H84" t="s">
        <v>34</v>
      </c>
      <c r="I84">
        <f>[1]data!F85-'Urban population'!I84</f>
        <v>1.7363644279999999</v>
      </c>
      <c r="J84">
        <f>[1]data!G85-'Urban population'!J84</f>
        <v>1.630030817</v>
      </c>
      <c r="K84">
        <f>[1]data!H85-'Urban population'!K84</f>
        <v>1.5432989719999999</v>
      </c>
      <c r="L84">
        <f>[1]data!I85-'Urban population'!L84</f>
        <v>1.5304561320000001</v>
      </c>
      <c r="M84">
        <f>[1]data!J85-'Urban population'!M84</f>
        <v>1.4252800109999999</v>
      </c>
      <c r="N84">
        <f>[1]data!K85-'Urban population'!N84</f>
        <v>1.454164864</v>
      </c>
      <c r="O84">
        <f>[1]data!L85-'Urban population'!O84</f>
        <v>1.5074328510000004</v>
      </c>
      <c r="P84">
        <f>[1]data!M85-'Urban population'!P84</f>
        <v>1.5291792420000001</v>
      </c>
      <c r="Q84">
        <f>[1]data!N85-'Urban population'!Q84</f>
        <v>1.4994067620000002</v>
      </c>
      <c r="R84">
        <f>[1]data!O85-'Urban population'!R84</f>
        <v>1.5014405070000003</v>
      </c>
      <c r="S84">
        <f>[1]data!P85-'Urban population'!S84</f>
        <v>1.5267074399999996</v>
      </c>
      <c r="T84">
        <f>[1]data!Q85-'Urban population'!T84</f>
        <v>1.6088148550000003</v>
      </c>
      <c r="U84">
        <f>[1]data!R85-'Urban population'!U84</f>
        <v>1.7380197450000003</v>
      </c>
      <c r="V84">
        <f>[1]data!S85-'Urban population'!V84</f>
        <v>1.74060075</v>
      </c>
      <c r="W84">
        <f>[1]data!T85-'Urban population'!W84</f>
        <v>1.7878025879999999</v>
      </c>
      <c r="X84">
        <f>[1]data!U85-'Urban population'!X84</f>
        <v>1.7680663756599997</v>
      </c>
      <c r="Y84">
        <f>[1]data!V85-'Urban population'!Y84</f>
        <v>1.7254386185400006</v>
      </c>
      <c r="Z84">
        <f>[1]data!W85-'Urban population'!Z84</f>
        <v>1.682702586</v>
      </c>
      <c r="AA84">
        <f>[1]data!X85-'Urban population'!AA84</f>
        <v>1.6413619048200001</v>
      </c>
      <c r="AB84">
        <f>[1]data!Y85-'Urban population'!AB84</f>
        <v>1.5997594041000003</v>
      </c>
      <c r="AC84">
        <f>[1]data!Z85-'Urban population'!AC84</f>
        <v>1.5561016665000027</v>
      </c>
      <c r="AD84">
        <f>[1]data!AA85-'Urban population'!AD84</f>
        <v>1.5040302948399997</v>
      </c>
      <c r="AE84">
        <f>[1]data!AB85-'Urban population'!AE84</f>
        <v>1.4451876137700008</v>
      </c>
      <c r="AF84">
        <f>[1]data!AC85-'Urban population'!AF84</f>
        <v>1.3814288591400006</v>
      </c>
      <c r="AG84">
        <f>[1]data!AD85-'Urban population'!AG84</f>
        <v>1.3160560849799996</v>
      </c>
      <c r="AH84">
        <f>[1]data!AE85-'Urban population'!AH84</f>
        <v>1.2511869598600001</v>
      </c>
      <c r="AI84">
        <f>[1]data!AF85-'Urban population'!AI84</f>
        <v>1.18795243868</v>
      </c>
      <c r="AJ84">
        <f>[1]data!AG85-'Urban population'!AJ84</f>
        <v>1.1266199501700003</v>
      </c>
      <c r="AK84">
        <f>[1]data!AH85-'Urban population'!AK84</f>
        <v>1.0662574726200003</v>
      </c>
      <c r="AL84">
        <f>[1]data!AI85-'Urban population'!AL84</f>
        <v>1.0056008005199999</v>
      </c>
      <c r="AM84">
        <f>[1]data!AJ85-'Urban population'!AM84</f>
        <v>0.94430237729999966</v>
      </c>
    </row>
    <row r="85" spans="1:39" x14ac:dyDescent="0.25">
      <c r="A85" t="s">
        <v>30</v>
      </c>
      <c r="B85" t="s">
        <v>31</v>
      </c>
      <c r="C85" t="s">
        <v>116</v>
      </c>
      <c r="D85" t="s">
        <v>261</v>
      </c>
      <c r="E85" t="str">
        <f>_xlfn.XLOOKUP(D85,[6]Feuil1!$C$2:$C$248,[6]Feuil1!$B$2:$B$248)</f>
        <v>IR</v>
      </c>
      <c r="F85" t="s">
        <v>33</v>
      </c>
      <c r="G85" t="str">
        <f>_xlfn.XLOOKUP(C85,'Urban population'!C85:C284,'Urban population'!G85:G284)</f>
        <v>Middle East</v>
      </c>
      <c r="H85" t="s">
        <v>34</v>
      </c>
      <c r="I85">
        <f>[1]data!F86-'Urban population'!I85</f>
        <v>12.06454085</v>
      </c>
      <c r="J85">
        <f>[1]data!G86-'Urban population'!J85</f>
        <v>12.942578112</v>
      </c>
      <c r="K85">
        <f>[1]data!H86-'Urban population'!K85</f>
        <v>13.988594568</v>
      </c>
      <c r="L85">
        <f>[1]data!I86-'Urban population'!L85</f>
        <v>15.285073626000001</v>
      </c>
      <c r="M85">
        <f>[1]data!J86-'Urban population'!M85</f>
        <v>16.487231291999997</v>
      </c>
      <c r="N85">
        <f>[1]data!K86-'Urban population'!N85</f>
        <v>17.573085107999997</v>
      </c>
      <c r="O85">
        <f>[1]data!L86-'Urban population'!O85</f>
        <v>19.035820218999998</v>
      </c>
      <c r="P85">
        <f>[1]data!M86-'Urban population'!P85</f>
        <v>21.643438501999999</v>
      </c>
      <c r="Q85">
        <f>[1]data!N86-'Urban population'!Q85</f>
        <v>23.776914792000003</v>
      </c>
      <c r="R85">
        <f>[1]data!O86-'Urban population'!R85</f>
        <v>24.039496509999999</v>
      </c>
      <c r="S85">
        <f>[1]data!P86-'Urban population'!S85</f>
        <v>23.392738080000001</v>
      </c>
      <c r="T85">
        <f>[1]data!Q86-'Urban population'!T85</f>
        <v>22.559283755999999</v>
      </c>
      <c r="U85">
        <f>[1]data!R86-'Urban population'!U85</f>
        <v>22.001098392000003</v>
      </c>
      <c r="V85">
        <f>[1]data!S86-'Urban population'!V85</f>
        <v>21.514742605999992</v>
      </c>
      <c r="W85">
        <f>[1]data!T86-'Urban population'!W85</f>
        <v>20.964628801000003</v>
      </c>
      <c r="X85">
        <f>[1]data!U86-'Urban population'!X85</f>
        <v>20.621716358100002</v>
      </c>
      <c r="Y85">
        <f>[1]data!V86-'Urban population'!Y85</f>
        <v>20.184796447200014</v>
      </c>
      <c r="Z85">
        <f>[1]data!W86-'Urban population'!Z85</f>
        <v>19.595399188249971</v>
      </c>
      <c r="AA85">
        <f>[1]data!X86-'Urban population'!AA85</f>
        <v>18.915739014579998</v>
      </c>
      <c r="AB85">
        <f>[1]data!Y86-'Urban population'!AB85</f>
        <v>18.177635410500002</v>
      </c>
      <c r="AC85">
        <f>[1]data!Z86-'Urban population'!AC85</f>
        <v>17.382627474960003</v>
      </c>
      <c r="AD85">
        <f>[1]data!AA86-'Urban population'!AD85</f>
        <v>16.531338259100011</v>
      </c>
      <c r="AE85">
        <f>[1]data!AB86-'Urban population'!AE85</f>
        <v>15.611095886400008</v>
      </c>
      <c r="AF85">
        <f>[1]data!AC86-'Urban population'!AF85</f>
        <v>14.640986951020011</v>
      </c>
      <c r="AG85">
        <f>[1]data!AD86-'Urban population'!AG85</f>
        <v>13.649432059979986</v>
      </c>
      <c r="AH85">
        <f>[1]data!AE86-'Urban population'!AH85</f>
        <v>12.65862808896</v>
      </c>
      <c r="AI85">
        <f>[1]data!AF86-'Urban population'!AI85</f>
        <v>11.694094645499987</v>
      </c>
      <c r="AJ85">
        <f>[1]data!AG86-'Urban population'!AJ85</f>
        <v>10.782712895980012</v>
      </c>
      <c r="AK85">
        <f>[1]data!AH86-'Urban population'!AK85</f>
        <v>9.948188564299997</v>
      </c>
      <c r="AL85">
        <f>[1]data!AI86-'Urban population'!AL85</f>
        <v>9.1916834225600184</v>
      </c>
      <c r="AM85">
        <f>[1]data!AJ86-'Urban population'!AM85</f>
        <v>8.4936397832000097</v>
      </c>
    </row>
    <row r="86" spans="1:39" x14ac:dyDescent="0.25">
      <c r="A86" t="s">
        <v>30</v>
      </c>
      <c r="B86" t="s">
        <v>31</v>
      </c>
      <c r="C86" t="s">
        <v>117</v>
      </c>
      <c r="D86" t="str">
        <f>_xlfn.XLOOKUP(C86,'[5]Country Codes'!$A$2:$A$267,'[5]Country Codes'!$B$2:$B$267)</f>
        <v>IRQ</v>
      </c>
      <c r="E86" t="str">
        <f>_xlfn.XLOOKUP(D86,[6]Feuil1!$C$2:$C$248,[6]Feuil1!$B$2:$B$248)</f>
        <v>IQ</v>
      </c>
      <c r="F86" t="s">
        <v>33</v>
      </c>
      <c r="G86" t="str">
        <f>_xlfn.XLOOKUP(C86,'Urban population'!C86:C285,'Urban population'!G86:G285)</f>
        <v>Middle East</v>
      </c>
      <c r="H86" t="s">
        <v>34</v>
      </c>
      <c r="I86">
        <f>[1]data!F87-'Urban population'!I86</f>
        <v>3.6322070289999999</v>
      </c>
      <c r="J86">
        <f>[1]data!G87-'Urban population'!J86</f>
        <v>3.9528166079999996</v>
      </c>
      <c r="K86">
        <f>[1]data!H87-'Urban population'!K86</f>
        <v>3.9995066900000005</v>
      </c>
      <c r="L86">
        <f>[1]data!I87-'Urban population'!L86</f>
        <v>4.0085154589999998</v>
      </c>
      <c r="M86">
        <f>[1]data!J87-'Urban population'!M86</f>
        <v>4.2226143359999995</v>
      </c>
      <c r="N86">
        <f>[1]data!K87-'Urban population'!N86</f>
        <v>4.4115202739999999</v>
      </c>
      <c r="O86">
        <f>[1]data!L87-'Urban population'!O86</f>
        <v>4.6355507550000006</v>
      </c>
      <c r="P86">
        <f>[1]data!M87-'Urban population'!P86</f>
        <v>4.8727514160000016</v>
      </c>
      <c r="Q86">
        <f>[1]data!N87-'Urban population'!Q86</f>
        <v>5.3631009089999999</v>
      </c>
      <c r="R86">
        <f>[1]data!O87-'Urban population'!R86</f>
        <v>6.4271560080000025</v>
      </c>
      <c r="S86">
        <f>[1]data!P87-'Urban population'!S86</f>
        <v>7.6277958750000003</v>
      </c>
      <c r="T86">
        <f>[1]data!Q87-'Urban population'!T86</f>
        <v>8.8240155120000026</v>
      </c>
      <c r="U86">
        <f>[1]data!R87-'Urban population'!U86</f>
        <v>9.5070481140000034</v>
      </c>
      <c r="V86">
        <f>[1]data!S87-'Urban population'!V86</f>
        <v>11.216690652999997</v>
      </c>
      <c r="W86">
        <f>[1]data!T87-'Urban population'!W86</f>
        <v>12.234500195999995</v>
      </c>
      <c r="X86">
        <f>[1]data!U87-'Urban population'!X86</f>
        <v>12.970068954559999</v>
      </c>
      <c r="Y86">
        <f>[1]data!V87-'Urban population'!Y86</f>
        <v>13.624966132930005</v>
      </c>
      <c r="Z86">
        <f>[1]data!W87-'Urban population'!Z86</f>
        <v>14.197084232879973</v>
      </c>
      <c r="AA86">
        <f>[1]data!X87-'Urban population'!AA86</f>
        <v>14.689996195680003</v>
      </c>
      <c r="AB86">
        <f>[1]data!Y87-'Urban population'!AB86</f>
        <v>15.061495034520021</v>
      </c>
      <c r="AC86">
        <f>[1]data!Z87-'Urban population'!AC86</f>
        <v>15.294241485759997</v>
      </c>
      <c r="AD86">
        <f>[1]data!AA87-'Urban population'!AD86</f>
        <v>15.407046537750006</v>
      </c>
      <c r="AE86">
        <f>[1]data!AB87-'Urban population'!AE86</f>
        <v>15.398962411840003</v>
      </c>
      <c r="AF86">
        <f>[1]data!AC87-'Urban population'!AF86</f>
        <v>15.268911606079996</v>
      </c>
      <c r="AG86">
        <f>[1]data!AD87-'Urban population'!AG86</f>
        <v>15.038115324599985</v>
      </c>
      <c r="AH86">
        <f>[1]data!AE87-'Urban population'!AH86</f>
        <v>14.740616793379999</v>
      </c>
      <c r="AI86">
        <f>[1]data!AF87-'Urban population'!AI86</f>
        <v>14.389461733320019</v>
      </c>
      <c r="AJ86">
        <f>[1]data!AG87-'Urban population'!AJ86</f>
        <v>13.990741969500021</v>
      </c>
      <c r="AK86">
        <f>[1]data!AH87-'Urban population'!AK86</f>
        <v>13.547142097999995</v>
      </c>
      <c r="AL86">
        <f>[1]data!AI87-'Urban population'!AL86</f>
        <v>13.066162389179993</v>
      </c>
      <c r="AM86">
        <f>[1]data!AJ87-'Urban population'!AM86</f>
        <v>12.556677278400002</v>
      </c>
    </row>
    <row r="87" spans="1:39" x14ac:dyDescent="0.25">
      <c r="A87" t="s">
        <v>30</v>
      </c>
      <c r="B87" t="s">
        <v>31</v>
      </c>
      <c r="C87" t="s">
        <v>118</v>
      </c>
      <c r="D87" t="str">
        <f>_xlfn.XLOOKUP(C87,'[5]Country Codes'!$A$2:$A$267,'[5]Country Codes'!$B$2:$B$267)</f>
        <v>ISL</v>
      </c>
      <c r="E87" t="str">
        <f>_xlfn.XLOOKUP(D87,[6]Feuil1!$C$2:$C$248,[6]Feuil1!$B$2:$B$248)</f>
        <v>IS</v>
      </c>
      <c r="F87" t="s">
        <v>33</v>
      </c>
      <c r="G87" t="str">
        <f>_xlfn.XLOOKUP(C87,'Urban population'!C87:C286,'Urban population'!G87:G286)</f>
        <v>Western Europe</v>
      </c>
      <c r="H87" t="s">
        <v>34</v>
      </c>
      <c r="I87">
        <f>[1]data!F88-'Urban population'!I87</f>
        <v>3.8362064000000001E-2</v>
      </c>
      <c r="J87">
        <f>[1]data!G88-'Urban population'!J87</f>
        <v>3.6197335999999997E-2</v>
      </c>
      <c r="K87">
        <f>[1]data!H88-'Urban population'!K87</f>
        <v>3.4248253000000006E-2</v>
      </c>
      <c r="L87">
        <f>[1]data!I88-'Urban population'!L87</f>
        <v>3.2995943999999999E-2</v>
      </c>
      <c r="M87">
        <f>[1]data!J88-'Urban population'!M87</f>
        <v>3.0805811999999988E-2</v>
      </c>
      <c r="N87">
        <f>[1]data!K88-'Urban population'!N87</f>
        <v>2.8831473999999996E-2</v>
      </c>
      <c r="O87">
        <f>[1]data!L88-'Urban population'!O87</f>
        <v>2.6567072999999997E-2</v>
      </c>
      <c r="P87">
        <f>[1]data!M88-'Urban population'!P87</f>
        <v>2.5040496000000023E-2</v>
      </c>
      <c r="Q87">
        <f>[1]data!N88-'Urban population'!Q87</f>
        <v>2.3366344000000011E-2</v>
      </c>
      <c r="R87">
        <f>[1]data!O88-'Urban population'!R87</f>
        <v>2.2443624000000023E-2</v>
      </c>
      <c r="S87">
        <f>[1]data!P88-'Urban population'!S87</f>
        <v>2.1226495999999984E-2</v>
      </c>
      <c r="T87">
        <f>[1]data!Q88-'Urban population'!T87</f>
        <v>2.0570690000000003E-2</v>
      </c>
      <c r="U87">
        <f>[1]data!R88-'Urban population'!U87</f>
        <v>2.0347264000000032E-2</v>
      </c>
      <c r="V87">
        <f>[1]data!S88-'Urban population'!V87</f>
        <v>2.0749112999999986E-2</v>
      </c>
      <c r="W87">
        <f>[1]data!T88-'Urban population'!W87</f>
        <v>2.2224130000000009E-2</v>
      </c>
      <c r="X87">
        <f>[1]data!U88-'Urban population'!X87</f>
        <v>2.0333484000000013E-2</v>
      </c>
      <c r="Y87">
        <f>[1]data!V88-'Urban population'!Y87</f>
        <v>1.8793073850000008E-2</v>
      </c>
      <c r="Z87">
        <f>[1]data!W88-'Urban population'!Z87</f>
        <v>1.7526205999999989E-2</v>
      </c>
      <c r="AA87">
        <f>[1]data!X88-'Urban population'!AA87</f>
        <v>1.6448691600000009E-2</v>
      </c>
      <c r="AB87">
        <f>[1]data!Y88-'Urban population'!AB87</f>
        <v>1.5524852000000033E-2</v>
      </c>
      <c r="AC87">
        <f>[1]data!Z88-'Urban population'!AC87</f>
        <v>1.4737255680000005E-2</v>
      </c>
      <c r="AD87">
        <f>[1]data!AA88-'Urban population'!AD87</f>
        <v>1.4033067299999979E-2</v>
      </c>
      <c r="AE87">
        <f>[1]data!AB88-'Urban population'!AE87</f>
        <v>1.3408301940000034E-2</v>
      </c>
      <c r="AF87">
        <f>[1]data!AC88-'Urban population'!AF87</f>
        <v>1.2846526109999978E-2</v>
      </c>
      <c r="AG87">
        <f>[1]data!AD88-'Urban population'!AG87</f>
        <v>1.2333205720000018E-2</v>
      </c>
      <c r="AH87">
        <f>[1]data!AE88-'Urban population'!AH87</f>
        <v>1.1861153260000035E-2</v>
      </c>
      <c r="AI87">
        <f>[1]data!AF88-'Urban population'!AI87</f>
        <v>1.1412546840000037E-2</v>
      </c>
      <c r="AJ87">
        <f>[1]data!AG88-'Urban population'!AJ87</f>
        <v>1.0984579979999964E-2</v>
      </c>
      <c r="AK87">
        <f>[1]data!AH88-'Urban population'!AK87</f>
        <v>1.0574711079999966E-2</v>
      </c>
      <c r="AL87">
        <f>[1]data!AI88-'Urban population'!AL87</f>
        <v>1.0189133759999969E-2</v>
      </c>
      <c r="AM87">
        <f>[1]data!AJ88-'Urban population'!AM87</f>
        <v>9.8443581600000107E-3</v>
      </c>
    </row>
    <row r="88" spans="1:39" x14ac:dyDescent="0.25">
      <c r="A88" t="s">
        <v>30</v>
      </c>
      <c r="B88" t="s">
        <v>31</v>
      </c>
      <c r="C88" t="s">
        <v>119</v>
      </c>
      <c r="D88" t="str">
        <f>_xlfn.XLOOKUP(C88,'[5]Country Codes'!$A$2:$A$267,'[5]Country Codes'!$B$2:$B$267)</f>
        <v>ISR</v>
      </c>
      <c r="E88" t="str">
        <f>_xlfn.XLOOKUP(D88,[6]Feuil1!$C$2:$C$248,[6]Feuil1!$B$2:$B$248)</f>
        <v>IL</v>
      </c>
      <c r="F88" t="s">
        <v>33</v>
      </c>
      <c r="G88" t="str">
        <f>_xlfn.XLOOKUP(C88,'Urban population'!C88:C287,'Urban population'!G88:G287)</f>
        <v>Middle East</v>
      </c>
      <c r="H88" t="s">
        <v>34</v>
      </c>
      <c r="I88">
        <f>[1]data!F89-'Urban population'!I88</f>
        <v>0.36481043000000002</v>
      </c>
      <c r="J88">
        <f>[1]data!G89-'Urban population'!J88</f>
        <v>0.44526020000000011</v>
      </c>
      <c r="K88">
        <f>[1]data!H89-'Urban population'!K88</f>
        <v>0.4321406000000001</v>
      </c>
      <c r="L88">
        <f>[1]data!I89-'Urban population'!L88</f>
        <v>0.44089083899999992</v>
      </c>
      <c r="M88">
        <f>[1]data!J89-'Urban population'!M88</f>
        <v>0.4504504159999998</v>
      </c>
      <c r="N88">
        <f>[1]data!K89-'Urban population'!N88</f>
        <v>0.44853619</v>
      </c>
      <c r="O88">
        <f>[1]data!L89-'Urban population'!O88</f>
        <v>0.42288391200000053</v>
      </c>
      <c r="P88">
        <f>[1]data!M89-'Urban population'!P88</f>
        <v>0.42102672600000002</v>
      </c>
      <c r="Q88">
        <f>[1]data!N89-'Urban population'!Q88</f>
        <v>0.45443241599999951</v>
      </c>
      <c r="R88">
        <f>[1]data!O89-'Urban population'!R88</f>
        <v>0.49254459800000028</v>
      </c>
      <c r="S88">
        <f>[1]data!P89-'Urban population'!S88</f>
        <v>0.53289596800000005</v>
      </c>
      <c r="T88">
        <f>[1]data!Q89-'Urban population'!T88</f>
        <v>0.56574699499999959</v>
      </c>
      <c r="U88">
        <f>[1]data!R89-'Urban population'!U88</f>
        <v>0.59553434800000016</v>
      </c>
      <c r="V88">
        <f>[1]data!S89-'Urban population'!V88</f>
        <v>0.61879981799999939</v>
      </c>
      <c r="W88">
        <f>[1]data!T89-'Urban population'!W88</f>
        <v>0.64273402999999973</v>
      </c>
      <c r="X88">
        <f>[1]data!U89-'Urban population'!X88</f>
        <v>0.63155677391000076</v>
      </c>
      <c r="Y88">
        <f>[1]data!V89-'Urban population'!Y88</f>
        <v>0.62292807400000072</v>
      </c>
      <c r="Z88">
        <f>[1]data!W89-'Urban population'!Z88</f>
        <v>0.61653382713000049</v>
      </c>
      <c r="AA88">
        <f>[1]data!X89-'Urban population'!AA88</f>
        <v>0.61346942109000047</v>
      </c>
      <c r="AB88">
        <f>[1]data!Y89-'Urban population'!AB88</f>
        <v>0.61286726061000074</v>
      </c>
      <c r="AC88">
        <f>[1]data!Z89-'Urban population'!AC88</f>
        <v>0.61351358473000062</v>
      </c>
      <c r="AD88">
        <f>[1]data!AA89-'Urban population'!AD88</f>
        <v>0.61430268750000039</v>
      </c>
      <c r="AE88">
        <f>[1]data!AB89-'Urban population'!AE88</f>
        <v>0.61447415710000008</v>
      </c>
      <c r="AF88">
        <f>[1]data!AC89-'Urban population'!AF88</f>
        <v>0.61417210799999999</v>
      </c>
      <c r="AG88">
        <f>[1]data!AD89-'Urban population'!AG88</f>
        <v>0.61371351450000056</v>
      </c>
      <c r="AH88">
        <f>[1]data!AE89-'Urban population'!AH88</f>
        <v>0.61370529911999938</v>
      </c>
      <c r="AI88">
        <f>[1]data!AF89-'Urban population'!AI88</f>
        <v>0.61408328989000083</v>
      </c>
      <c r="AJ88">
        <f>[1]data!AG89-'Urban population'!AJ88</f>
        <v>0.61446115120000044</v>
      </c>
      <c r="AK88">
        <f>[1]data!AH89-'Urban population'!AK88</f>
        <v>0.61488444360000116</v>
      </c>
      <c r="AL88">
        <f>[1]data!AI89-'Urban population'!AL88</f>
        <v>0.61497445652000238</v>
      </c>
      <c r="AM88">
        <f>[1]data!AJ89-'Urban population'!AM88</f>
        <v>0.61516581524999836</v>
      </c>
    </row>
    <row r="89" spans="1:39" x14ac:dyDescent="0.25">
      <c r="A89" t="s">
        <v>30</v>
      </c>
      <c r="B89" t="s">
        <v>31</v>
      </c>
      <c r="C89" t="s">
        <v>120</v>
      </c>
      <c r="D89" t="str">
        <f>_xlfn.XLOOKUP(C89,'[5]Country Codes'!$A$2:$A$267,'[5]Country Codes'!$B$2:$B$267)</f>
        <v>ITA</v>
      </c>
      <c r="E89" t="str">
        <f>_xlfn.XLOOKUP(D89,[6]Feuil1!$C$2:$C$248,[6]Feuil1!$B$2:$B$248)</f>
        <v>IT</v>
      </c>
      <c r="F89" t="s">
        <v>33</v>
      </c>
      <c r="G89" t="str">
        <f>_xlfn.XLOOKUP(C89,'Urban population'!C89:C288,'Urban population'!G89:G288)</f>
        <v>Western Europe</v>
      </c>
      <c r="H89" t="s">
        <v>34</v>
      </c>
      <c r="I89">
        <f>[1]data!F90-'Urban population'!I89</f>
        <v>21.194384210999999</v>
      </c>
      <c r="J89">
        <f>[1]data!G90-'Urban population'!J89</f>
        <v>20.680868243000003</v>
      </c>
      <c r="K89">
        <f>[1]data!H90-'Urban population'!K89</f>
        <v>20.048297864000002</v>
      </c>
      <c r="L89">
        <f>[1]data!I90-'Urban population'!L89</f>
        <v>19.573563489999998</v>
      </c>
      <c r="M89">
        <f>[1]data!J90-'Urban population'!M89</f>
        <v>18.981911697000001</v>
      </c>
      <c r="N89">
        <f>[1]data!K90-'Urban population'!N89</f>
        <v>18.898775200000003</v>
      </c>
      <c r="O89">
        <f>[1]data!L90-'Urban population'!O89</f>
        <v>18.75694902</v>
      </c>
      <c r="P89">
        <f>[1]data!M90-'Urban population'!P89</f>
        <v>18.801739340000005</v>
      </c>
      <c r="Q89">
        <f>[1]data!N90-'Urban population'!Q89</f>
        <v>18.892225197000002</v>
      </c>
      <c r="R89">
        <f>[1]data!O90-'Urban population'!R89</f>
        <v>18.829212046999999</v>
      </c>
      <c r="S89">
        <f>[1]data!P90-'Urban population'!S89</f>
        <v>18.679840423999998</v>
      </c>
      <c r="T89">
        <f>[1]data!Q90-'Urban population'!T89</f>
        <v>18.759259245999999</v>
      </c>
      <c r="U89">
        <f>[1]data!R90-'Urban population'!U89</f>
        <v>18.923611078</v>
      </c>
      <c r="V89">
        <f>[1]data!S90-'Urban population'!V89</f>
        <v>18.330512352</v>
      </c>
      <c r="W89">
        <f>[1]data!T90-'Urban population'!W89</f>
        <v>17.295570420000004</v>
      </c>
      <c r="X89">
        <f>[1]data!U90-'Urban population'!X89</f>
        <v>16.206150918150009</v>
      </c>
      <c r="Y89">
        <f>[1]data!V90-'Urban population'!Y89</f>
        <v>15.185305812860001</v>
      </c>
      <c r="Z89">
        <f>[1]data!W90-'Urban population'!Z89</f>
        <v>14.2579797068</v>
      </c>
      <c r="AA89">
        <f>[1]data!X90-'Urban population'!AA89</f>
        <v>13.414941371300024</v>
      </c>
      <c r="AB89">
        <f>[1]data!Y90-'Urban population'!AB89</f>
        <v>12.63873847752</v>
      </c>
      <c r="AC89">
        <f>[1]data!Z90-'Urban population'!AC89</f>
        <v>11.916118453019998</v>
      </c>
      <c r="AD89">
        <f>[1]data!AA90-'Urban population'!AD89</f>
        <v>11.200064466610009</v>
      </c>
      <c r="AE89">
        <f>[1]data!AB90-'Urban population'!AE89</f>
        <v>10.497948964800003</v>
      </c>
      <c r="AF89">
        <f>[1]data!AC90-'Urban population'!AF89</f>
        <v>9.8215405962799949</v>
      </c>
      <c r="AG89">
        <f>[1]data!AD90-'Urban population'!AG89</f>
        <v>9.1999065634000061</v>
      </c>
      <c r="AH89">
        <f>[1]data!AE90-'Urban population'!AH89</f>
        <v>8.6468009032799955</v>
      </c>
      <c r="AI89">
        <f>[1]data!AF90-'Urban population'!AI89</f>
        <v>8.156052732769993</v>
      </c>
      <c r="AJ89">
        <f>[1]data!AG90-'Urban population'!AJ89</f>
        <v>7.7079532176899974</v>
      </c>
      <c r="AK89">
        <f>[1]data!AH90-'Urban population'!AK89</f>
        <v>7.2811656138299981</v>
      </c>
      <c r="AL89">
        <f>[1]data!AI90-'Urban population'!AL89</f>
        <v>6.8647804106199999</v>
      </c>
      <c r="AM89">
        <f>[1]data!AJ90-'Urban population'!AM89</f>
        <v>6.4552563319999976</v>
      </c>
    </row>
    <row r="90" spans="1:39" x14ac:dyDescent="0.25">
      <c r="A90" t="s">
        <v>30</v>
      </c>
      <c r="B90" t="s">
        <v>31</v>
      </c>
      <c r="C90" t="s">
        <v>121</v>
      </c>
      <c r="D90" t="str">
        <f>_xlfn.XLOOKUP(C90,'[5]Country Codes'!$A$2:$A$267,'[5]Country Codes'!$B$2:$B$267)</f>
        <v>JAM</v>
      </c>
      <c r="E90" t="str">
        <f>_xlfn.XLOOKUP(D90,[6]Feuil1!$C$2:$C$248,[6]Feuil1!$B$2:$B$248)</f>
        <v>JM</v>
      </c>
      <c r="F90" t="s">
        <v>33</v>
      </c>
      <c r="G90" t="str">
        <f>_xlfn.XLOOKUP(C90,'Urban population'!C90:C289,'Urban population'!G90:G289)</f>
        <v>Central America</v>
      </c>
      <c r="H90" t="s">
        <v>34</v>
      </c>
      <c r="I90">
        <f>[1]data!F91-'Urban population'!I90</f>
        <v>1.0514601570000002</v>
      </c>
      <c r="J90">
        <f>[1]data!G91-'Urban population'!J90</f>
        <v>1.1007607720000001</v>
      </c>
      <c r="K90">
        <f>[1]data!H91-'Urban population'!K90</f>
        <v>1.079849104</v>
      </c>
      <c r="L90">
        <f>[1]data!I91-'Urban population'!L90</f>
        <v>1.0850693750000002</v>
      </c>
      <c r="M90">
        <f>[1]data!J91-'Urban population'!M90</f>
        <v>1.083724683</v>
      </c>
      <c r="N90">
        <f>[1]data!K91-'Urban population'!N90</f>
        <v>1.1140656799999999</v>
      </c>
      <c r="O90">
        <f>[1]data!L91-'Urban population'!O90</f>
        <v>1.1302643429999999</v>
      </c>
      <c r="P90">
        <f>[1]data!M91-'Urban population'!P90</f>
        <v>1.1759882520000002</v>
      </c>
      <c r="Q90">
        <f>[1]data!N91-'Urban population'!Q90</f>
        <v>1.2057372800000001</v>
      </c>
      <c r="R90">
        <f>[1]data!O91-'Urban population'!R90</f>
        <v>1.2334350080000001</v>
      </c>
      <c r="S90">
        <f>[1]data!P91-'Urban population'!S90</f>
        <v>1.25582208</v>
      </c>
      <c r="T90">
        <f>[1]data!Q91-'Urban population'!T90</f>
        <v>1.260542552</v>
      </c>
      <c r="U90">
        <f>[1]data!R91-'Urban population'!U90</f>
        <v>1.2631857689999999</v>
      </c>
      <c r="V90">
        <f>[1]data!S91-'Urban population'!V90</f>
        <v>1.2609227040000004</v>
      </c>
      <c r="W90">
        <f>[1]data!T91-'Urban population'!W90</f>
        <v>1.2299260120000002</v>
      </c>
      <c r="X90">
        <f>[1]data!U91-'Urban population'!X90</f>
        <v>1.16871244854</v>
      </c>
      <c r="Y90">
        <f>[1]data!V91-'Urban population'!Y90</f>
        <v>1.1104231121400001</v>
      </c>
      <c r="Z90">
        <f>[1]data!W91-'Urban population'!Z90</f>
        <v>1.0502428665499999</v>
      </c>
      <c r="AA90">
        <f>[1]data!X91-'Urban population'!AA90</f>
        <v>0.98857699664000021</v>
      </c>
      <c r="AB90">
        <f>[1]data!Y91-'Urban population'!AB90</f>
        <v>0.92602733105999979</v>
      </c>
      <c r="AC90">
        <f>[1]data!Z91-'Urban population'!AC90</f>
        <v>0.86408611155000004</v>
      </c>
      <c r="AD90">
        <f>[1]data!AA91-'Urban population'!AD90</f>
        <v>0.80369613344999991</v>
      </c>
      <c r="AE90">
        <f>[1]data!AB91-'Urban population'!AE90</f>
        <v>0.7457498815000001</v>
      </c>
      <c r="AF90">
        <f>[1]data!AC91-'Urban population'!AF90</f>
        <v>0.69157521069999994</v>
      </c>
      <c r="AG90">
        <f>[1]data!AD91-'Urban population'!AG90</f>
        <v>0.6400001007399998</v>
      </c>
      <c r="AH90">
        <f>[1]data!AE91-'Urban population'!AH90</f>
        <v>0.59110605083999967</v>
      </c>
      <c r="AI90">
        <f>[1]data!AF91-'Urban population'!AI90</f>
        <v>0.54516138740000009</v>
      </c>
      <c r="AJ90">
        <f>[1]data!AG91-'Urban population'!AJ90</f>
        <v>0.50275088964999992</v>
      </c>
      <c r="AK90">
        <f>[1]data!AH91-'Urban population'!AK90</f>
        <v>0.46431854204999978</v>
      </c>
      <c r="AL90">
        <f>[1]data!AI91-'Urban population'!AL90</f>
        <v>0.43008632994999996</v>
      </c>
      <c r="AM90">
        <f>[1]data!AJ91-'Urban population'!AM90</f>
        <v>0.39979295747999988</v>
      </c>
    </row>
    <row r="91" spans="1:39" x14ac:dyDescent="0.25">
      <c r="A91" t="s">
        <v>30</v>
      </c>
      <c r="B91" t="s">
        <v>31</v>
      </c>
      <c r="C91" t="s">
        <v>122</v>
      </c>
      <c r="D91" t="str">
        <f>_xlfn.XLOOKUP(C91,'[5]Country Codes'!$A$2:$A$267,'[5]Country Codes'!$B$2:$B$267)</f>
        <v>JOR</v>
      </c>
      <c r="E91" t="str">
        <f>_xlfn.XLOOKUP(D91,[6]Feuil1!$C$2:$C$248,[6]Feuil1!$B$2:$B$248)</f>
        <v>JO</v>
      </c>
      <c r="F91" t="s">
        <v>33</v>
      </c>
      <c r="G91" t="str">
        <f>_xlfn.XLOOKUP(C91,'Urban population'!C91:C290,'Urban population'!G91:G290)</f>
        <v>Middle East</v>
      </c>
      <c r="H91" t="s">
        <v>34</v>
      </c>
      <c r="I91">
        <f>[1]data!F92-'Urban population'!I91</f>
        <v>0.26676593999999998</v>
      </c>
      <c r="J91">
        <f>[1]data!G92-'Urban population'!J91</f>
        <v>0.34132312799999998</v>
      </c>
      <c r="K91">
        <f>[1]data!H92-'Urban population'!K91</f>
        <v>0.40534554100000003</v>
      </c>
      <c r="L91">
        <f>[1]data!I92-'Urban population'!L91</f>
        <v>0.48329395200000014</v>
      </c>
      <c r="M91">
        <f>[1]data!J92-'Urban population'!M91</f>
        <v>0.66651287999999986</v>
      </c>
      <c r="N91">
        <f>[1]data!K92-'Urban population'!N91</f>
        <v>0.78560575199999994</v>
      </c>
      <c r="O91">
        <f>[1]data!L92-'Urban population'!O91</f>
        <v>0.86982000000000026</v>
      </c>
      <c r="P91">
        <f>[1]data!M92-'Urban population'!P91</f>
        <v>0.8873538299999999</v>
      </c>
      <c r="Q91">
        <f>[1]data!N92-'Urban population'!Q91</f>
        <v>0.90549739200000001</v>
      </c>
      <c r="R91">
        <f>[1]data!O92-'Urban population'!R91</f>
        <v>0.95388712199999981</v>
      </c>
      <c r="S91">
        <f>[1]data!P92-'Urban population'!S91</f>
        <v>1.0857558110000003</v>
      </c>
      <c r="T91">
        <f>[1]data!Q92-'Urban population'!T91</f>
        <v>1.1492138049999996</v>
      </c>
      <c r="U91">
        <f>[1]data!R92-'Urban population'!U91</f>
        <v>0.95106635600000011</v>
      </c>
      <c r="V91">
        <f>[1]data!S92-'Urban population'!V91</f>
        <v>0.88759888799999942</v>
      </c>
      <c r="W91">
        <f>[1]data!T92-'Urban population'!W91</f>
        <v>0.93026905199999987</v>
      </c>
      <c r="X91">
        <f>[1]data!U92-'Urban population'!X91</f>
        <v>0.97589346228000018</v>
      </c>
      <c r="Y91">
        <f>[1]data!V92-'Urban population'!Y91</f>
        <v>1.0187533532799993</v>
      </c>
      <c r="Z91">
        <f>[1]data!W92-'Urban population'!Z91</f>
        <v>1.057193841660002</v>
      </c>
      <c r="AA91">
        <f>[1]data!X92-'Urban population'!AA91</f>
        <v>1.0895739952600003</v>
      </c>
      <c r="AB91">
        <f>[1]data!Y92-'Urban population'!AB91</f>
        <v>1.1144672038500012</v>
      </c>
      <c r="AC91">
        <f>[1]data!Z92-'Urban population'!AC91</f>
        <v>1.1291347513599987</v>
      </c>
      <c r="AD91">
        <f>[1]data!AA92-'Urban population'!AD91</f>
        <v>1.1353650771400012</v>
      </c>
      <c r="AE91">
        <f>[1]data!AB92-'Urban population'!AE91</f>
        <v>1.1339972564199989</v>
      </c>
      <c r="AF91">
        <f>[1]data!AC92-'Urban population'!AF91</f>
        <v>1.1279375757599972</v>
      </c>
      <c r="AG91">
        <f>[1]data!AD92-'Urban population'!AG91</f>
        <v>1.1181364354999985</v>
      </c>
      <c r="AH91">
        <f>[1]data!AE92-'Urban population'!AH91</f>
        <v>1.1053069879500015</v>
      </c>
      <c r="AI91">
        <f>[1]data!AF92-'Urban population'!AI91</f>
        <v>1.0881891627599991</v>
      </c>
      <c r="AJ91">
        <f>[1]data!AG92-'Urban population'!AJ91</f>
        <v>1.0670853357399999</v>
      </c>
      <c r="AK91">
        <f>[1]data!AH92-'Urban population'!AK91</f>
        <v>1.0428336593999994</v>
      </c>
      <c r="AL91">
        <f>[1]data!AI92-'Urban population'!AL91</f>
        <v>1.0164218462400001</v>
      </c>
      <c r="AM91">
        <f>[1]data!AJ92-'Urban population'!AM91</f>
        <v>0.98853251656000296</v>
      </c>
    </row>
    <row r="92" spans="1:39" x14ac:dyDescent="0.25">
      <c r="A92" t="s">
        <v>30</v>
      </c>
      <c r="B92" t="s">
        <v>31</v>
      </c>
      <c r="C92" t="s">
        <v>123</v>
      </c>
      <c r="D92" t="str">
        <f>_xlfn.XLOOKUP(C92,'[5]Country Codes'!$A$2:$A$267,'[5]Country Codes'!$B$2:$B$267)</f>
        <v>JPN</v>
      </c>
      <c r="E92" t="str">
        <f>_xlfn.XLOOKUP(D92,[6]Feuil1!$C$2:$C$248,[6]Feuil1!$B$2:$B$248)</f>
        <v>JP</v>
      </c>
      <c r="F92" t="s">
        <v>33</v>
      </c>
      <c r="G92" t="str">
        <f>_xlfn.XLOOKUP(C92,'Urban population'!C92:C291,'Urban population'!G92:G291)</f>
        <v>Japan</v>
      </c>
      <c r="H92" t="s">
        <v>34</v>
      </c>
      <c r="I92">
        <f>[1]data!F93-'Urban population'!I92</f>
        <v>38.983818558000003</v>
      </c>
      <c r="J92">
        <f>[1]data!G93-'Urban population'!J92</f>
        <v>37.272838720000003</v>
      </c>
      <c r="K92">
        <f>[1]data!H93-'Urban population'!K92</f>
        <v>34.506801027000002</v>
      </c>
      <c r="L92">
        <f>[1]data!I93-'Urban population'!L92</f>
        <v>31.739135652000002</v>
      </c>
      <c r="M92">
        <f>[1]data!J93-'Urban population'!M92</f>
        <v>29.434515926999993</v>
      </c>
      <c r="N92">
        <f>[1]data!K93-'Urban population'!N92</f>
        <v>27.164414502</v>
      </c>
      <c r="O92">
        <f>[1]data!L93-'Urban population'!O92</f>
        <v>27.898559444</v>
      </c>
      <c r="P92">
        <f>[1]data!M93-'Urban population'!P92</f>
        <v>28.147877686000001</v>
      </c>
      <c r="Q92">
        <f>[1]data!N93-'Urban population'!Q92</f>
        <v>28.033040843999999</v>
      </c>
      <c r="R92">
        <f>[1]data!O93-'Urban population'!R92</f>
        <v>27.565967880000002</v>
      </c>
      <c r="S92">
        <f>[1]data!P93-'Urban population'!S92</f>
        <v>27.10629972800001</v>
      </c>
      <c r="T92">
        <f>[1]data!Q93-'Urban population'!T92</f>
        <v>17.885375480000008</v>
      </c>
      <c r="U92">
        <f>[1]data!R93-'Urban population'!U92</f>
        <v>11.788088800000011</v>
      </c>
      <c r="V92">
        <f>[1]data!S93-'Urban population'!V92</f>
        <v>10.953643356000001</v>
      </c>
      <c r="W92">
        <f>[1]data!T93-'Urban population'!W92</f>
        <v>10.294506976000008</v>
      </c>
      <c r="X92">
        <f>[1]data!U93-'Urban population'!X92</f>
        <v>9.1597385430900005</v>
      </c>
      <c r="Y92">
        <f>[1]data!V93-'Urban population'!Y92</f>
        <v>8.1132637839000097</v>
      </c>
      <c r="Z92">
        <f>[1]data!W93-'Urban population'!Z92</f>
        <v>7.1452401213200005</v>
      </c>
      <c r="AA92">
        <f>[1]data!X93-'Urban population'!AA92</f>
        <v>6.2630865409499989</v>
      </c>
      <c r="AB92">
        <f>[1]data!Y93-'Urban population'!AB92</f>
        <v>5.467519319040008</v>
      </c>
      <c r="AC92">
        <f>[1]data!Z93-'Urban population'!AC92</f>
        <v>4.7596379224499969</v>
      </c>
      <c r="AD92">
        <f>[1]data!AA93-'Urban population'!AD92</f>
        <v>4.1346523296000015</v>
      </c>
      <c r="AE92">
        <f>[1]data!AB93-'Urban population'!AE92</f>
        <v>3.5804372811000036</v>
      </c>
      <c r="AF92">
        <f>[1]data!AC93-'Urban population'!AF92</f>
        <v>3.0851153120899966</v>
      </c>
      <c r="AG92">
        <f>[1]data!AD93-'Urban population'!AG92</f>
        <v>2.6436344835599925</v>
      </c>
      <c r="AH92">
        <f>[1]data!AE93-'Urban population'!AH92</f>
        <v>2.2573569165599991</v>
      </c>
      <c r="AI92">
        <f>[1]data!AF93-'Urban population'!AI92</f>
        <v>1.926276166880001</v>
      </c>
      <c r="AJ92">
        <f>[1]data!AG93-'Urban population'!AJ92</f>
        <v>1.6451558873199872</v>
      </c>
      <c r="AK92">
        <f>[1]data!AH93-'Urban population'!AK92</f>
        <v>1.4048003827900004</v>
      </c>
      <c r="AL92">
        <f>[1]data!AI93-'Urban population'!AL92</f>
        <v>1.1978931447199983</v>
      </c>
      <c r="AM92">
        <f>[1]data!AJ93-'Urban population'!AM92</f>
        <v>1.0190554220000081</v>
      </c>
    </row>
    <row r="93" spans="1:39" x14ac:dyDescent="0.25">
      <c r="A93" t="s">
        <v>30</v>
      </c>
      <c r="B93" t="s">
        <v>31</v>
      </c>
      <c r="C93" t="s">
        <v>124</v>
      </c>
      <c r="D93" t="str">
        <f>_xlfn.XLOOKUP(C93,'[5]Country Codes'!$A$2:$A$267,'[5]Country Codes'!$B$2:$B$267)</f>
        <v>KAZ</v>
      </c>
      <c r="E93" t="str">
        <f>_xlfn.XLOOKUP(D93,[6]Feuil1!$C$2:$C$248,[6]Feuil1!$B$2:$B$248)</f>
        <v>KZ</v>
      </c>
      <c r="F93" t="s">
        <v>33</v>
      </c>
      <c r="G93" t="str">
        <f>_xlfn.XLOOKUP(C93,'Urban population'!C93:C292,'Urban population'!G93:G292)</f>
        <v>Central Asia</v>
      </c>
      <c r="H93" t="s">
        <v>34</v>
      </c>
      <c r="I93">
        <f>[1]data!F94-'Urban population'!I93</f>
        <v>4.1599685160000002</v>
      </c>
      <c r="J93">
        <f>[1]data!G94-'Urban population'!J93</f>
        <v>4.607099668</v>
      </c>
      <c r="K93">
        <f>[1]data!H94-'Urban population'!K93</f>
        <v>5.1111047880000005</v>
      </c>
      <c r="L93">
        <f>[1]data!I94-'Urban population'!L93</f>
        <v>5.6950588200000007</v>
      </c>
      <c r="M93">
        <f>[1]data!J94-'Urban population'!M93</f>
        <v>6.0589020600000003</v>
      </c>
      <c r="N93">
        <f>[1]data!K94-'Urban population'!N93</f>
        <v>6.1925649419999997</v>
      </c>
      <c r="O93">
        <f>[1]data!L94-'Urban population'!O93</f>
        <v>6.4549647359999991</v>
      </c>
      <c r="P93">
        <f>[1]data!M94-'Urban population'!P93</f>
        <v>6.7228215999999996</v>
      </c>
      <c r="Q93">
        <f>[1]data!N94-'Urban population'!Q93</f>
        <v>7.3410196640000009</v>
      </c>
      <c r="R93">
        <f>[1]data!O94-'Urban population'!R93</f>
        <v>7.306757892000002</v>
      </c>
      <c r="S93">
        <f>[1]data!P94-'Urban population'!S93</f>
        <v>6.6800017950000008</v>
      </c>
      <c r="T93">
        <f>[1]data!Q94-'Urban population'!T93</f>
        <v>6.7781164950000008</v>
      </c>
      <c r="U93">
        <f>[1]data!R94-'Urban population'!U93</f>
        <v>7.1319303360000017</v>
      </c>
      <c r="V93">
        <f>[1]data!S94-'Urban population'!V93</f>
        <v>7.5822772279999988</v>
      </c>
      <c r="W93">
        <f>[1]data!T94-'Urban population'!W93</f>
        <v>7.9782271109999989</v>
      </c>
      <c r="X93">
        <f>[1]data!U94-'Urban population'!X93</f>
        <v>7.9208760758400008</v>
      </c>
      <c r="Y93">
        <f>[1]data!V94-'Urban population'!Y93</f>
        <v>7.8197868178800007</v>
      </c>
      <c r="Z93">
        <f>[1]data!W94-'Urban population'!Z93</f>
        <v>7.6766003920000028</v>
      </c>
      <c r="AA93">
        <f>[1]data!X94-'Urban population'!AA93</f>
        <v>7.5203009557199998</v>
      </c>
      <c r="AB93">
        <f>[1]data!Y94-'Urban population'!AB93</f>
        <v>7.3526630400800013</v>
      </c>
      <c r="AC93">
        <f>[1]data!Z94-'Urban population'!AC93</f>
        <v>7.1653285387200008</v>
      </c>
      <c r="AD93">
        <f>[1]data!AA94-'Urban population'!AD93</f>
        <v>6.9468458828000017</v>
      </c>
      <c r="AE93">
        <f>[1]data!AB94-'Urban population'!AE93</f>
        <v>6.6924926598399992</v>
      </c>
      <c r="AF93">
        <f>[1]data!AC94-'Urban population'!AF93</f>
        <v>6.4276796090900028</v>
      </c>
      <c r="AG93">
        <f>[1]data!AD94-'Urban population'!AG93</f>
        <v>6.1689831789900005</v>
      </c>
      <c r="AH93">
        <f>[1]data!AE94-'Urban population'!AH93</f>
        <v>5.9228242651000009</v>
      </c>
      <c r="AI93">
        <f>[1]data!AF94-'Urban population'!AI93</f>
        <v>5.6907568183200006</v>
      </c>
      <c r="AJ93">
        <f>[1]data!AG94-'Urban population'!AJ93</f>
        <v>5.4692432525000001</v>
      </c>
      <c r="AK93">
        <f>[1]data!AH94-'Urban population'!AK93</f>
        <v>5.2568444982999978</v>
      </c>
      <c r="AL93">
        <f>[1]data!AI94-'Urban population'!AL93</f>
        <v>5.0504151006200004</v>
      </c>
      <c r="AM93">
        <f>[1]data!AJ94-'Urban population'!AM93</f>
        <v>4.84669920308</v>
      </c>
    </row>
    <row r="94" spans="1:39" x14ac:dyDescent="0.25">
      <c r="A94" t="s">
        <v>30</v>
      </c>
      <c r="B94" t="s">
        <v>31</v>
      </c>
      <c r="C94" t="s">
        <v>125</v>
      </c>
      <c r="D94" t="str">
        <f>_xlfn.XLOOKUP(C94,'[5]Country Codes'!$A$2:$A$267,'[5]Country Codes'!$B$2:$B$267)</f>
        <v>KEN</v>
      </c>
      <c r="E94" t="str">
        <f>_xlfn.XLOOKUP(D94,[6]Feuil1!$C$2:$C$248,[6]Feuil1!$B$2:$B$248)</f>
        <v>KE</v>
      </c>
      <c r="F94" t="s">
        <v>33</v>
      </c>
      <c r="G94" t="str">
        <f>_xlfn.XLOOKUP(C94,'Urban population'!C94:C293,'Urban population'!G94:G293)</f>
        <v>Eastern Africa</v>
      </c>
      <c r="H94" t="s">
        <v>34</v>
      </c>
      <c r="I94">
        <f>[1]data!F95-'Urban population'!I94</f>
        <v>5.3918202560000008</v>
      </c>
      <c r="J94">
        <f>[1]data!G95-'Urban population'!J94</f>
        <v>6.0473275199999996</v>
      </c>
      <c r="K94">
        <f>[1]data!H95-'Urban population'!K94</f>
        <v>7.0457367620000007</v>
      </c>
      <c r="L94">
        <f>[1]data!I95-'Urban population'!L94</f>
        <v>8.4331782080000082</v>
      </c>
      <c r="M94">
        <f>[1]data!J95-'Urban population'!M94</f>
        <v>10.096645454999999</v>
      </c>
      <c r="N94">
        <f>[1]data!K95-'Urban population'!N94</f>
        <v>11.694167068999999</v>
      </c>
      <c r="O94">
        <f>[1]data!L95-'Urban population'!O94</f>
        <v>13.414718304000001</v>
      </c>
      <c r="P94">
        <f>[1]data!M95-'Urban population'!P94</f>
        <v>16.023659958000003</v>
      </c>
      <c r="Q94">
        <f>[1]data!N95-'Urban population'!Q94</f>
        <v>18.968736969000002</v>
      </c>
      <c r="R94">
        <f>[1]data!O95-'Urban population'!R94</f>
        <v>21.660098116</v>
      </c>
      <c r="S94">
        <f>[1]data!P95-'Urban population'!S94</f>
        <v>24.348408714000001</v>
      </c>
      <c r="T94">
        <f>[1]data!Q95-'Urban population'!T94</f>
        <v>27.650928555</v>
      </c>
      <c r="U94">
        <f>[1]data!R95-'Urban population'!U94</f>
        <v>31.285887859999995</v>
      </c>
      <c r="V94">
        <f>[1]data!S95-'Urban population'!V94</f>
        <v>34.435072056000003</v>
      </c>
      <c r="W94">
        <f>[1]data!T95-'Urban population'!W94</f>
        <v>37.051355520000001</v>
      </c>
      <c r="X94">
        <f>[1]data!U95-'Urban population'!X94</f>
        <v>39.28095703935</v>
      </c>
      <c r="Y94">
        <f>[1]data!V95-'Urban population'!Y94</f>
        <v>41.338333142720003</v>
      </c>
      <c r="Z94">
        <f>[1]data!W95-'Urban population'!Z94</f>
        <v>43.036537799559994</v>
      </c>
      <c r="AA94">
        <f>[1]data!X95-'Urban population'!AA94</f>
        <v>44.273341567230062</v>
      </c>
      <c r="AB94">
        <f>[1]data!Y95-'Urban population'!AB94</f>
        <v>45.026641855859999</v>
      </c>
      <c r="AC94">
        <f>[1]data!Z95-'Urban population'!AC94</f>
        <v>45.339307980889998</v>
      </c>
      <c r="AD94">
        <f>[1]data!AA95-'Urban population'!AD94</f>
        <v>45.178124748600005</v>
      </c>
      <c r="AE94">
        <f>[1]data!AB95-'Urban population'!AE94</f>
        <v>44.645146100999995</v>
      </c>
      <c r="AF94">
        <f>[1]data!AC95-'Urban population'!AF94</f>
        <v>43.706528388720002</v>
      </c>
      <c r="AG94">
        <f>[1]data!AD95-'Urban population'!AG94</f>
        <v>42.436431446560007</v>
      </c>
      <c r="AH94">
        <f>[1]data!AE95-'Urban population'!AH94</f>
        <v>40.945886939250002</v>
      </c>
      <c r="AI94">
        <f>[1]data!AF95-'Urban population'!AI94</f>
        <v>39.325659799139999</v>
      </c>
      <c r="AJ94">
        <f>[1]data!AG95-'Urban population'!AJ94</f>
        <v>37.619976242309995</v>
      </c>
      <c r="AK94">
        <f>[1]data!AH95-'Urban population'!AK94</f>
        <v>35.854442511050038</v>
      </c>
      <c r="AL94">
        <f>[1]data!AI95-'Urban population'!AL94</f>
        <v>34.031194352279968</v>
      </c>
      <c r="AM94">
        <f>[1]data!AJ95-'Urban population'!AM94</f>
        <v>32.190131715450008</v>
      </c>
    </row>
    <row r="95" spans="1:39" x14ac:dyDescent="0.25">
      <c r="A95" t="s">
        <v>30</v>
      </c>
      <c r="B95" t="s">
        <v>31</v>
      </c>
      <c r="C95" t="s">
        <v>126</v>
      </c>
      <c r="D95" t="s">
        <v>262</v>
      </c>
      <c r="E95" t="str">
        <f>_xlfn.XLOOKUP(D95,[6]Feuil1!$C$2:$C$248,[6]Feuil1!$B$2:$B$248)</f>
        <v>KG</v>
      </c>
      <c r="F95" t="s">
        <v>33</v>
      </c>
      <c r="G95" t="str">
        <f>_xlfn.XLOOKUP(C95,'Urban population'!C95:C294,'Urban population'!G95:G294)</f>
        <v>Central Asia</v>
      </c>
      <c r="H95" t="s">
        <v>34</v>
      </c>
      <c r="I95">
        <f>[1]data!F96-'Urban population'!I95</f>
        <v>1.27380351</v>
      </c>
      <c r="J95">
        <f>[1]data!G96-'Urban population'!J95</f>
        <v>1.3347174559999999</v>
      </c>
      <c r="K95">
        <f>[1]data!H96-'Urban population'!K95</f>
        <v>1.4353394860000002</v>
      </c>
      <c r="L95">
        <f>[1]data!I96-'Urban population'!L95</f>
        <v>1.6498404139999998</v>
      </c>
      <c r="M95">
        <f>[1]data!J96-'Urban population'!M95</f>
        <v>1.8616006249999999</v>
      </c>
      <c r="N95">
        <f>[1]data!K96-'Urban population'!N95</f>
        <v>2.05311033</v>
      </c>
      <c r="O95">
        <f>[1]data!L96-'Urban population'!O95</f>
        <v>2.2442283299999999</v>
      </c>
      <c r="P95">
        <f>[1]data!M96-'Urban population'!P95</f>
        <v>2.4832173520000005</v>
      </c>
      <c r="Q95">
        <f>[1]data!N96-'Urban population'!Q95</f>
        <v>2.714537376</v>
      </c>
      <c r="R95">
        <f>[1]data!O96-'Urban population'!R95</f>
        <v>2.9060659810000002</v>
      </c>
      <c r="S95">
        <f>[1]data!P96-'Urban population'!S95</f>
        <v>3.1776757999999998</v>
      </c>
      <c r="T95">
        <f>[1]data!Q96-'Urban population'!T95</f>
        <v>3.3429752420000005</v>
      </c>
      <c r="U95">
        <f>[1]data!R96-'Urban population'!U95</f>
        <v>3.5278593740000002</v>
      </c>
      <c r="V95">
        <f>[1]data!S96-'Urban population'!V95</f>
        <v>3.7645923419999998</v>
      </c>
      <c r="W95">
        <f>[1]data!T96-'Urban population'!W95</f>
        <v>4.0209421229999993</v>
      </c>
      <c r="X95">
        <f>[1]data!U96-'Urban population'!X95</f>
        <v>4.1339608854500005</v>
      </c>
      <c r="Y95">
        <f>[1]data!V96-'Urban population'!Y95</f>
        <v>4.1913315838800003</v>
      </c>
      <c r="Z95">
        <f>[1]data!W96-'Urban population'!Z95</f>
        <v>4.2096644331200004</v>
      </c>
      <c r="AA95">
        <f>[1]data!X96-'Urban population'!AA95</f>
        <v>4.2054142393600005</v>
      </c>
      <c r="AB95">
        <f>[1]data!Y96-'Urban population'!AB95</f>
        <v>4.1784553157399991</v>
      </c>
      <c r="AC95">
        <f>[1]data!Z96-'Urban population'!AC95</f>
        <v>4.1172104048600051</v>
      </c>
      <c r="AD95">
        <f>[1]data!AA96-'Urban population'!AD95</f>
        <v>4.0229083344000047</v>
      </c>
      <c r="AE95">
        <f>[1]data!AB96-'Urban population'!AE95</f>
        <v>3.90090067612</v>
      </c>
      <c r="AF95">
        <f>[1]data!AC96-'Urban population'!AF95</f>
        <v>3.7636556097900007</v>
      </c>
      <c r="AG95">
        <f>[1]data!AD96-'Urban population'!AG95</f>
        <v>3.6221510475799965</v>
      </c>
      <c r="AH95">
        <f>[1]data!AE96-'Urban population'!AH95</f>
        <v>3.4802602764500001</v>
      </c>
      <c r="AI95">
        <f>[1]data!AF96-'Urban population'!AI95</f>
        <v>3.3380134056500026</v>
      </c>
      <c r="AJ95">
        <f>[1]data!AG96-'Urban population'!AJ95</f>
        <v>3.1979490758999995</v>
      </c>
      <c r="AK95">
        <f>[1]data!AH96-'Urban population'!AK95</f>
        <v>3.0596884628799996</v>
      </c>
      <c r="AL95">
        <f>[1]data!AI96-'Urban population'!AL95</f>
        <v>2.9255778793999996</v>
      </c>
      <c r="AM95">
        <f>[1]data!AJ96-'Urban population'!AM95</f>
        <v>2.7951932532999999</v>
      </c>
    </row>
    <row r="96" spans="1:39" x14ac:dyDescent="0.25">
      <c r="A96" t="s">
        <v>30</v>
      </c>
      <c r="B96" t="s">
        <v>31</v>
      </c>
      <c r="C96" t="s">
        <v>127</v>
      </c>
      <c r="D96" t="str">
        <f>_xlfn.XLOOKUP(C96,'[5]Country Codes'!$A$2:$A$267,'[5]Country Codes'!$B$2:$B$267)</f>
        <v>KHM</v>
      </c>
      <c r="E96" t="str">
        <f>_xlfn.XLOOKUP(D96,[6]Feuil1!$C$2:$C$248,[6]Feuil1!$B$2:$B$248)</f>
        <v>KH</v>
      </c>
      <c r="F96" t="s">
        <v>33</v>
      </c>
      <c r="G96" t="str">
        <f>_xlfn.XLOOKUP(C96,'Urban population'!C96:C295,'Urban population'!G96:G295)</f>
        <v>Southeastern Asia</v>
      </c>
      <c r="H96" t="s">
        <v>34</v>
      </c>
      <c r="I96">
        <f>[1]data!F97-'Urban population'!I96</f>
        <v>3.8870019800000004</v>
      </c>
      <c r="J96">
        <f>[1]data!G97-'Urban population'!J96</f>
        <v>4.3749230959999998</v>
      </c>
      <c r="K96">
        <f>[1]data!H97-'Urban population'!K96</f>
        <v>4.9158264089999992</v>
      </c>
      <c r="L96">
        <f>[1]data!I97-'Urban population'!L96</f>
        <v>5.4463646799999994</v>
      </c>
      <c r="M96">
        <f>[1]data!J97-'Urban population'!M96</f>
        <v>5.6643661199999995</v>
      </c>
      <c r="N96">
        <f>[1]data!K97-'Urban population'!N96</f>
        <v>6.6236737200000002</v>
      </c>
      <c r="O96">
        <f>[1]data!L97-'Urban population'!O96</f>
        <v>5.5568652420000006</v>
      </c>
      <c r="P96">
        <f>[1]data!M97-'Urban population'!P96</f>
        <v>6.237776244</v>
      </c>
      <c r="Q96">
        <f>[1]data!N97-'Urban population'!Q96</f>
        <v>7.3838068850000012</v>
      </c>
      <c r="R96">
        <f>[1]data!O97-'Urban population'!R96</f>
        <v>8.9205967649999991</v>
      </c>
      <c r="S96">
        <f>[1]data!P97-'Urban population'!S96</f>
        <v>9.7762482619999993</v>
      </c>
      <c r="T96">
        <f>[1]data!Q97-'Urban population'!T96</f>
        <v>10.610689936</v>
      </c>
      <c r="U96">
        <f>[1]data!R97-'Urban population'!U96</f>
        <v>11.364305044</v>
      </c>
      <c r="V96">
        <f>[1]data!S97-'Urban population'!V96</f>
        <v>11.915840998</v>
      </c>
      <c r="W96">
        <f>[1]data!T97-'Urban population'!W96</f>
        <v>12.352574934</v>
      </c>
      <c r="X96">
        <f>[1]data!U97-'Urban population'!X96</f>
        <v>12.733995486449999</v>
      </c>
      <c r="Y96">
        <f>[1]data!V97-'Urban population'!Y96</f>
        <v>12.982231983550001</v>
      </c>
      <c r="Z96">
        <f>[1]data!W97-'Urban population'!Z96</f>
        <v>13.097708766869999</v>
      </c>
      <c r="AA96">
        <f>[1]data!X97-'Urban population'!AA96</f>
        <v>13.075321216860001</v>
      </c>
      <c r="AB96">
        <f>[1]data!Y97-'Urban population'!AB96</f>
        <v>12.902489551709998</v>
      </c>
      <c r="AC96">
        <f>[1]data!Z97-'Urban population'!AC96</f>
        <v>12.618213658679998</v>
      </c>
      <c r="AD96">
        <f>[1]data!AA97-'Urban population'!AD96</f>
        <v>12.256958878919999</v>
      </c>
      <c r="AE96">
        <f>[1]data!AB97-'Urban population'!AE96</f>
        <v>11.837548523600001</v>
      </c>
      <c r="AF96">
        <f>[1]data!AC97-'Urban population'!AF96</f>
        <v>11.367619688879998</v>
      </c>
      <c r="AG96">
        <f>[1]data!AD97-'Urban population'!AG96</f>
        <v>10.84637126722</v>
      </c>
      <c r="AH96">
        <f>[1]data!AE97-'Urban population'!AH96</f>
        <v>10.28478565494</v>
      </c>
      <c r="AI96">
        <f>[1]data!AF97-'Urban population'!AI96</f>
        <v>9.7038911371099985</v>
      </c>
      <c r="AJ96">
        <f>[1]data!AG97-'Urban population'!AJ96</f>
        <v>9.1251821661000001</v>
      </c>
      <c r="AK96">
        <f>[1]data!AH97-'Urban population'!AK96</f>
        <v>8.5573155412799995</v>
      </c>
      <c r="AL96">
        <f>[1]data!AI97-'Urban population'!AL96</f>
        <v>7.9979430772800004</v>
      </c>
      <c r="AM96">
        <f>[1]data!AJ97-'Urban population'!AM96</f>
        <v>7.4494070823599987</v>
      </c>
    </row>
    <row r="97" spans="1:39" x14ac:dyDescent="0.25">
      <c r="A97" t="s">
        <v>30</v>
      </c>
      <c r="B97" t="s">
        <v>31</v>
      </c>
      <c r="C97" t="s">
        <v>128</v>
      </c>
      <c r="D97" t="str">
        <f>_xlfn.XLOOKUP(C97,'[5]Country Codes'!$A$2:$A$267,'[5]Country Codes'!$B$2:$B$267)</f>
        <v>KIR</v>
      </c>
      <c r="E97" t="str">
        <f>_xlfn.XLOOKUP(D97,[6]Feuil1!$C$2:$C$248,[6]Feuil1!$B$2:$B$248)</f>
        <v>KI</v>
      </c>
      <c r="F97" t="s">
        <v>33</v>
      </c>
      <c r="G97" t="str">
        <f>_xlfn.XLOOKUP(C97,'Urban population'!C97:C296,'Urban population'!G97:G296)</f>
        <v>Oceania</v>
      </c>
      <c r="H97" t="s">
        <v>34</v>
      </c>
      <c r="I97">
        <f>[1]data!F98-'Urban population'!I97</f>
        <v>3.3342070000000001E-2</v>
      </c>
      <c r="J97">
        <f>[1]data!G98-'Urban population'!J97</f>
        <v>3.5982299999999995E-2</v>
      </c>
      <c r="K97">
        <f>[1]data!H98-'Urban population'!K97</f>
        <v>3.8936402999999994E-2</v>
      </c>
      <c r="L97">
        <f>[1]data!I98-'Urban population'!L97</f>
        <v>4.2415020000000005E-2</v>
      </c>
      <c r="M97">
        <f>[1]data!J98-'Urban population'!M97</f>
        <v>4.3173438000000001E-2</v>
      </c>
      <c r="N97">
        <f>[1]data!K98-'Urban population'!N97</f>
        <v>4.2834176000000002E-2</v>
      </c>
      <c r="O97">
        <f>[1]data!L98-'Urban population'!O97</f>
        <v>4.0817684000000007E-2</v>
      </c>
      <c r="P97">
        <f>[1]data!M98-'Urban population'!P97</f>
        <v>4.3870715000000005E-2</v>
      </c>
      <c r="Q97">
        <f>[1]data!N98-'Urban population'!Q97</f>
        <v>4.8306699999999994E-2</v>
      </c>
      <c r="R97">
        <f>[1]data!O98-'Urban population'!R97</f>
        <v>5.1421236000000009E-2</v>
      </c>
      <c r="S97">
        <f>[1]data!P98-'Urban population'!S97</f>
        <v>5.0178809999999997E-2</v>
      </c>
      <c r="T97">
        <f>[1]data!Q98-'Urban population'!T97</f>
        <v>5.4820800000000003E-2</v>
      </c>
      <c r="U97">
        <f>[1]data!R98-'Urban population'!U97</f>
        <v>5.6290942000000004E-2</v>
      </c>
      <c r="V97">
        <f>[1]data!S98-'Urban population'!V97</f>
        <v>5.605446E-2</v>
      </c>
      <c r="W97">
        <f>[1]data!T98-'Urban population'!W97</f>
        <v>5.5614551999999554E-2</v>
      </c>
      <c r="X97">
        <f>[1]data!U98-'Urban population'!X97</f>
        <v>5.689692528000001E-2</v>
      </c>
      <c r="Y97">
        <f>[1]data!V98-'Urban population'!Y97</f>
        <v>5.7368694319999608E-2</v>
      </c>
      <c r="Z97">
        <f>[1]data!W98-'Urban population'!Z97</f>
        <v>5.7092964479999994E-2</v>
      </c>
      <c r="AA97">
        <f>[1]data!X98-'Urban population'!AA97</f>
        <v>5.6402003000000006E-2</v>
      </c>
      <c r="AB97">
        <f>[1]data!Y98-'Urban population'!AB97</f>
        <v>5.5572366080000005E-2</v>
      </c>
      <c r="AC97">
        <f>[1]data!Z98-'Urban population'!AC97</f>
        <v>5.4443135550000007E-2</v>
      </c>
      <c r="AD97">
        <f>[1]data!AA98-'Urban population'!AD97</f>
        <v>5.2916140890000019E-2</v>
      </c>
      <c r="AE97">
        <f>[1]data!AB98-'Urban population'!AE97</f>
        <v>5.0918091400000004E-2</v>
      </c>
      <c r="AF97">
        <f>[1]data!AC98-'Urban population'!AF97</f>
        <v>4.8673653399999739E-2</v>
      </c>
      <c r="AG97">
        <f>[1]data!AD98-'Urban population'!AG97</f>
        <v>4.6389434400000013E-2</v>
      </c>
      <c r="AH97">
        <f>[1]data!AE98-'Urban population'!AH97</f>
        <v>4.4198099399999996E-2</v>
      </c>
      <c r="AI97">
        <f>[1]data!AF98-'Urban population'!AI97</f>
        <v>4.2106840499999992E-2</v>
      </c>
      <c r="AJ97">
        <f>[1]data!AG98-'Urban population'!AJ97</f>
        <v>4.0078485779999978E-2</v>
      </c>
      <c r="AK97">
        <f>[1]data!AH98-'Urban population'!AK97</f>
        <v>3.802945323000001E-2</v>
      </c>
      <c r="AL97">
        <f>[1]data!AI98-'Urban population'!AL97</f>
        <v>3.5970571199999996E-2</v>
      </c>
      <c r="AM97">
        <f>[1]data!AJ98-'Urban population'!AM97</f>
        <v>3.3963755429999992E-2</v>
      </c>
    </row>
    <row r="98" spans="1:39" x14ac:dyDescent="0.25">
      <c r="A98" t="s">
        <v>30</v>
      </c>
      <c r="B98" t="s">
        <v>31</v>
      </c>
      <c r="C98" t="s">
        <v>129</v>
      </c>
      <c r="D98" t="s">
        <v>263</v>
      </c>
      <c r="E98" t="str">
        <f>_xlfn.XLOOKUP(D98,[6]Feuil1!$C$2:$C$248,[6]Feuil1!$B$2:$B$248)</f>
        <v>KR</v>
      </c>
      <c r="F98" t="s">
        <v>33</v>
      </c>
      <c r="G98" t="str">
        <f>_xlfn.XLOOKUP(C98,'Urban population'!C98:C297,'Urban population'!G98:G297)</f>
        <v>Korea region</v>
      </c>
      <c r="H98" t="s">
        <v>34</v>
      </c>
      <c r="I98">
        <f>[1]data!F99-'Urban population'!I98</f>
        <v>15.845995014</v>
      </c>
      <c r="J98">
        <f>[1]data!G99-'Urban population'!J98</f>
        <v>16.436691935999999</v>
      </c>
      <c r="K98">
        <f>[1]data!H99-'Urban population'!K98</f>
        <v>18.384471474000001</v>
      </c>
      <c r="L98">
        <f>[1]data!I99-'Urban population'!L98</f>
        <v>19.517119127999997</v>
      </c>
      <c r="M98">
        <f>[1]data!J99-'Urban population'!M98</f>
        <v>19.128316201000001</v>
      </c>
      <c r="N98">
        <f>[1]data!K99-'Urban population'!N98</f>
        <v>18.533654359999996</v>
      </c>
      <c r="O98">
        <f>[1]data!L99-'Urban population'!O98</f>
        <v>16.430431377000001</v>
      </c>
      <c r="P98">
        <f>[1]data!M99-'Urban population'!P98</f>
        <v>14.376852242999998</v>
      </c>
      <c r="Q98">
        <f>[1]data!N99-'Urban population'!Q98</f>
        <v>11.49051566</v>
      </c>
      <c r="R98">
        <f>[1]data!O99-'Urban population'!R98</f>
        <v>9.8713837859999956</v>
      </c>
      <c r="S98">
        <f>[1]data!P99-'Urban population'!S98</f>
        <v>9.516615912000006</v>
      </c>
      <c r="T98">
        <f>[1]data!Q99-'Urban population'!T98</f>
        <v>8.9412093980000051</v>
      </c>
      <c r="U98">
        <f>[1]data!R99-'Urban population'!U98</f>
        <v>8.8122536039999986</v>
      </c>
      <c r="V98">
        <f>[1]data!S99-'Urban population'!V98</f>
        <v>9.3449629280000011</v>
      </c>
      <c r="W98">
        <f>[1]data!T99-'Urban population'!W98</f>
        <v>9.6456112499999946</v>
      </c>
      <c r="X98">
        <f>[1]data!U99-'Urban population'!X98</f>
        <v>9.0846809676000007</v>
      </c>
      <c r="Y98">
        <f>[1]data!V99-'Urban population'!Y98</f>
        <v>8.5006606456800071</v>
      </c>
      <c r="Z98">
        <f>[1]data!W99-'Urban population'!Z98</f>
        <v>7.8949101552999963</v>
      </c>
      <c r="AA98">
        <f>[1]data!X99-'Urban population'!AA98</f>
        <v>7.2614045552399986</v>
      </c>
      <c r="AB98">
        <f>[1]data!Y99-'Urban population'!AB98</f>
        <v>6.6146399806799963</v>
      </c>
      <c r="AC98">
        <f>[1]data!Z99-'Urban population'!AC98</f>
        <v>5.9807702639200002</v>
      </c>
      <c r="AD98">
        <f>[1]data!AA99-'Urban population'!AD98</f>
        <v>5.3375459459699925</v>
      </c>
      <c r="AE98">
        <f>[1]data!AB99-'Urban population'!AE98</f>
        <v>4.7061850151999991</v>
      </c>
      <c r="AF98">
        <f>[1]data!AC99-'Urban population'!AF98</f>
        <v>4.1185077042900033</v>
      </c>
      <c r="AG98">
        <f>[1]data!AD99-'Urban population'!AG98</f>
        <v>3.5901465800999972</v>
      </c>
      <c r="AH98">
        <f>[1]data!AE99-'Urban population'!AH98</f>
        <v>3.1195832737999964</v>
      </c>
      <c r="AI98">
        <f>[1]data!AF99-'Urban population'!AI98</f>
        <v>2.7023939585999983</v>
      </c>
      <c r="AJ98">
        <f>[1]data!AG99-'Urban population'!AJ98</f>
        <v>2.3354394242499978</v>
      </c>
      <c r="AK98">
        <f>[1]data!AH99-'Urban population'!AK98</f>
        <v>2.0102978981399993</v>
      </c>
      <c r="AL98">
        <f>[1]data!AI99-'Urban population'!AL98</f>
        <v>1.7232671695199997</v>
      </c>
      <c r="AM98">
        <f>[1]data!AJ99-'Urban population'!AM98</f>
        <v>1.4746879042200014</v>
      </c>
    </row>
    <row r="99" spans="1:39" x14ac:dyDescent="0.25">
      <c r="A99" t="s">
        <v>30</v>
      </c>
      <c r="B99" t="s">
        <v>31</v>
      </c>
      <c r="C99" t="s">
        <v>130</v>
      </c>
      <c r="D99" t="str">
        <f>_xlfn.XLOOKUP(C99,'[5]Country Codes'!$A$2:$A$267,'[5]Country Codes'!$B$2:$B$267)</f>
        <v>KWT</v>
      </c>
      <c r="E99" t="str">
        <f>_xlfn.XLOOKUP(D99,[6]Feuil1!$C$2:$C$248,[6]Feuil1!$B$2:$B$248)</f>
        <v>KW</v>
      </c>
      <c r="F99" t="s">
        <v>33</v>
      </c>
      <c r="G99" t="str">
        <f>_xlfn.XLOOKUP(C99,'Urban population'!C99:C298,'Urban population'!G99:G298)</f>
        <v>Middle East</v>
      </c>
      <c r="H99" t="s">
        <v>34</v>
      </c>
      <c r="I99" t="e">
        <f>[1]data!F100-'Urban population'!I99</f>
        <v>#N/A</v>
      </c>
      <c r="J99" t="e">
        <f>[1]data!G100-'Urban population'!J99</f>
        <v>#N/A</v>
      </c>
      <c r="K99" t="e">
        <f>[1]data!H100-'Urban population'!K99</f>
        <v>#N/A</v>
      </c>
      <c r="L99" t="e">
        <f>[1]data!I100-'Urban population'!L99</f>
        <v>#N/A</v>
      </c>
      <c r="M99" t="e">
        <f>[1]data!J100-'Urban population'!M99</f>
        <v>#N/A</v>
      </c>
      <c r="N99" t="e">
        <f>[1]data!K100-'Urban population'!N99</f>
        <v>#N/A</v>
      </c>
      <c r="O99" t="e">
        <f>[1]data!L100-'Urban population'!O99</f>
        <v>#N/A</v>
      </c>
      <c r="P99" t="e">
        <f>[1]data!M100-'Urban population'!P99</f>
        <v>#N/A</v>
      </c>
      <c r="Q99" t="e">
        <f>[1]data!N100-'Urban population'!Q99</f>
        <v>#N/A</v>
      </c>
      <c r="R99" t="e">
        <f>[1]data!O100-'Urban population'!R99</f>
        <v>#N/A</v>
      </c>
      <c r="S99" t="e">
        <f>[1]data!P100-'Urban population'!S99</f>
        <v>#N/A</v>
      </c>
      <c r="T99" t="e">
        <f>[1]data!Q100-'Urban population'!T99</f>
        <v>#N/A</v>
      </c>
      <c r="U99" t="e">
        <f>[1]data!R100-'Urban population'!U99</f>
        <v>#N/A</v>
      </c>
      <c r="V99" t="e">
        <f>[1]data!S100-'Urban population'!V99</f>
        <v>#N/A</v>
      </c>
      <c r="W99" t="e">
        <f>[1]data!T100-'Urban population'!W99</f>
        <v>#N/A</v>
      </c>
      <c r="X99" t="e">
        <f>[1]data!U100-'Urban population'!X99</f>
        <v>#N/A</v>
      </c>
      <c r="Y99" t="e">
        <f>[1]data!V100-'Urban population'!Y99</f>
        <v>#N/A</v>
      </c>
      <c r="Z99" t="e">
        <f>[1]data!W100-'Urban population'!Z99</f>
        <v>#N/A</v>
      </c>
      <c r="AA99" t="e">
        <f>[1]data!X100-'Urban population'!AA99</f>
        <v>#N/A</v>
      </c>
      <c r="AB99" t="e">
        <f>[1]data!Y100-'Urban population'!AB99</f>
        <v>#N/A</v>
      </c>
      <c r="AC99" t="e">
        <f>[1]data!Z100-'Urban population'!AC99</f>
        <v>#N/A</v>
      </c>
      <c r="AD99" t="e">
        <f>[1]data!AA100-'Urban population'!AD99</f>
        <v>#N/A</v>
      </c>
      <c r="AE99" t="e">
        <f>[1]data!AB100-'Urban population'!AE99</f>
        <v>#N/A</v>
      </c>
      <c r="AF99" t="e">
        <f>[1]data!AC100-'Urban population'!AF99</f>
        <v>#N/A</v>
      </c>
      <c r="AG99" t="e">
        <f>[1]data!AD100-'Urban population'!AG99</f>
        <v>#N/A</v>
      </c>
      <c r="AH99" t="e">
        <f>[1]data!AE100-'Urban population'!AH99</f>
        <v>#N/A</v>
      </c>
      <c r="AI99" t="e">
        <f>[1]data!AF100-'Urban population'!AI99</f>
        <v>#N/A</v>
      </c>
      <c r="AJ99" t="e">
        <f>[1]data!AG100-'Urban population'!AJ99</f>
        <v>#N/A</v>
      </c>
      <c r="AK99" t="e">
        <f>[1]data!AH100-'Urban population'!AK99</f>
        <v>#N/A</v>
      </c>
      <c r="AL99" t="e">
        <f>[1]data!AI100-'Urban population'!AL99</f>
        <v>#N/A</v>
      </c>
      <c r="AM99" t="e">
        <f>[1]data!AJ100-'Urban population'!AM99</f>
        <v>#N/A</v>
      </c>
    </row>
    <row r="100" spans="1:39" x14ac:dyDescent="0.25">
      <c r="A100" t="s">
        <v>30</v>
      </c>
      <c r="B100" t="s">
        <v>31</v>
      </c>
      <c r="C100" t="s">
        <v>131</v>
      </c>
      <c r="D100" t="s">
        <v>264</v>
      </c>
      <c r="E100" t="str">
        <f>_xlfn.XLOOKUP(D100,[6]Feuil1!$C$2:$C$248,[6]Feuil1!$B$2:$B$248)</f>
        <v>LA</v>
      </c>
      <c r="F100" t="s">
        <v>33</v>
      </c>
      <c r="G100" t="str">
        <f>_xlfn.XLOOKUP(C100,'Urban population'!C100:C299,'Urban population'!G100:G299)</f>
        <v>Southeastern Asia</v>
      </c>
      <c r="H100" t="s">
        <v>34</v>
      </c>
      <c r="I100">
        <f>[1]data!F101-'Urban population'!I100</f>
        <v>1.5443525440000001</v>
      </c>
      <c r="J100">
        <f>[1]data!G101-'Urban population'!J100</f>
        <v>1.7293482359999999</v>
      </c>
      <c r="K100">
        <f>[1]data!H101-'Urban population'!K100</f>
        <v>1.9327921800000001</v>
      </c>
      <c r="L100">
        <f>[1]data!I101-'Urban population'!L100</f>
        <v>2.15680234</v>
      </c>
      <c r="M100">
        <f>[1]data!J101-'Urban population'!M100</f>
        <v>2.3893678240000003</v>
      </c>
      <c r="N100">
        <f>[1]data!K101-'Urban population'!N100</f>
        <v>2.6503019129999998</v>
      </c>
      <c r="O100">
        <f>[1]data!L101-'Urban population'!O100</f>
        <v>2.8585491840000001</v>
      </c>
      <c r="P100">
        <f>[1]data!M101-'Urban population'!P100</f>
        <v>3.1802998660000004</v>
      </c>
      <c r="Q100">
        <f>[1]data!N101-'Urban population'!Q100</f>
        <v>3.5984770740000007</v>
      </c>
      <c r="R100">
        <f>[1]data!O101-'Urban population'!R100</f>
        <v>4.0213297880000001</v>
      </c>
      <c r="S100">
        <f>[1]data!P101-'Urban population'!S100</f>
        <v>4.2010339800000001</v>
      </c>
      <c r="T100">
        <f>[1]data!Q101-'Urban population'!T100</f>
        <v>4.2273205520000001</v>
      </c>
      <c r="U100">
        <f>[1]data!R101-'Urban population'!U100</f>
        <v>4.3875020730000003</v>
      </c>
      <c r="V100">
        <f>[1]data!S101-'Urban population'!V100</f>
        <v>4.5066442410000001</v>
      </c>
      <c r="W100">
        <f>[1]data!T101-'Urban population'!W100</f>
        <v>4.6282184130000008</v>
      </c>
      <c r="X100">
        <f>[1]data!U101-'Urban population'!X100</f>
        <v>4.7070932672599994</v>
      </c>
      <c r="Y100">
        <f>[1]data!V101-'Urban population'!Y100</f>
        <v>4.7293732239399997</v>
      </c>
      <c r="Z100">
        <f>[1]data!W101-'Urban population'!Z100</f>
        <v>4.6978443864000052</v>
      </c>
      <c r="AA100">
        <f>[1]data!X101-'Urban population'!AA100</f>
        <v>4.6193989134000004</v>
      </c>
      <c r="AB100">
        <f>[1]data!Y101-'Urban population'!AB100</f>
        <v>4.4974830247200002</v>
      </c>
      <c r="AC100">
        <f>[1]data!Z101-'Urban population'!AC100</f>
        <v>4.3389217388400043</v>
      </c>
      <c r="AD100">
        <f>[1]data!AA101-'Urban population'!AD100</f>
        <v>4.1586351669499999</v>
      </c>
      <c r="AE100">
        <f>[1]data!AB101-'Urban population'!AE100</f>
        <v>3.9643648184400044</v>
      </c>
      <c r="AF100">
        <f>[1]data!AC101-'Urban population'!AF100</f>
        <v>3.7610545644000002</v>
      </c>
      <c r="AG100">
        <f>[1]data!AD101-'Urban population'!AG100</f>
        <v>3.5536924203</v>
      </c>
      <c r="AH100">
        <f>[1]data!AE101-'Urban population'!AH100</f>
        <v>3.3467697667900005</v>
      </c>
      <c r="AI100">
        <f>[1]data!AF101-'Urban population'!AI100</f>
        <v>3.1446428115600007</v>
      </c>
      <c r="AJ100">
        <f>[1]data!AG101-'Urban population'!AJ100</f>
        <v>2.9497113915500011</v>
      </c>
      <c r="AK100">
        <f>[1]data!AH101-'Urban population'!AK100</f>
        <v>2.7654064934999996</v>
      </c>
      <c r="AL100">
        <f>[1]data!AI101-'Urban population'!AL100</f>
        <v>2.5923032894700038</v>
      </c>
      <c r="AM100">
        <f>[1]data!AJ101-'Urban population'!AM100</f>
        <v>2.4299186120700007</v>
      </c>
    </row>
    <row r="101" spans="1:39" x14ac:dyDescent="0.25">
      <c r="A101" t="s">
        <v>30</v>
      </c>
      <c r="B101" t="s">
        <v>31</v>
      </c>
      <c r="C101" t="s">
        <v>132</v>
      </c>
      <c r="D101" t="str">
        <f>_xlfn.XLOOKUP(C101,'[5]Country Codes'!$A$2:$A$267,'[5]Country Codes'!$B$2:$B$267)</f>
        <v>LBN</v>
      </c>
      <c r="E101" t="str">
        <f>_xlfn.XLOOKUP(D101,[6]Feuil1!$C$2:$C$248,[6]Feuil1!$B$2:$B$248)</f>
        <v>LB</v>
      </c>
      <c r="F101" t="s">
        <v>33</v>
      </c>
      <c r="G101" t="str">
        <f>_xlfn.XLOOKUP(C101,'Urban population'!C101:C300,'Urban population'!G101:G300)</f>
        <v>Middle East</v>
      </c>
      <c r="H101" t="s">
        <v>34</v>
      </c>
      <c r="I101">
        <f>[1]data!F102-'Urban population'!I101</f>
        <v>0.90477535999999992</v>
      </c>
      <c r="J101">
        <f>[1]data!G102-'Urban population'!J101</f>
        <v>0.97718921300000006</v>
      </c>
      <c r="K101">
        <f>[1]data!H102-'Urban population'!K101</f>
        <v>1.0224491929999999</v>
      </c>
      <c r="L101">
        <f>[1]data!I102-'Urban population'!L101</f>
        <v>1.011147233</v>
      </c>
      <c r="M101">
        <f>[1]data!J102-'Urban population'!M101</f>
        <v>0.95324931000000013</v>
      </c>
      <c r="N101">
        <f>[1]data!K102-'Urban population'!N101</f>
        <v>0.87899327999999999</v>
      </c>
      <c r="O101">
        <f>[1]data!L102-'Urban population'!O101</f>
        <v>0.77097608399999995</v>
      </c>
      <c r="P101">
        <f>[1]data!M102-'Urban population'!P101</f>
        <v>0.65814775199999964</v>
      </c>
      <c r="Q101">
        <f>[1]data!N102-'Urban population'!Q101</f>
        <v>0.60181525300000027</v>
      </c>
      <c r="R101">
        <f>[1]data!O102-'Urban population'!R101</f>
        <v>0.59620510400000004</v>
      </c>
      <c r="S101">
        <f>[1]data!P102-'Urban population'!S101</f>
        <v>0.6000349599999999</v>
      </c>
      <c r="T101">
        <f>[1]data!Q102-'Urban population'!T101</f>
        <v>0.61777108800000002</v>
      </c>
      <c r="U101">
        <f>[1]data!R102-'Urban population'!U101</f>
        <v>0.63276314899999964</v>
      </c>
      <c r="V101">
        <f>[1]data!S102-'Urban population'!V101</f>
        <v>0.76954396400000036</v>
      </c>
      <c r="W101">
        <f>[1]data!T102-'Urban population'!W101</f>
        <v>0.63209260799999978</v>
      </c>
      <c r="X101">
        <f>[1]data!U102-'Urban population'!X101</f>
        <v>0.60516648490000069</v>
      </c>
      <c r="Y101">
        <f>[1]data!V102-'Urban population'!Y101</f>
        <v>0.58402077657000007</v>
      </c>
      <c r="Z101">
        <f>[1]data!W102-'Urban population'!Z101</f>
        <v>0.56086124787000102</v>
      </c>
      <c r="AA101">
        <f>[1]data!X102-'Urban population'!AA101</f>
        <v>0.53571359148999953</v>
      </c>
      <c r="AB101">
        <f>[1]data!Y102-'Urban population'!AB101</f>
        <v>0.50893374980000061</v>
      </c>
      <c r="AC101">
        <f>[1]data!Z102-'Urban population'!AC101</f>
        <v>0.48030591289999958</v>
      </c>
      <c r="AD101">
        <f>[1]data!AA102-'Urban population'!AD101</f>
        <v>0.45057010649999985</v>
      </c>
      <c r="AE101">
        <f>[1]data!AB102-'Urban population'!AE101</f>
        <v>0.42119376750000015</v>
      </c>
      <c r="AF101">
        <f>[1]data!AC102-'Urban population'!AF101</f>
        <v>0.39282544787999996</v>
      </c>
      <c r="AG101">
        <f>[1]data!AD102-'Urban population'!AG101</f>
        <v>0.36564616539000028</v>
      </c>
      <c r="AH101">
        <f>[1]data!AE102-'Urban population'!AH101</f>
        <v>0.33937653486000041</v>
      </c>
      <c r="AI101">
        <f>[1]data!AF102-'Urban population'!AI101</f>
        <v>0.31405851195000078</v>
      </c>
      <c r="AJ101">
        <f>[1]data!AG102-'Urban population'!AJ101</f>
        <v>0.28940771144999999</v>
      </c>
      <c r="AK101">
        <f>[1]data!AH102-'Urban population'!AK101</f>
        <v>0.26560917399999973</v>
      </c>
      <c r="AL101">
        <f>[1]data!AI102-'Urban population'!AL101</f>
        <v>0.24279965766</v>
      </c>
      <c r="AM101">
        <f>[1]data!AJ102-'Urban population'!AM101</f>
        <v>0.22123714339999889</v>
      </c>
    </row>
    <row r="102" spans="1:39" x14ac:dyDescent="0.25">
      <c r="A102" t="s">
        <v>30</v>
      </c>
      <c r="B102" t="s">
        <v>31</v>
      </c>
      <c r="C102" t="s">
        <v>133</v>
      </c>
      <c r="D102" t="str">
        <f>_xlfn.XLOOKUP(C102,'[5]Country Codes'!$A$2:$A$267,'[5]Country Codes'!$B$2:$B$267)</f>
        <v>LBR</v>
      </c>
      <c r="E102" t="str">
        <f>_xlfn.XLOOKUP(D102,[6]Feuil1!$C$2:$C$248,[6]Feuil1!$B$2:$B$248)</f>
        <v>LR</v>
      </c>
      <c r="F102" t="s">
        <v>33</v>
      </c>
      <c r="G102" t="str">
        <f>_xlfn.XLOOKUP(C102,'Urban population'!C102:C301,'Urban population'!G102:G301)</f>
        <v>Western Africa</v>
      </c>
      <c r="H102" t="s">
        <v>34</v>
      </c>
      <c r="I102">
        <f>[1]data!F103-'Urban population'!I102</f>
        <v>0.78948845999999995</v>
      </c>
      <c r="J102">
        <f>[1]data!G103-'Urban population'!J102</f>
        <v>0.84619777600000001</v>
      </c>
      <c r="K102">
        <f>[1]data!H103-'Urban population'!K102</f>
        <v>0.91438329399999996</v>
      </c>
      <c r="L102">
        <f>[1]data!I103-'Urban population'!L102</f>
        <v>0.99006849200000013</v>
      </c>
      <c r="M102">
        <f>[1]data!J103-'Urban population'!M102</f>
        <v>1.0689159400000001</v>
      </c>
      <c r="N102">
        <f>[1]data!K103-'Urban population'!N102</f>
        <v>1.1473504320000001</v>
      </c>
      <c r="O102">
        <f>[1]data!L103-'Urban population'!O102</f>
        <v>1.2334057920000001</v>
      </c>
      <c r="P102">
        <f>[1]data!M103-'Urban population'!P102</f>
        <v>1.271143296</v>
      </c>
      <c r="Q102">
        <f>[1]data!N103-'Urban population'!Q102</f>
        <v>1.1335986460000003</v>
      </c>
      <c r="R102">
        <f>[1]data!O103-'Urban population'!R102</f>
        <v>1.12827276</v>
      </c>
      <c r="S102">
        <f>[1]data!P103-'Urban population'!S102</f>
        <v>1.5903207780000002</v>
      </c>
      <c r="T102">
        <f>[1]data!Q103-'Urban population'!T102</f>
        <v>1.7074140160000002</v>
      </c>
      <c r="U102">
        <f>[1]data!R103-'Urban population'!U102</f>
        <v>2.06813007</v>
      </c>
      <c r="V102">
        <f>[1]data!S103-'Urban population'!V102</f>
        <v>2.29079166</v>
      </c>
      <c r="W102">
        <f>[1]data!T103-'Urban population'!W102</f>
        <v>2.4113750939999998</v>
      </c>
      <c r="X102">
        <f>[1]data!U103-'Urban population'!X102</f>
        <v>2.5698992600000001</v>
      </c>
      <c r="Y102">
        <f>[1]data!V103-'Urban population'!Y102</f>
        <v>2.7190603142500001</v>
      </c>
      <c r="Z102">
        <f>[1]data!W103-'Urban population'!Z102</f>
        <v>2.849881210649996</v>
      </c>
      <c r="AA102">
        <f>[1]data!X103-'Urban population'!AA102</f>
        <v>2.9566249258799999</v>
      </c>
      <c r="AB102">
        <f>[1]data!Y103-'Urban population'!AB102</f>
        <v>3.0354935755200048</v>
      </c>
      <c r="AC102">
        <f>[1]data!Z103-'Urban population'!AC102</f>
        <v>3.0838575992400008</v>
      </c>
      <c r="AD102">
        <f>[1]data!AA103-'Urban population'!AD102</f>
        <v>3.1059921679200011</v>
      </c>
      <c r="AE102">
        <f>[1]data!AB103-'Urban population'!AE102</f>
        <v>3.1006492100000038</v>
      </c>
      <c r="AF102">
        <f>[1]data!AC103-'Urban population'!AF102</f>
        <v>3.0736925829599997</v>
      </c>
      <c r="AG102">
        <f>[1]data!AD103-'Urban population'!AG102</f>
        <v>3.0212096441999989</v>
      </c>
      <c r="AH102">
        <f>[1]data!AE103-'Urban population'!AH102</f>
        <v>2.9476713122099998</v>
      </c>
      <c r="AI102">
        <f>[1]data!AF103-'Urban population'!AI102</f>
        <v>2.8561537246899995</v>
      </c>
      <c r="AJ102">
        <f>[1]data!AG103-'Urban population'!AJ102</f>
        <v>2.753926132170001</v>
      </c>
      <c r="AK102">
        <f>[1]data!AH103-'Urban population'!AK102</f>
        <v>2.643017084400002</v>
      </c>
      <c r="AL102">
        <f>[1]data!AI103-'Urban population'!AL102</f>
        <v>2.5265608525500003</v>
      </c>
      <c r="AM102">
        <f>[1]data!AJ103-'Urban population'!AM102</f>
        <v>2.4071479872000001</v>
      </c>
    </row>
    <row r="103" spans="1:39" x14ac:dyDescent="0.25">
      <c r="A103" t="s">
        <v>30</v>
      </c>
      <c r="B103" t="s">
        <v>31</v>
      </c>
      <c r="C103" t="s">
        <v>134</v>
      </c>
      <c r="D103" t="str">
        <f>_xlfn.XLOOKUP(C103,'[5]Country Codes'!$A$2:$A$267,'[5]Country Codes'!$B$2:$B$267)</f>
        <v>LBY</v>
      </c>
      <c r="E103" t="str">
        <f>_xlfn.XLOOKUP(D103,[6]Feuil1!$C$2:$C$248,[6]Feuil1!$B$2:$B$248)</f>
        <v>LY</v>
      </c>
      <c r="F103" t="s">
        <v>33</v>
      </c>
      <c r="G103" t="str">
        <f>_xlfn.XLOOKUP(C103,'Urban population'!C103:C302,'Urban population'!G103:G302)</f>
        <v>Northern Africa</v>
      </c>
      <c r="H103" t="s">
        <v>34</v>
      </c>
      <c r="I103">
        <f>[1]data!F104-'Urban population'!I103</f>
        <v>0.90581175999999997</v>
      </c>
      <c r="J103">
        <f>[1]data!G104-'Urban population'!J103</f>
        <v>0.92912025600000003</v>
      </c>
      <c r="K103">
        <f>[1]data!H104-'Urban population'!K103</f>
        <v>1.0194095780000001</v>
      </c>
      <c r="L103">
        <f>[1]data!I104-'Urban population'!L103</f>
        <v>1.11333612</v>
      </c>
      <c r="M103">
        <f>[1]data!J104-'Urban population'!M103</f>
        <v>0.94828326499999993</v>
      </c>
      <c r="N103">
        <f>[1]data!K104-'Urban population'!N103</f>
        <v>0.83046433200000003</v>
      </c>
      <c r="O103">
        <f>[1]data!L104-'Urban population'!O103</f>
        <v>0.86379425600000026</v>
      </c>
      <c r="P103">
        <f>[1]data!M104-'Urban population'!P103</f>
        <v>0.88819580500000006</v>
      </c>
      <c r="Q103">
        <f>[1]data!N104-'Urban population'!Q103</f>
        <v>1.0167000929999999</v>
      </c>
      <c r="R103">
        <f>[1]data!O104-'Urban population'!R103</f>
        <v>1.1252080800000002</v>
      </c>
      <c r="S103">
        <f>[1]data!P104-'Urban population'!S103</f>
        <v>1.2027480399999999</v>
      </c>
      <c r="T103">
        <f>[1]data!Q104-'Urban population'!T103</f>
        <v>1.3194645660000006</v>
      </c>
      <c r="U103">
        <f>[1]data!R104-'Urban population'!U103</f>
        <v>1.4071571250000003</v>
      </c>
      <c r="V103">
        <f>[1]data!S104-'Urban population'!V103</f>
        <v>1.272462741</v>
      </c>
      <c r="W103">
        <f>[1]data!T104-'Urban population'!W103</f>
        <v>1.2761198599999997</v>
      </c>
      <c r="X103">
        <f>[1]data!U104-'Urban population'!X103</f>
        <v>1.268969661399999</v>
      </c>
      <c r="Y103">
        <f>[1]data!V104-'Urban population'!Y103</f>
        <v>1.2554668724300004</v>
      </c>
      <c r="Z103">
        <f>[1]data!W104-'Urban population'!Z103</f>
        <v>1.2359511591000008</v>
      </c>
      <c r="AA103">
        <f>[1]data!X104-'Urban population'!AA103</f>
        <v>1.212307236</v>
      </c>
      <c r="AB103">
        <f>[1]data!Y104-'Urban population'!AB103</f>
        <v>1.1812474992000004</v>
      </c>
      <c r="AC103">
        <f>[1]data!Z104-'Urban population'!AC103</f>
        <v>1.1406511812</v>
      </c>
      <c r="AD103">
        <f>[1]data!AA104-'Urban population'!AD103</f>
        <v>1.0917738137599997</v>
      </c>
      <c r="AE103">
        <f>[1]data!AB104-'Urban population'!AE103</f>
        <v>1.038906879999999</v>
      </c>
      <c r="AF103">
        <f>[1]data!AC104-'Urban population'!AF103</f>
        <v>0.98513953127999976</v>
      </c>
      <c r="AG103">
        <f>[1]data!AD104-'Urban population'!AG103</f>
        <v>0.93210937271999939</v>
      </c>
      <c r="AH103">
        <f>[1]data!AE104-'Urban population'!AH103</f>
        <v>0.88064433479999948</v>
      </c>
      <c r="AI103">
        <f>[1]data!AF104-'Urban population'!AI103</f>
        <v>0.83044173518999997</v>
      </c>
      <c r="AJ103">
        <f>[1]data!AG104-'Urban population'!AJ103</f>
        <v>0.78116128640000149</v>
      </c>
      <c r="AK103">
        <f>[1]data!AH104-'Urban population'!AK103</f>
        <v>0.73300924575000082</v>
      </c>
      <c r="AL103">
        <f>[1]data!AI104-'Urban population'!AL103</f>
        <v>0.68617292341000002</v>
      </c>
      <c r="AM103">
        <f>[1]data!AJ104-'Urban population'!AM103</f>
        <v>0.64072751463000088</v>
      </c>
    </row>
    <row r="104" spans="1:39" x14ac:dyDescent="0.25">
      <c r="A104" t="s">
        <v>30</v>
      </c>
      <c r="B104" t="s">
        <v>31</v>
      </c>
      <c r="C104" t="s">
        <v>135</v>
      </c>
      <c r="D104" t="s">
        <v>265</v>
      </c>
      <c r="E104" t="str">
        <f>_xlfn.XLOOKUP(D104,[6]Feuil1!$C$2:$C$248,[6]Feuil1!$B$2:$B$248)</f>
        <v>LC</v>
      </c>
      <c r="F104" t="s">
        <v>33</v>
      </c>
      <c r="G104" t="e">
        <f>_xlfn.XLOOKUP(C104,'Urban population'!C104:C303,'Urban population'!G104:G303)</f>
        <v>#N/A</v>
      </c>
      <c r="H104" t="s">
        <v>34</v>
      </c>
      <c r="I104">
        <f>[1]data!F105-'Urban population'!I104</f>
        <v>6.9639904000000002E-2</v>
      </c>
      <c r="J104">
        <f>[1]data!G105-'Urban population'!J104</f>
        <v>7.0337640999999992E-2</v>
      </c>
      <c r="K104">
        <f>[1]data!H105-'Urban population'!K104</f>
        <v>7.1430290000000007E-2</v>
      </c>
      <c r="L104">
        <f>[1]data!I105-'Urban population'!L104</f>
        <v>7.4579040000000013E-2</v>
      </c>
      <c r="M104">
        <f>[1]data!J105-'Urban population'!M104</f>
        <v>7.7803118000000004E-2</v>
      </c>
      <c r="N104">
        <f>[1]data!K105-'Urban population'!N104</f>
        <v>8.2689155999999986E-2</v>
      </c>
      <c r="O104">
        <f>[1]data!L105-'Urban population'!O104</f>
        <v>8.8571175000000002E-2</v>
      </c>
      <c r="P104">
        <f>[1]data!M105-'Urban population'!P104</f>
        <v>9.4954979000000009E-2</v>
      </c>
      <c r="Q104">
        <f>[1]data!N105-'Urban population'!Q104</f>
        <v>9.9925966000000005E-2</v>
      </c>
      <c r="R104">
        <f>[1]data!O105-'Urban population'!R104</f>
        <v>0.10786728799999999</v>
      </c>
      <c r="S104">
        <f>[1]data!P105-'Urban population'!S104</f>
        <v>0.11477489599999999</v>
      </c>
      <c r="T104">
        <f>[1]data!Q105-'Urban population'!T104</f>
        <v>0.12675350099999999</v>
      </c>
      <c r="U104">
        <f>[1]data!R105-'Urban population'!U104</f>
        <v>0.13876353</v>
      </c>
      <c r="V104">
        <f>[1]data!S105-'Urban population'!V104</f>
        <v>0.142800225</v>
      </c>
      <c r="W104">
        <f>[1]data!T105-'Urban population'!W104</f>
        <v>0.14528141600000002</v>
      </c>
      <c r="X104">
        <f>[1]data!U105-'Urban population'!X104</f>
        <v>0.14292184297999999</v>
      </c>
      <c r="Y104">
        <f>[1]data!V105-'Urban population'!Y104</f>
        <v>0.14045186957</v>
      </c>
      <c r="Z104">
        <f>[1]data!W105-'Urban population'!Z104</f>
        <v>0.13693727252999999</v>
      </c>
      <c r="AA104">
        <f>[1]data!X105-'Urban population'!AA104</f>
        <v>0.13238513027999999</v>
      </c>
      <c r="AB104">
        <f>[1]data!Y105-'Urban population'!AB104</f>
        <v>0.1270392423299993</v>
      </c>
      <c r="AC104">
        <f>[1]data!Z105-'Urban population'!AC104</f>
        <v>0.12114954120000002</v>
      </c>
      <c r="AD104">
        <f>[1]data!AA105-'Urban population'!AD104</f>
        <v>0.11492722862</v>
      </c>
      <c r="AE104">
        <f>[1]data!AB105-'Urban population'!AE104</f>
        <v>0.10853437671999999</v>
      </c>
      <c r="AF104">
        <f>[1]data!AC105-'Urban population'!AF104</f>
        <v>0.10208352244999999</v>
      </c>
      <c r="AG104">
        <f>[1]data!AD105-'Urban population'!AG104</f>
        <v>9.5583762750000009E-2</v>
      </c>
      <c r="AH104">
        <f>[1]data!AE105-'Urban population'!AH104</f>
        <v>8.9134080960000001E-2</v>
      </c>
      <c r="AI104">
        <f>[1]data!AF105-'Urban population'!AI104</f>
        <v>8.2795079519999995E-2</v>
      </c>
      <c r="AJ104">
        <f>[1]data!AG105-'Urban population'!AJ104</f>
        <v>7.6664986319999989E-2</v>
      </c>
      <c r="AK104">
        <f>[1]data!AH105-'Urban population'!AK104</f>
        <v>7.0861144099999995E-2</v>
      </c>
      <c r="AL104">
        <f>[1]data!AI105-'Urban population'!AL104</f>
        <v>6.5472013440000004E-2</v>
      </c>
      <c r="AM104">
        <f>[1]data!AJ105-'Urban population'!AM104</f>
        <v>6.0520423099999998E-2</v>
      </c>
    </row>
    <row r="105" spans="1:39" x14ac:dyDescent="0.25">
      <c r="A105" t="s">
        <v>30</v>
      </c>
      <c r="B105" t="s">
        <v>31</v>
      </c>
      <c r="C105" t="s">
        <v>136</v>
      </c>
      <c r="D105" t="str">
        <f>_xlfn.XLOOKUP(C105,'[5]Country Codes'!$A$2:$A$267,'[5]Country Codes'!$B$2:$B$267)</f>
        <v>LKA</v>
      </c>
      <c r="E105" t="str">
        <f>_xlfn.XLOOKUP(D105,[6]Feuil1!$C$2:$C$248,[6]Feuil1!$B$2:$B$248)</f>
        <v>LK</v>
      </c>
      <c r="F105" t="s">
        <v>33</v>
      </c>
      <c r="G105" t="str">
        <f>_xlfn.XLOOKUP(C105,'Urban population'!C105:C304,'Urban population'!G105:G304)</f>
        <v>Rest of South Asia</v>
      </c>
      <c r="H105" t="s">
        <v>34</v>
      </c>
      <c r="I105">
        <f>[1]data!F106-'Urban population'!I105</f>
        <v>6.6705747570000007</v>
      </c>
      <c r="J105">
        <f>[1]data!G106-'Urban population'!J105</f>
        <v>7.3096983200000007</v>
      </c>
      <c r="K105">
        <f>[1]data!H106-'Urban population'!K105</f>
        <v>8.080352984000001</v>
      </c>
      <c r="L105">
        <f>[1]data!I106-'Urban population'!L105</f>
        <v>9.0391847089999988</v>
      </c>
      <c r="M105">
        <f>[1]data!J106-'Urban population'!M105</f>
        <v>10.097365216</v>
      </c>
      <c r="N105">
        <f>[1]data!K106-'Urban population'!N105</f>
        <v>11.089377117</v>
      </c>
      <c r="O105">
        <f>[1]data!L106-'Urban population'!O105</f>
        <v>12.059012768000001</v>
      </c>
      <c r="P105">
        <f>[1]data!M106-'Urban population'!P105</f>
        <v>13.008303637999999</v>
      </c>
      <c r="Q105">
        <f>[1]data!N106-'Urban population'!Q105</f>
        <v>13.933178875000001</v>
      </c>
      <c r="R105">
        <f>[1]data!O106-'Urban population'!R105</f>
        <v>14.751702935000001</v>
      </c>
      <c r="S105">
        <f>[1]data!P106-'Urban population'!S105</f>
        <v>15.281523312000001</v>
      </c>
      <c r="T105">
        <f>[1]data!Q106-'Urban population'!T105</f>
        <v>15.997472750000002</v>
      </c>
      <c r="U105">
        <f>[1]data!R106-'Urban population'!U105</f>
        <v>16.831615445999997</v>
      </c>
      <c r="V105">
        <f>[1]data!S106-'Urban population'!V105</f>
        <v>17.394565625999999</v>
      </c>
      <c r="W105">
        <f>[1]data!T106-'Urban population'!W105</f>
        <v>17.628407453999998</v>
      </c>
      <c r="X105">
        <f>[1]data!U106-'Urban population'!X105</f>
        <v>17.592664846000002</v>
      </c>
      <c r="Y105">
        <f>[1]data!V106-'Urban population'!Y105</f>
        <v>17.394436734399999</v>
      </c>
      <c r="Z105">
        <f>[1]data!W106-'Urban population'!Z105</f>
        <v>17.07372156552</v>
      </c>
      <c r="AA105">
        <f>[1]data!X106-'Urban population'!AA105</f>
        <v>16.643780091899998</v>
      </c>
      <c r="AB105">
        <f>[1]data!Y106-'Urban population'!AB105</f>
        <v>16.0978093708</v>
      </c>
      <c r="AC105">
        <f>[1]data!Z106-'Urban population'!AC105</f>
        <v>15.451121466300002</v>
      </c>
      <c r="AD105">
        <f>[1]data!AA106-'Urban population'!AD105</f>
        <v>14.73512504516</v>
      </c>
      <c r="AE105">
        <f>[1]data!AB106-'Urban population'!AE105</f>
        <v>13.981690595759998</v>
      </c>
      <c r="AF105">
        <f>[1]data!AC106-'Urban population'!AF105</f>
        <v>13.215300555000001</v>
      </c>
      <c r="AG105">
        <f>[1]data!AD106-'Urban population'!AG105</f>
        <v>12.44977709304</v>
      </c>
      <c r="AH105">
        <f>[1]data!AE106-'Urban population'!AH105</f>
        <v>11.683297351649999</v>
      </c>
      <c r="AI105">
        <f>[1]data!AF106-'Urban population'!AI105</f>
        <v>10.924499214660001</v>
      </c>
      <c r="AJ105">
        <f>[1]data!AG106-'Urban population'!AJ105</f>
        <v>10.184676596079999</v>
      </c>
      <c r="AK105">
        <f>[1]data!AH106-'Urban population'!AK105</f>
        <v>9.4671556542200008</v>
      </c>
      <c r="AL105">
        <f>[1]data!AI106-'Urban population'!AL105</f>
        <v>8.7770835961200007</v>
      </c>
      <c r="AM105">
        <f>[1]data!AJ106-'Urban population'!AM105</f>
        <v>8.1169624001800003</v>
      </c>
    </row>
    <row r="106" spans="1:39" x14ac:dyDescent="0.25">
      <c r="A106" t="s">
        <v>30</v>
      </c>
      <c r="B106" t="s">
        <v>31</v>
      </c>
      <c r="C106" t="s">
        <v>137</v>
      </c>
      <c r="D106" t="str">
        <f>_xlfn.XLOOKUP(C106,'[5]Country Codes'!$A$2:$A$267,'[5]Country Codes'!$B$2:$B$267)</f>
        <v>LSO</v>
      </c>
      <c r="E106" t="str">
        <f>_xlfn.XLOOKUP(D106,[6]Feuil1!$C$2:$C$248,[6]Feuil1!$B$2:$B$248)</f>
        <v>LS</v>
      </c>
      <c r="F106" t="s">
        <v>33</v>
      </c>
      <c r="G106" t="str">
        <f>_xlfn.XLOOKUP(C106,'Urban population'!C106:C305,'Urban population'!G106:G305)</f>
        <v>Rest of Southern Africa</v>
      </c>
      <c r="H106" t="s">
        <v>34</v>
      </c>
      <c r="I106">
        <f>[1]data!F107-'Urban population'!I106</f>
        <v>0.56411481000000008</v>
      </c>
      <c r="J106">
        <f>[1]data!G107-'Urban population'!J106</f>
        <v>0.62136311999999994</v>
      </c>
      <c r="K106">
        <f>[1]data!H107-'Urban population'!K106</f>
        <v>0.70107153499999997</v>
      </c>
      <c r="L106">
        <f>[1]data!I107-'Urban population'!L106</f>
        <v>0.7927012080000001</v>
      </c>
      <c r="M106">
        <f>[1]data!J107-'Urban population'!M106</f>
        <v>0.91905716199999998</v>
      </c>
      <c r="N106">
        <f>[1]data!K107-'Urban population'!N106</f>
        <v>1.0665028520000002</v>
      </c>
      <c r="O106">
        <f>[1]data!L107-'Urban population'!O106</f>
        <v>1.22842425</v>
      </c>
      <c r="P106">
        <f>[1]data!M107-'Urban population'!P106</f>
        <v>1.406758248</v>
      </c>
      <c r="Q106">
        <f>[1]data!N107-'Urban population'!Q106</f>
        <v>1.5337575400000001</v>
      </c>
      <c r="R106">
        <f>[1]data!O107-'Urban population'!R106</f>
        <v>1.5959887399999999</v>
      </c>
      <c r="S106">
        <f>[1]data!P107-'Urban population'!S106</f>
        <v>1.6079464450000001</v>
      </c>
      <c r="T106">
        <f>[1]data!Q107-'Urban population'!T106</f>
        <v>1.5409379200000002</v>
      </c>
      <c r="U106">
        <f>[1]data!R107-'Urban population'!U106</f>
        <v>1.515948528</v>
      </c>
      <c r="V106">
        <f>[1]data!S107-'Urban population'!V106</f>
        <v>1.5397023760000002</v>
      </c>
      <c r="W106">
        <f>[1]data!T107-'Urban population'!W106</f>
        <v>1.5901188400000001</v>
      </c>
      <c r="X106">
        <f>[1]data!U107-'Urban population'!X106</f>
        <v>1.5962247716000002</v>
      </c>
      <c r="Y106">
        <f>[1]data!V107-'Urban population'!Y106</f>
        <v>1.5869235104499999</v>
      </c>
      <c r="Z106">
        <f>[1]data!W107-'Urban population'!Z106</f>
        <v>1.5640677301600001</v>
      </c>
      <c r="AA106">
        <f>[1]data!X107-'Urban population'!AA106</f>
        <v>1.5283250240999999</v>
      </c>
      <c r="AB106">
        <f>[1]data!Y107-'Urban population'!AB106</f>
        <v>1.4808999698999998</v>
      </c>
      <c r="AC106">
        <f>[1]data!Z107-'Urban population'!AC106</f>
        <v>1.4247808602500001</v>
      </c>
      <c r="AD106">
        <f>[1]data!AA107-'Urban population'!AD106</f>
        <v>1.3600086869200001</v>
      </c>
      <c r="AE106">
        <f>[1]data!AB107-'Urban population'!AE106</f>
        <v>1.2882384207600002</v>
      </c>
      <c r="AF106">
        <f>[1]data!AC107-'Urban population'!AF106</f>
        <v>1.2125820378100001</v>
      </c>
      <c r="AG106">
        <f>[1]data!AD107-'Urban population'!AG106</f>
        <v>1.1373650628300001</v>
      </c>
      <c r="AH106">
        <f>[1]data!AE107-'Urban population'!AH106</f>
        <v>1.0645630850399999</v>
      </c>
      <c r="AI106">
        <f>[1]data!AF107-'Urban population'!AI106</f>
        <v>0.99519954239999997</v>
      </c>
      <c r="AJ106">
        <f>[1]data!AG107-'Urban population'!AJ106</f>
        <v>0.92932338051000007</v>
      </c>
      <c r="AK106">
        <f>[1]data!AH107-'Urban population'!AK106</f>
        <v>0.86702737019999976</v>
      </c>
      <c r="AL106">
        <f>[1]data!AI107-'Urban population'!AL106</f>
        <v>0.80859377889999995</v>
      </c>
      <c r="AM106">
        <f>[1]data!AJ107-'Urban population'!AM106</f>
        <v>0.75421459040000016</v>
      </c>
    </row>
    <row r="107" spans="1:39" x14ac:dyDescent="0.25">
      <c r="A107" t="s">
        <v>30</v>
      </c>
      <c r="B107" t="s">
        <v>31</v>
      </c>
      <c r="C107" t="s">
        <v>138</v>
      </c>
      <c r="D107" t="str">
        <f>_xlfn.XLOOKUP(C107,'[5]Country Codes'!$A$2:$A$267,'[5]Country Codes'!$B$2:$B$267)</f>
        <v>LTU</v>
      </c>
      <c r="E107" t="str">
        <f>_xlfn.XLOOKUP(D107,[6]Feuil1!$C$2:$C$248,[6]Feuil1!$B$2:$B$248)</f>
        <v>LT</v>
      </c>
      <c r="F107" t="s">
        <v>33</v>
      </c>
      <c r="G107" t="str">
        <f>_xlfn.XLOOKUP(C107,'Urban population'!C107:C306,'Urban population'!G107:G306)</f>
        <v>Central Europe</v>
      </c>
      <c r="H107" t="s">
        <v>34</v>
      </c>
      <c r="I107">
        <f>[1]data!F108-'Urban population'!I107</f>
        <v>1.8177651920000002</v>
      </c>
      <c r="J107">
        <f>[1]data!G108-'Urban population'!J107</f>
        <v>1.7688337619999999</v>
      </c>
      <c r="K107">
        <f>[1]data!H108-'Urban population'!K107</f>
        <v>1.7275593499999999</v>
      </c>
      <c r="L107">
        <f>[1]data!I108-'Urban population'!L107</f>
        <v>1.6857697649999999</v>
      </c>
      <c r="M107">
        <f>[1]data!J108-'Urban population'!M107</f>
        <v>1.6095794400000001</v>
      </c>
      <c r="N107">
        <f>[1]data!K108-'Urban population'!N107</f>
        <v>1.4854525379999999</v>
      </c>
      <c r="O107">
        <f>[1]data!L108-'Urban population'!O107</f>
        <v>1.3606224920000001</v>
      </c>
      <c r="P107">
        <f>[1]data!M108-'Urban population'!P107</f>
        <v>1.2805159500000003</v>
      </c>
      <c r="Q107">
        <f>[1]data!N108-'Urban population'!Q107</f>
        <v>1.2249532800000003</v>
      </c>
      <c r="R107">
        <f>[1]data!O108-'Urban population'!R107</f>
        <v>1.2293447280000001</v>
      </c>
      <c r="S107">
        <f>[1]data!P108-'Urban population'!S107</f>
        <v>1.1938360499999998</v>
      </c>
      <c r="T107">
        <f>[1]data!Q108-'Urban population'!T107</f>
        <v>1.1351771560000001</v>
      </c>
      <c r="U107">
        <f>[1]data!R108-'Urban population'!U107</f>
        <v>1.0489563240000002</v>
      </c>
      <c r="V107">
        <f>[1]data!S108-'Urban population'!V107</f>
        <v>0.97714250399999969</v>
      </c>
      <c r="W107">
        <f>[1]data!T108-'Urban population'!W107</f>
        <v>0.90748863999999974</v>
      </c>
      <c r="X107">
        <f>[1]data!U108-'Urban population'!X107</f>
        <v>0.82567836917999982</v>
      </c>
      <c r="Y107">
        <f>[1]data!V108-'Urban population'!Y107</f>
        <v>0.74058972868000006</v>
      </c>
      <c r="Z107">
        <f>[1]data!W108-'Urban population'!Z107</f>
        <v>0.66449770559999988</v>
      </c>
      <c r="AA107">
        <f>[1]data!X108-'Urban population'!AA107</f>
        <v>0.59672092206000005</v>
      </c>
      <c r="AB107">
        <f>[1]data!Y108-'Urban population'!AB107</f>
        <v>0.53722088637000009</v>
      </c>
      <c r="AC107">
        <f>[1]data!Z108-'Urban population'!AC107</f>
        <v>0.48441193052999987</v>
      </c>
      <c r="AD107">
        <f>[1]data!AA108-'Urban population'!AD107</f>
        <v>0.43642674680000026</v>
      </c>
      <c r="AE107">
        <f>[1]data!AB108-'Urban population'!AE107</f>
        <v>0.39297259617000013</v>
      </c>
      <c r="AF107">
        <f>[1]data!AC108-'Urban population'!AF107</f>
        <v>0.35483643938999987</v>
      </c>
      <c r="AG107">
        <f>[1]data!AD108-'Urban population'!AG107</f>
        <v>0.32160837109999996</v>
      </c>
      <c r="AH107">
        <f>[1]data!AE108-'Urban population'!AH107</f>
        <v>0.29256060865000011</v>
      </c>
      <c r="AI107">
        <f>[1]data!AF108-'Urban population'!AI107</f>
        <v>0.2670752167499999</v>
      </c>
      <c r="AJ107">
        <f>[1]data!AG108-'Urban population'!AJ107</f>
        <v>0.24438114743999995</v>
      </c>
      <c r="AK107">
        <f>[1]data!AH108-'Urban population'!AK107</f>
        <v>0.22405909412000002</v>
      </c>
      <c r="AL107">
        <f>[1]data!AI108-'Urban population'!AL107</f>
        <v>0.20589632223999987</v>
      </c>
      <c r="AM107">
        <f>[1]data!AJ108-'Urban population'!AM107</f>
        <v>0.18962177639999989</v>
      </c>
    </row>
    <row r="108" spans="1:39" x14ac:dyDescent="0.25">
      <c r="A108" t="s">
        <v>30</v>
      </c>
      <c r="B108" t="s">
        <v>31</v>
      </c>
      <c r="C108" t="s">
        <v>139</v>
      </c>
      <c r="D108" t="str">
        <f>_xlfn.XLOOKUP(C108,'[5]Country Codes'!$A$2:$A$267,'[5]Country Codes'!$B$2:$B$267)</f>
        <v>LUX</v>
      </c>
      <c r="E108" t="str">
        <f>_xlfn.XLOOKUP(D108,[6]Feuil1!$C$2:$C$248,[6]Feuil1!$B$2:$B$248)</f>
        <v>LU</v>
      </c>
      <c r="F108" t="s">
        <v>33</v>
      </c>
      <c r="G108" t="str">
        <f>_xlfn.XLOOKUP(C108,'Urban population'!C108:C307,'Urban population'!G108:G307)</f>
        <v>Western Europe</v>
      </c>
      <c r="H108" t="s">
        <v>34</v>
      </c>
      <c r="I108">
        <f>[1]data!F109-'Urban population'!I108</f>
        <v>9.7020103999999996E-2</v>
      </c>
      <c r="J108">
        <f>[1]data!G109-'Urban population'!J108</f>
        <v>9.6239379999999985E-2</v>
      </c>
      <c r="K108">
        <f>[1]data!H109-'Urban population'!K108</f>
        <v>9.5298224000000015E-2</v>
      </c>
      <c r="L108">
        <f>[1]data!I109-'Urban population'!L108</f>
        <v>9.1868000000000005E-2</v>
      </c>
      <c r="M108">
        <f>[1]data!J109-'Urban population'!M108</f>
        <v>8.673561599999996E-2</v>
      </c>
      <c r="N108">
        <f>[1]data!K109-'Urban population'!N108</f>
        <v>8.0015910999999995E-2</v>
      </c>
      <c r="O108">
        <f>[1]data!L109-'Urban population'!O108</f>
        <v>7.2664200000000012E-2</v>
      </c>
      <c r="P108">
        <f>[1]data!M109-'Urban population'!P108</f>
        <v>7.0625068999999985E-2</v>
      </c>
      <c r="Q108">
        <f>[1]data!N109-'Urban population'!Q108</f>
        <v>7.2340485999999982E-2</v>
      </c>
      <c r="R108">
        <f>[1]data!O109-'Urban population'!R108</f>
        <v>6.9206093999999996E-2</v>
      </c>
      <c r="S108">
        <f>[1]data!P109-'Urban population'!S108</f>
        <v>6.8339265999999954E-2</v>
      </c>
      <c r="T108">
        <f>[1]data!Q109-'Urban population'!T108</f>
        <v>6.1764486000000007E-2</v>
      </c>
      <c r="U108">
        <f>[1]data!R109-'Urban population'!U108</f>
        <v>5.7751274999999991E-2</v>
      </c>
      <c r="V108">
        <f>[1]data!S109-'Urban population'!V108</f>
        <v>5.5146461999999952E-2</v>
      </c>
      <c r="W108">
        <f>[1]data!T109-'Urban population'!W108</f>
        <v>5.3216119999999978E-2</v>
      </c>
      <c r="X108">
        <f>[1]data!U109-'Urban population'!X108</f>
        <v>4.8876663890000005E-2</v>
      </c>
      <c r="Y108">
        <f>[1]data!V109-'Urban population'!Y108</f>
        <v>4.5736443749999967E-2</v>
      </c>
      <c r="Z108">
        <f>[1]data!W109-'Urban population'!Z108</f>
        <v>4.3606669949999954E-2</v>
      </c>
      <c r="AA108">
        <f>[1]data!X109-'Urban population'!AA108</f>
        <v>4.2168696869999911E-2</v>
      </c>
      <c r="AB108">
        <f>[1]data!Y109-'Urban population'!AB108</f>
        <v>4.1246321269999942E-2</v>
      </c>
      <c r="AC108">
        <f>[1]data!Z109-'Urban population'!AC108</f>
        <v>4.073040384000004E-2</v>
      </c>
      <c r="AD108">
        <f>[1]data!AA109-'Urban population'!AD108</f>
        <v>4.0365520000000044E-2</v>
      </c>
      <c r="AE108">
        <f>[1]data!AB109-'Urban population'!AE108</f>
        <v>4.0062717109999979E-2</v>
      </c>
      <c r="AF108">
        <f>[1]data!AC109-'Urban population'!AF108</f>
        <v>3.9725080919999933E-2</v>
      </c>
      <c r="AG108">
        <f>[1]data!AD109-'Urban population'!AG108</f>
        <v>3.9343244409999922E-2</v>
      </c>
      <c r="AH108">
        <f>[1]data!AE109-'Urban population'!AH108</f>
        <v>3.8924235520000017E-2</v>
      </c>
      <c r="AI108">
        <f>[1]data!AF109-'Urban population'!AI108</f>
        <v>3.848069848000002E-2</v>
      </c>
      <c r="AJ108">
        <f>[1]data!AG109-'Urban population'!AJ108</f>
        <v>3.798076015999996E-2</v>
      </c>
      <c r="AK108">
        <f>[1]data!AH109-'Urban population'!AK108</f>
        <v>3.7412971439999998E-2</v>
      </c>
      <c r="AL108">
        <f>[1]data!AI109-'Urban population'!AL108</f>
        <v>3.678282775999997E-2</v>
      </c>
      <c r="AM108">
        <f>[1]data!AJ109-'Urban population'!AM108</f>
        <v>3.6087511980000042E-2</v>
      </c>
    </row>
    <row r="109" spans="1:39" x14ac:dyDescent="0.25">
      <c r="A109" t="s">
        <v>30</v>
      </c>
      <c r="B109" t="s">
        <v>31</v>
      </c>
      <c r="C109" t="s">
        <v>140</v>
      </c>
      <c r="D109" t="str">
        <f>_xlfn.XLOOKUP(C109,'[5]Country Codes'!$A$2:$A$267,'[5]Country Codes'!$B$2:$B$267)</f>
        <v>LVA</v>
      </c>
      <c r="E109" t="str">
        <f>_xlfn.XLOOKUP(D109,[6]Feuil1!$C$2:$C$248,[6]Feuil1!$B$2:$B$248)</f>
        <v>LV</v>
      </c>
      <c r="F109" t="s">
        <v>33</v>
      </c>
      <c r="G109" t="str">
        <f>_xlfn.XLOOKUP(C109,'Urban population'!C109:C308,'Urban population'!G109:G308)</f>
        <v>Central Europe</v>
      </c>
      <c r="H109" t="s">
        <v>34</v>
      </c>
      <c r="I109">
        <f>[1]data!F110-'Urban population'!I109</f>
        <v>1.024437504</v>
      </c>
      <c r="J109">
        <f>[1]data!G110-'Urban population'!J109</f>
        <v>1.0207807400000002</v>
      </c>
      <c r="K109">
        <f>[1]data!H110-'Urban population'!K109</f>
        <v>1.0079866290000001</v>
      </c>
      <c r="L109">
        <f>[1]data!I110-'Urban population'!L109</f>
        <v>0.98329896000000017</v>
      </c>
      <c r="M109">
        <f>[1]data!J110-'Urban population'!M109</f>
        <v>0.93808706999999991</v>
      </c>
      <c r="N109">
        <f>[1]data!K110-'Urban population'!N109</f>
        <v>0.88938047399999998</v>
      </c>
      <c r="O109">
        <f>[1]data!L110-'Urban population'!O109</f>
        <v>0.84355303900000012</v>
      </c>
      <c r="P109">
        <f>[1]data!M110-'Urban population'!P109</f>
        <v>0.83171849000000009</v>
      </c>
      <c r="Q109">
        <f>[1]data!N110-'Urban population'!Q109</f>
        <v>0.82681117200000021</v>
      </c>
      <c r="R109">
        <f>[1]data!O110-'Urban population'!R109</f>
        <v>0.80762978399999996</v>
      </c>
      <c r="S109">
        <f>[1]data!P110-'Urban population'!S109</f>
        <v>0.76845632600000013</v>
      </c>
      <c r="T109">
        <f>[1]data!Q110-'Urban population'!T109</f>
        <v>0.71939071999999982</v>
      </c>
      <c r="U109">
        <f>[1]data!R110-'Urban population'!U109</f>
        <v>0.68077304400000016</v>
      </c>
      <c r="V109">
        <f>[1]data!S110-'Urban population'!V109</f>
        <v>0.6404121599999999</v>
      </c>
      <c r="W109">
        <f>[1]data!T110-'Urban population'!W109</f>
        <v>0.6045953970000002</v>
      </c>
      <c r="X109">
        <f>[1]data!U110-'Urban population'!X109</f>
        <v>0.55085057418000005</v>
      </c>
      <c r="Y109">
        <f>[1]data!V110-'Urban population'!Y109</f>
        <v>0.49207550550000012</v>
      </c>
      <c r="Z109">
        <f>[1]data!W110-'Urban population'!Z109</f>
        <v>0.44037143846999993</v>
      </c>
      <c r="AA109">
        <f>[1]data!X110-'Urban population'!AA109</f>
        <v>0.39603864467999994</v>
      </c>
      <c r="AB109">
        <f>[1]data!Y110-'Urban population'!AB109</f>
        <v>0.35794118850000012</v>
      </c>
      <c r="AC109">
        <f>[1]data!Z110-'Urban population'!AC109</f>
        <v>0.32459829662000006</v>
      </c>
      <c r="AD109">
        <f>[1]data!AA110-'Urban population'!AD109</f>
        <v>0.29461344639999987</v>
      </c>
      <c r="AE109">
        <f>[1]data!AB110-'Urban population'!AE109</f>
        <v>0.26749801063</v>
      </c>
      <c r="AF109">
        <f>[1]data!AC110-'Urban population'!AF109</f>
        <v>0.24317805359999989</v>
      </c>
      <c r="AG109">
        <f>[1]data!AD110-'Urban population'!AG109</f>
        <v>0.22140854109000019</v>
      </c>
      <c r="AH109">
        <f>[1]data!AE110-'Urban population'!AH109</f>
        <v>0.20196780699999994</v>
      </c>
      <c r="AI109">
        <f>[1]data!AF110-'Urban population'!AI109</f>
        <v>0.18449148032000018</v>
      </c>
      <c r="AJ109">
        <f>[1]data!AG110-'Urban population'!AJ109</f>
        <v>0.1686906669599999</v>
      </c>
      <c r="AK109">
        <f>[1]data!AH110-'Urban population'!AK109</f>
        <v>0.15435687602000003</v>
      </c>
      <c r="AL109">
        <f>[1]data!AI110-'Urban population'!AL109</f>
        <v>0.14126669256000013</v>
      </c>
      <c r="AM109">
        <f>[1]data!AJ110-'Urban population'!AM109</f>
        <v>0.1291137484199999</v>
      </c>
    </row>
    <row r="110" spans="1:39" x14ac:dyDescent="0.25">
      <c r="A110" t="s">
        <v>30</v>
      </c>
      <c r="B110" t="s">
        <v>31</v>
      </c>
      <c r="C110" t="s">
        <v>141</v>
      </c>
      <c r="D110" t="e">
        <f>_xlfn.XLOOKUP(C110,'[5]Country Codes'!$A$2:$A$267,'[5]Country Codes'!$B$2:$B$267)</f>
        <v>#N/A</v>
      </c>
      <c r="E110" t="e">
        <f>_xlfn.XLOOKUP(D110,[6]Feuil1!$C$2:$C$248,[6]Feuil1!$B$2:$B$248)</f>
        <v>#N/A</v>
      </c>
      <c r="F110" t="s">
        <v>33</v>
      </c>
      <c r="G110" t="e">
        <f>_xlfn.XLOOKUP(C110,'Urban population'!C110:C309,'Urban population'!G110:G309)</f>
        <v>#N/A</v>
      </c>
      <c r="H110" t="s">
        <v>34</v>
      </c>
      <c r="I110" t="e">
        <f>[1]data!F111-'Urban population'!I110</f>
        <v>#N/A</v>
      </c>
      <c r="J110" t="e">
        <f>[1]data!G111-'Urban population'!J110</f>
        <v>#N/A</v>
      </c>
      <c r="K110" t="e">
        <f>[1]data!H111-'Urban population'!K110</f>
        <v>#N/A</v>
      </c>
      <c r="L110" t="e">
        <f>[1]data!I111-'Urban population'!L110</f>
        <v>#N/A</v>
      </c>
      <c r="M110" t="e">
        <f>[1]data!J111-'Urban population'!M110</f>
        <v>#N/A</v>
      </c>
      <c r="N110" t="e">
        <f>[1]data!K111-'Urban population'!N110</f>
        <v>#N/A</v>
      </c>
      <c r="O110" t="e">
        <f>[1]data!L111-'Urban population'!O110</f>
        <v>#N/A</v>
      </c>
      <c r="P110" t="e">
        <f>[1]data!M111-'Urban population'!P110</f>
        <v>#N/A</v>
      </c>
      <c r="Q110" t="e">
        <f>[1]data!N111-'Urban population'!Q110</f>
        <v>#N/A</v>
      </c>
      <c r="R110" t="e">
        <f>[1]data!O111-'Urban population'!R110</f>
        <v>#N/A</v>
      </c>
      <c r="S110" t="e">
        <f>[1]data!P111-'Urban population'!S110</f>
        <v>#N/A</v>
      </c>
      <c r="T110" t="e">
        <f>[1]data!Q111-'Urban population'!T110</f>
        <v>#N/A</v>
      </c>
      <c r="U110" t="e">
        <f>[1]data!R111-'Urban population'!U110</f>
        <v>#N/A</v>
      </c>
      <c r="V110" t="e">
        <f>[1]data!S111-'Urban population'!V110</f>
        <v>#N/A</v>
      </c>
      <c r="W110" t="e">
        <f>[1]data!T111-'Urban population'!W110</f>
        <v>#N/A</v>
      </c>
      <c r="X110" t="e">
        <f>[1]data!U111-'Urban population'!X110</f>
        <v>#N/A</v>
      </c>
      <c r="Y110" t="e">
        <f>[1]data!V111-'Urban population'!Y110</f>
        <v>#N/A</v>
      </c>
      <c r="Z110" t="e">
        <f>[1]data!W111-'Urban population'!Z110</f>
        <v>#N/A</v>
      </c>
      <c r="AA110" t="e">
        <f>[1]data!X111-'Urban population'!AA110</f>
        <v>#N/A</v>
      </c>
      <c r="AB110" t="e">
        <f>[1]data!Y111-'Urban population'!AB110</f>
        <v>#N/A</v>
      </c>
      <c r="AC110" t="e">
        <f>[1]data!Z111-'Urban population'!AC110</f>
        <v>#N/A</v>
      </c>
      <c r="AD110" t="e">
        <f>[1]data!AA111-'Urban population'!AD110</f>
        <v>#N/A</v>
      </c>
      <c r="AE110" t="e">
        <f>[1]data!AB111-'Urban population'!AE110</f>
        <v>#N/A</v>
      </c>
      <c r="AF110" t="e">
        <f>[1]data!AC111-'Urban population'!AF110</f>
        <v>#N/A</v>
      </c>
      <c r="AG110" t="e">
        <f>[1]data!AD111-'Urban population'!AG110</f>
        <v>#N/A</v>
      </c>
      <c r="AH110" t="e">
        <f>[1]data!AE111-'Urban population'!AH110</f>
        <v>#N/A</v>
      </c>
      <c r="AI110" t="e">
        <f>[1]data!AF111-'Urban population'!AI110</f>
        <v>#N/A</v>
      </c>
      <c r="AJ110" t="e">
        <f>[1]data!AG111-'Urban population'!AJ110</f>
        <v>#N/A</v>
      </c>
      <c r="AK110" t="e">
        <f>[1]data!AH111-'Urban population'!AK110</f>
        <v>#N/A</v>
      </c>
      <c r="AL110" t="e">
        <f>[1]data!AI111-'Urban population'!AL110</f>
        <v>#N/A</v>
      </c>
      <c r="AM110" t="e">
        <f>[1]data!AJ111-'Urban population'!AM110</f>
        <v>#N/A</v>
      </c>
    </row>
    <row r="111" spans="1:39" x14ac:dyDescent="0.25">
      <c r="A111" t="s">
        <v>30</v>
      </c>
      <c r="B111" t="s">
        <v>31</v>
      </c>
      <c r="C111" t="s">
        <v>142</v>
      </c>
      <c r="D111" t="str">
        <f>_xlfn.XLOOKUP(C111,'[5]Country Codes'!$A$2:$A$267,'[5]Country Codes'!$B$2:$B$267)</f>
        <v>MAR</v>
      </c>
      <c r="E111" t="str">
        <f>_xlfn.XLOOKUP(D111,[6]Feuil1!$C$2:$C$248,[6]Feuil1!$B$2:$B$248)</f>
        <v>MA</v>
      </c>
      <c r="F111" t="s">
        <v>33</v>
      </c>
      <c r="G111" t="str">
        <f>_xlfn.XLOOKUP(C111,'Urban population'!C111:C310,'Urban population'!G111:G310)</f>
        <v>Northern Africa</v>
      </c>
      <c r="H111" t="s">
        <v>34</v>
      </c>
      <c r="I111">
        <f>[1]data!F112-'Urban population'!I111</f>
        <v>6.5140595819999998</v>
      </c>
      <c r="J111">
        <f>[1]data!G112-'Urban population'!J111</f>
        <v>7.3023939900000006</v>
      </c>
      <c r="K111">
        <f>[1]data!H112-'Urban population'!K111</f>
        <v>8.1989163759999997</v>
      </c>
      <c r="L111">
        <f>[1]data!I112-'Urban population'!L111</f>
        <v>8.994360618</v>
      </c>
      <c r="M111">
        <f>[1]data!J112-'Urban population'!M111</f>
        <v>9.872486845000001</v>
      </c>
      <c r="N111">
        <f>[1]data!K112-'Urban population'!N111</f>
        <v>10.659741196999999</v>
      </c>
      <c r="O111">
        <f>[1]data!L112-'Urban population'!O111</f>
        <v>11.416506864</v>
      </c>
      <c r="P111">
        <f>[1]data!M112-'Urban population'!P111</f>
        <v>12.186973752</v>
      </c>
      <c r="Q111">
        <f>[1]data!N112-'Urban population'!Q111</f>
        <v>12.568887960000001</v>
      </c>
      <c r="R111">
        <f>[1]data!O112-'Urban population'!R111</f>
        <v>12.750258633</v>
      </c>
      <c r="S111">
        <f>[1]data!P112-'Urban population'!S111</f>
        <v>13.247126079000003</v>
      </c>
      <c r="T111">
        <f>[1]data!Q112-'Urban population'!T111</f>
        <v>13.542834815999999</v>
      </c>
      <c r="U111">
        <f>[1]data!R112-'Urban population'!U111</f>
        <v>13.544686680000002</v>
      </c>
      <c r="V111">
        <f>[1]data!S112-'Urban population'!V111</f>
        <v>13.511286655999999</v>
      </c>
      <c r="W111">
        <f>[1]data!T112-'Urban population'!W111</f>
        <v>13.318426965</v>
      </c>
      <c r="X111">
        <f>[1]data!U112-'Urban population'!X111</f>
        <v>13.573939149749958</v>
      </c>
      <c r="Y111">
        <f>[1]data!V112-'Urban population'!Y111</f>
        <v>13.691882970559995</v>
      </c>
      <c r="Z111">
        <f>[1]data!W112-'Urban population'!Z111</f>
        <v>13.68884844327</v>
      </c>
      <c r="AA111">
        <f>[1]data!X112-'Urban population'!AA111</f>
        <v>13.566005015200002</v>
      </c>
      <c r="AB111">
        <f>[1]data!Y112-'Urban population'!AB111</f>
        <v>13.334443604479997</v>
      </c>
      <c r="AC111">
        <f>[1]data!Z112-'Urban population'!AC111</f>
        <v>13.012478072440004</v>
      </c>
      <c r="AD111">
        <f>[1]data!AA112-'Urban population'!AD111</f>
        <v>12.62461635072</v>
      </c>
      <c r="AE111">
        <f>[1]data!AB112-'Urban population'!AE111</f>
        <v>12.179254669119999</v>
      </c>
      <c r="AF111">
        <f>[1]data!AC112-'Urban population'!AF111</f>
        <v>11.694912806149972</v>
      </c>
      <c r="AG111">
        <f>[1]data!AD112-'Urban population'!AG111</f>
        <v>11.176534120699998</v>
      </c>
      <c r="AH111">
        <f>[1]data!AE112-'Urban population'!AH111</f>
        <v>10.639115246700001</v>
      </c>
      <c r="AI111">
        <f>[1]data!AF112-'Urban population'!AI111</f>
        <v>10.089458388899999</v>
      </c>
      <c r="AJ111">
        <f>[1]data!AG112-'Urban population'!AJ111</f>
        <v>9.541961414310002</v>
      </c>
      <c r="AK111">
        <f>[1]data!AH112-'Urban population'!AK111</f>
        <v>8.9983887157200044</v>
      </c>
      <c r="AL111">
        <f>[1]data!AI112-'Urban population'!AL111</f>
        <v>8.4633550449000055</v>
      </c>
      <c r="AM111">
        <f>[1]data!AJ112-'Urban population'!AM111</f>
        <v>7.9357911415199922</v>
      </c>
    </row>
    <row r="112" spans="1:39" x14ac:dyDescent="0.25">
      <c r="A112" t="s">
        <v>30</v>
      </c>
      <c r="B112" t="s">
        <v>31</v>
      </c>
      <c r="C112" t="s">
        <v>143</v>
      </c>
      <c r="D112" t="str">
        <f>_xlfn.XLOOKUP(C112,'[5]Country Codes'!$A$2:$A$267,'[5]Country Codes'!$B$2:$B$267)</f>
        <v>MDA</v>
      </c>
      <c r="E112" t="str">
        <f>_xlfn.XLOOKUP(D112,[6]Feuil1!$C$2:$C$248,[6]Feuil1!$B$2:$B$248)</f>
        <v>MD</v>
      </c>
      <c r="F112" t="s">
        <v>33</v>
      </c>
      <c r="G112" t="str">
        <f>_xlfn.XLOOKUP(C112,'Urban population'!C112:C311,'Urban population'!G112:G311)</f>
        <v>Ukraine region</v>
      </c>
      <c r="H112" t="s">
        <v>34</v>
      </c>
      <c r="I112">
        <f>[1]data!F113-'Urban population'!I112</f>
        <v>1.9079215199999999</v>
      </c>
      <c r="J112">
        <f>[1]data!G113-'Urban population'!J112</f>
        <v>2.1212131460000001</v>
      </c>
      <c r="K112">
        <f>[1]data!H113-'Urban population'!K112</f>
        <v>2.3684015280000001</v>
      </c>
      <c r="L112">
        <f>[1]data!I113-'Urban population'!L112</f>
        <v>2.4973561879999999</v>
      </c>
      <c r="M112">
        <f>[1]data!J113-'Urban population'!M112</f>
        <v>2.5060280769999999</v>
      </c>
      <c r="N112">
        <f>[1]data!K113-'Urban population'!N112</f>
        <v>2.4836363859999997</v>
      </c>
      <c r="O112">
        <f>[1]data!L113-'Urban population'!O112</f>
        <v>2.4348441640000003</v>
      </c>
      <c r="P112">
        <f>[1]data!M113-'Urban population'!P112</f>
        <v>2.3887795859999996</v>
      </c>
      <c r="Q112">
        <f>[1]data!N113-'Urban population'!Q112</f>
        <v>2.37919444</v>
      </c>
      <c r="R112">
        <f>[1]data!O113-'Urban population'!R112</f>
        <v>2.402437581</v>
      </c>
      <c r="S112">
        <f>[1]data!P113-'Urban population'!S112</f>
        <v>2.3692618839999997</v>
      </c>
      <c r="T112">
        <f>[1]data!Q113-'Urban population'!T112</f>
        <v>2.3033347480000002</v>
      </c>
      <c r="U112">
        <f>[1]data!R113-'Urban population'!U112</f>
        <v>2.1342961640000002</v>
      </c>
      <c r="V112">
        <f>[1]data!S113-'Urban population'!V112</f>
        <v>1.9008499500000002</v>
      </c>
      <c r="W112">
        <f>[1]data!T113-'Urban population'!W112</f>
        <v>1.7703525840000001</v>
      </c>
      <c r="X112">
        <f>[1]data!U113-'Urban population'!X112</f>
        <v>1.6595571651000001</v>
      </c>
      <c r="Y112">
        <f>[1]data!V113-'Urban population'!Y112</f>
        <v>1.5087277375799999</v>
      </c>
      <c r="Z112">
        <f>[1]data!W113-'Urban population'!Z112</f>
        <v>1.3667871431</v>
      </c>
      <c r="AA112">
        <f>[1]data!X113-'Urban population'!AA112</f>
        <v>1.2409352471999997</v>
      </c>
      <c r="AB112">
        <f>[1]data!Y113-'Urban population'!AB112</f>
        <v>1.1306442655199997</v>
      </c>
      <c r="AC112">
        <f>[1]data!Z113-'Urban population'!AC112</f>
        <v>1.0321230755100002</v>
      </c>
      <c r="AD112">
        <f>[1]data!AA113-'Urban population'!AD112</f>
        <v>0.9409916786100001</v>
      </c>
      <c r="AE112">
        <f>[1]data!AB113-'Urban population'!AE112</f>
        <v>0.85624453719000004</v>
      </c>
      <c r="AF112">
        <f>[1]data!AC113-'Urban population'!AF112</f>
        <v>0.77908508565000023</v>
      </c>
      <c r="AG112">
        <f>[1]data!AD113-'Urban population'!AG112</f>
        <v>0.70944903644000012</v>
      </c>
      <c r="AH112">
        <f>[1]data!AE113-'Urban population'!AH112</f>
        <v>0.64717399572000001</v>
      </c>
      <c r="AI112">
        <f>[1]data!AF113-'Urban population'!AI112</f>
        <v>0.59174238935999979</v>
      </c>
      <c r="AJ112">
        <f>[1]data!AG113-'Urban population'!AJ112</f>
        <v>0.54269441547999997</v>
      </c>
      <c r="AK112">
        <f>[1]data!AH113-'Urban population'!AK112</f>
        <v>0.49930029240000007</v>
      </c>
      <c r="AL112">
        <f>[1]data!AI113-'Urban population'!AL112</f>
        <v>0.46050298998000017</v>
      </c>
      <c r="AM112">
        <f>[1]data!AJ113-'Urban population'!AM112</f>
        <v>0.4251073649499999</v>
      </c>
    </row>
    <row r="113" spans="1:39" x14ac:dyDescent="0.25">
      <c r="A113" t="s">
        <v>30</v>
      </c>
      <c r="B113" t="s">
        <v>31</v>
      </c>
      <c r="C113" t="s">
        <v>144</v>
      </c>
      <c r="D113" t="str">
        <f>_xlfn.XLOOKUP(C113,'[5]Country Codes'!$A$2:$A$267,'[5]Country Codes'!$B$2:$B$267)</f>
        <v>MDG</v>
      </c>
      <c r="E113" t="str">
        <f>_xlfn.XLOOKUP(D113,[6]Feuil1!$C$2:$C$248,[6]Feuil1!$B$2:$B$248)</f>
        <v>MG</v>
      </c>
      <c r="F113" t="s">
        <v>33</v>
      </c>
      <c r="G113" t="str">
        <f>_xlfn.XLOOKUP(C113,'Urban population'!C113:C312,'Urban population'!G113:G312)</f>
        <v>Eastern Africa</v>
      </c>
      <c r="H113" t="s">
        <v>34</v>
      </c>
      <c r="I113">
        <f>[1]data!F114-'Urban population'!I113</f>
        <v>3.60135505</v>
      </c>
      <c r="J113">
        <f>[1]data!G114-'Urban population'!J113</f>
        <v>4.0103880119999999</v>
      </c>
      <c r="K113">
        <f>[1]data!H114-'Urban population'!K113</f>
        <v>4.4770027020000001</v>
      </c>
      <c r="L113">
        <f>[1]data!I114-'Urban population'!L113</f>
        <v>4.9968327719999994</v>
      </c>
      <c r="M113">
        <f>[1]data!J114-'Urban population'!M113</f>
        <v>5.6199997689999996</v>
      </c>
      <c r="N113">
        <f>[1]data!K114-'Urban population'!N113</f>
        <v>6.3654067619999992</v>
      </c>
      <c r="O113">
        <f>[1]data!L114-'Urban population'!O113</f>
        <v>7.1877457999999992</v>
      </c>
      <c r="P113">
        <f>[1]data!M114-'Urban population'!P113</f>
        <v>8.0319896020000012</v>
      </c>
      <c r="Q113">
        <f>[1]data!N114-'Urban population'!Q113</f>
        <v>8.9428744120000019</v>
      </c>
      <c r="R113">
        <f>[1]data!O114-'Urban population'!R113</f>
        <v>10.127111316000001</v>
      </c>
      <c r="S113">
        <f>[1]data!P114-'Urban population'!S113</f>
        <v>11.644079346000002</v>
      </c>
      <c r="T113">
        <f>[1]data!Q114-'Urban population'!T113</f>
        <v>13.184570359999999</v>
      </c>
      <c r="U113">
        <f>[1]data!R114-'Urban population'!U113</f>
        <v>14.589056871000002</v>
      </c>
      <c r="V113">
        <f>[1]data!S114-'Urban population'!V113</f>
        <v>15.896141783999999</v>
      </c>
      <c r="W113">
        <f>[1]data!T114-'Urban population'!W113</f>
        <v>17.145664334999999</v>
      </c>
      <c r="X113">
        <f>[1]data!U114-'Urban population'!X113</f>
        <v>18.355724951820001</v>
      </c>
      <c r="Y113">
        <f>[1]data!V114-'Urban population'!Y113</f>
        <v>19.47093735192</v>
      </c>
      <c r="Z113">
        <f>[1]data!W114-'Urban population'!Z113</f>
        <v>20.415090291299947</v>
      </c>
      <c r="AA113">
        <f>[1]data!X114-'Urban population'!AA113</f>
        <v>21.176781198960001</v>
      </c>
      <c r="AB113">
        <f>[1]data!Y114-'Urban population'!AB113</f>
        <v>21.782192152499999</v>
      </c>
      <c r="AC113">
        <f>[1]data!Z114-'Urban population'!AC113</f>
        <v>22.224964825600004</v>
      </c>
      <c r="AD113">
        <f>[1]data!AA114-'Urban population'!AD113</f>
        <v>22.491459672640001</v>
      </c>
      <c r="AE113">
        <f>[1]data!AB114-'Urban population'!AE113</f>
        <v>22.605888571080001</v>
      </c>
      <c r="AF113">
        <f>[1]data!AC114-'Urban population'!AF113</f>
        <v>22.559310285660004</v>
      </c>
      <c r="AG113">
        <f>[1]data!AD114-'Urban population'!AG113</f>
        <v>22.363445960200004</v>
      </c>
      <c r="AH113">
        <f>[1]data!AE114-'Urban population'!AH113</f>
        <v>22.029848954560002</v>
      </c>
      <c r="AI113">
        <f>[1]data!AF114-'Urban population'!AI113</f>
        <v>21.587479557120005</v>
      </c>
      <c r="AJ113">
        <f>[1]data!AG114-'Urban population'!AJ113</f>
        <v>21.067060779450003</v>
      </c>
      <c r="AK113">
        <f>[1]data!AH114-'Urban population'!AK113</f>
        <v>20.482779455039996</v>
      </c>
      <c r="AL113">
        <f>[1]data!AI114-'Urban population'!AL113</f>
        <v>19.850624033549998</v>
      </c>
      <c r="AM113">
        <f>[1]data!AJ114-'Urban population'!AM113</f>
        <v>19.177261862000002</v>
      </c>
    </row>
    <row r="114" spans="1:39" x14ac:dyDescent="0.25">
      <c r="A114" t="s">
        <v>30</v>
      </c>
      <c r="B114" t="s">
        <v>31</v>
      </c>
      <c r="C114" t="s">
        <v>145</v>
      </c>
      <c r="D114" t="str">
        <f>_xlfn.XLOOKUP(C114,'[5]Country Codes'!$A$2:$A$267,'[5]Country Codes'!$B$2:$B$267)</f>
        <v>MDV</v>
      </c>
      <c r="E114" t="str">
        <f>_xlfn.XLOOKUP(D114,[6]Feuil1!$C$2:$C$248,[6]Feuil1!$B$2:$B$248)</f>
        <v>MV</v>
      </c>
      <c r="F114" t="s">
        <v>33</v>
      </c>
      <c r="G114" t="str">
        <f>_xlfn.XLOOKUP(C114,'Urban population'!C114:C313,'Urban population'!G114:G313)</f>
        <v>Rest of South Asia</v>
      </c>
      <c r="H114" t="s">
        <v>34</v>
      </c>
      <c r="I114">
        <f>[1]data!F115-'Urban population'!I114</f>
        <v>6.6012066000000008E-2</v>
      </c>
      <c r="J114">
        <f>[1]data!G115-'Urban population'!J114</f>
        <v>7.215941699999999E-2</v>
      </c>
      <c r="K114">
        <f>[1]data!H115-'Urban population'!K114</f>
        <v>8.0379095999999997E-2</v>
      </c>
      <c r="L114">
        <f>[1]data!I115-'Urban population'!L114</f>
        <v>9.0689490000000011E-2</v>
      </c>
      <c r="M114">
        <f>[1]data!J115-'Urban population'!M114</f>
        <v>0.106924327</v>
      </c>
      <c r="N114">
        <f>[1]data!K115-'Urban population'!N114</f>
        <v>0.11658549799999998</v>
      </c>
      <c r="O114">
        <f>[1]data!L115-'Urban population'!O114</f>
        <v>0.12628425600000001</v>
      </c>
      <c r="P114">
        <f>[1]data!M115-'Urban population'!P114</f>
        <v>0.139360445</v>
      </c>
      <c r="Q114">
        <f>[1]data!N115-'Urban population'!Q114</f>
        <v>0.16422166600000002</v>
      </c>
      <c r="R114">
        <f>[1]data!O115-'Urban population'!R114</f>
        <v>0.18992311200000001</v>
      </c>
      <c r="S114">
        <f>[1]data!P115-'Urban population'!S114</f>
        <v>0.20256291000000004</v>
      </c>
      <c r="T114">
        <f>[1]data!Q115-'Urban population'!T114</f>
        <v>0.20163262200000004</v>
      </c>
      <c r="U114">
        <f>[1]data!R115-'Urban population'!U114</f>
        <v>0.22591610400000003</v>
      </c>
      <c r="V114">
        <f>[1]data!S115-'Urban population'!V114</f>
        <v>0.26208409499999996</v>
      </c>
      <c r="W114">
        <f>[1]data!T115-'Urban population'!W114</f>
        <v>0.30295243299999997</v>
      </c>
      <c r="X114">
        <f>[1]data!U115-'Urban population'!X114</f>
        <v>0.30864118980000005</v>
      </c>
      <c r="Y114">
        <f>[1]data!V115-'Urban population'!Y114</f>
        <v>0.31007544400000003</v>
      </c>
      <c r="Z114">
        <f>[1]data!W115-'Urban population'!Z114</f>
        <v>0.30851285650000004</v>
      </c>
      <c r="AA114">
        <f>[1]data!X115-'Urban population'!AA114</f>
        <v>0.30557746979999995</v>
      </c>
      <c r="AB114">
        <f>[1]data!Y115-'Urban population'!AB114</f>
        <v>0.30176579961</v>
      </c>
      <c r="AC114">
        <f>[1]data!Z115-'Urban population'!AC114</f>
        <v>0.29652318629999996</v>
      </c>
      <c r="AD114">
        <f>[1]data!AA115-'Urban population'!AD114</f>
        <v>0.28920906787999962</v>
      </c>
      <c r="AE114">
        <f>[1]data!AB115-'Urban population'!AE114</f>
        <v>0.27985673235000003</v>
      </c>
      <c r="AF114">
        <f>[1]data!AC115-'Urban population'!AF114</f>
        <v>0.26836076817000004</v>
      </c>
      <c r="AG114">
        <f>[1]data!AD115-'Urban population'!AG114</f>
        <v>0.25545544345999999</v>
      </c>
      <c r="AH114">
        <f>[1]data!AE115-'Urban population'!AH114</f>
        <v>0.2413300347499997</v>
      </c>
      <c r="AI114">
        <f>[1]data!AF115-'Urban population'!AI114</f>
        <v>0.22617924365999997</v>
      </c>
      <c r="AJ114">
        <f>[1]data!AG115-'Urban population'!AJ114</f>
        <v>0.21033099597999994</v>
      </c>
      <c r="AK114">
        <f>[1]data!AH115-'Urban population'!AK114</f>
        <v>0.1944954564000001</v>
      </c>
      <c r="AL114">
        <f>[1]data!AI115-'Urban population'!AL114</f>
        <v>0.17950796639999994</v>
      </c>
      <c r="AM114">
        <f>[1]data!AJ115-'Urban population'!AM114</f>
        <v>0.16596910475999982</v>
      </c>
    </row>
    <row r="115" spans="1:39" x14ac:dyDescent="0.25">
      <c r="A115" t="s">
        <v>30</v>
      </c>
      <c r="B115" t="s">
        <v>31</v>
      </c>
      <c r="C115" t="s">
        <v>146</v>
      </c>
      <c r="D115" t="str">
        <f>_xlfn.XLOOKUP(C115,'[5]Country Codes'!$A$2:$A$267,'[5]Country Codes'!$B$2:$B$267)</f>
        <v>MEX</v>
      </c>
      <c r="E115" t="str">
        <f>_xlfn.XLOOKUP(D115,[6]Feuil1!$C$2:$C$248,[6]Feuil1!$B$2:$B$248)</f>
        <v>MX</v>
      </c>
      <c r="F115" t="s">
        <v>33</v>
      </c>
      <c r="G115" t="str">
        <f>_xlfn.XLOOKUP(C115,'Urban population'!C115:C314,'Urban population'!G115:G314)</f>
        <v>Mexico</v>
      </c>
      <c r="H115" t="s">
        <v>34</v>
      </c>
      <c r="I115">
        <f>[1]data!F116-'Urban population'!I115</f>
        <v>15.60368388</v>
      </c>
      <c r="J115">
        <f>[1]data!G116-'Urban population'!J115</f>
        <v>16.536650663</v>
      </c>
      <c r="K115">
        <f>[1]data!H116-'Urban population'!K115</f>
        <v>17.566620395999998</v>
      </c>
      <c r="L115">
        <f>[1]data!I116-'Urban population'!L115</f>
        <v>18.952395099000004</v>
      </c>
      <c r="M115">
        <f>[1]data!J116-'Urban population'!M115</f>
        <v>20.292581000000002</v>
      </c>
      <c r="N115">
        <f>[1]data!K116-'Urban population'!N115</f>
        <v>21.505836708000004</v>
      </c>
      <c r="O115">
        <f>[1]data!L116-'Urban population'!O115</f>
        <v>22.541973473000006</v>
      </c>
      <c r="P115">
        <f>[1]data!M116-'Urban population'!P115</f>
        <v>22.997337290000004</v>
      </c>
      <c r="Q115">
        <f>[1]data!N116-'Urban population'!Q115</f>
        <v>23.137627369999997</v>
      </c>
      <c r="R115">
        <f>[1]data!O116-'Urban population'!R115</f>
        <v>23.715270431999997</v>
      </c>
      <c r="S115">
        <f>[1]data!P116-'Urban population'!S115</f>
        <v>24.569366865999996</v>
      </c>
      <c r="T115">
        <f>[1]data!Q116-'Urban population'!T115</f>
        <v>24.817049967000003</v>
      </c>
      <c r="U115">
        <f>[1]data!R116-'Urban population'!U115</f>
        <v>24.804894275999999</v>
      </c>
      <c r="V115">
        <f>[1]data!S116-'Urban population'!V115</f>
        <v>24.730766721000009</v>
      </c>
      <c r="W115">
        <f>[1]data!T116-'Urban population'!W115</f>
        <v>24.242819552</v>
      </c>
      <c r="X115">
        <f>[1]data!U116-'Urban population'!X115</f>
        <v>23.927723310480005</v>
      </c>
      <c r="Y115">
        <f>[1]data!V116-'Urban population'!Y115</f>
        <v>23.566438735129992</v>
      </c>
      <c r="Z115">
        <f>[1]data!W116-'Urban population'!Z115</f>
        <v>22.988560109060018</v>
      </c>
      <c r="AA115">
        <f>[1]data!X116-'Urban population'!AA115</f>
        <v>22.198565717250005</v>
      </c>
      <c r="AB115">
        <f>[1]data!Y116-'Urban population'!AB115</f>
        <v>21.214114340959995</v>
      </c>
      <c r="AC115">
        <f>[1]data!Z116-'Urban population'!AC115</f>
        <v>20.072800685999994</v>
      </c>
      <c r="AD115">
        <f>[1]data!AA116-'Urban population'!AD115</f>
        <v>18.830147805039985</v>
      </c>
      <c r="AE115">
        <f>[1]data!AB116-'Urban population'!AE115</f>
        <v>17.517513144930007</v>
      </c>
      <c r="AF115">
        <f>[1]data!AC116-'Urban population'!AF115</f>
        <v>16.171629234660003</v>
      </c>
      <c r="AG115">
        <f>[1]data!AD116-'Urban population'!AG115</f>
        <v>14.819948024159999</v>
      </c>
      <c r="AH115">
        <f>[1]data!AE116-'Urban population'!AH115</f>
        <v>13.48554196500001</v>
      </c>
      <c r="AI115">
        <f>[1]data!AF116-'Urban population'!AI115</f>
        <v>12.191881601760002</v>
      </c>
      <c r="AJ115">
        <f>[1]data!AG116-'Urban population'!AJ115</f>
        <v>10.959383475050004</v>
      </c>
      <c r="AK115">
        <f>[1]data!AH116-'Urban population'!AK115</f>
        <v>9.7998931994399925</v>
      </c>
      <c r="AL115">
        <f>[1]data!AI116-'Urban population'!AL115</f>
        <v>8.7237044481400119</v>
      </c>
      <c r="AM115">
        <f>[1]data!AJ116-'Urban population'!AM115</f>
        <v>7.7298811449599896</v>
      </c>
    </row>
    <row r="116" spans="1:39" x14ac:dyDescent="0.25">
      <c r="A116" t="s">
        <v>30</v>
      </c>
      <c r="B116" t="s">
        <v>31</v>
      </c>
      <c r="C116" t="s">
        <v>147</v>
      </c>
      <c r="D116" t="str">
        <f>_xlfn.XLOOKUP(C116,'[5]Country Codes'!$A$2:$A$267,'[5]Country Codes'!$B$2:$B$267)</f>
        <v>MKD</v>
      </c>
      <c r="E116" t="str">
        <f>_xlfn.XLOOKUP(D116,[6]Feuil1!$C$2:$C$248,[6]Feuil1!$B$2:$B$248)</f>
        <v>MK</v>
      </c>
      <c r="F116" t="s">
        <v>33</v>
      </c>
      <c r="G116" t="str">
        <f>_xlfn.XLOOKUP(C116,'Urban population'!C116:C315,'Urban population'!G116:G315)</f>
        <v>Central Europe</v>
      </c>
      <c r="H116" t="s">
        <v>34</v>
      </c>
      <c r="I116">
        <f>[1]data!F117-'Urban population'!I116</f>
        <v>0.94555882600000007</v>
      </c>
      <c r="J116">
        <f>[1]data!G117-'Urban population'!J116</f>
        <v>0.98173695600000022</v>
      </c>
      <c r="K116">
        <f>[1]data!H117-'Urban population'!K116</f>
        <v>0.95959380000000005</v>
      </c>
      <c r="L116">
        <f>[1]data!I117-'Urban population'!L116</f>
        <v>0.91698354800000015</v>
      </c>
      <c r="M116">
        <f>[1]data!J117-'Urban population'!M116</f>
        <v>0.87031767699999996</v>
      </c>
      <c r="N116">
        <f>[1]data!K117-'Urban population'!N116</f>
        <v>0.87019483200000003</v>
      </c>
      <c r="O116">
        <f>[1]data!L117-'Urban population'!O116</f>
        <v>0.88032916500000002</v>
      </c>
      <c r="P116">
        <f>[1]data!M117-'Urban population'!P116</f>
        <v>0.88400517099999987</v>
      </c>
      <c r="Q116">
        <f>[1]data!N117-'Urban population'!Q116</f>
        <v>0.86207805800000004</v>
      </c>
      <c r="R116">
        <f>[1]data!O117-'Urban population'!R116</f>
        <v>0.79964245200000006</v>
      </c>
      <c r="S116">
        <f>[1]data!P117-'Urban population'!S116</f>
        <v>0.84265708500000014</v>
      </c>
      <c r="T116">
        <f>[1]data!Q117-'Urban population'!T116</f>
        <v>0.88295535000000003</v>
      </c>
      <c r="U116">
        <f>[1]data!R117-'Urban population'!U116</f>
        <v>0.89735174099999981</v>
      </c>
      <c r="V116">
        <f>[1]data!S117-'Urban population'!V116</f>
        <v>0.8975117100000003</v>
      </c>
      <c r="W116">
        <f>[1]data!T117-'Urban population'!W116</f>
        <v>0.87732078999999996</v>
      </c>
      <c r="X116">
        <f>[1]data!U117-'Urban population'!X116</f>
        <v>0.81842978712000014</v>
      </c>
      <c r="Y116">
        <f>[1]data!V117-'Urban population'!Y116</f>
        <v>0.7727626203200002</v>
      </c>
      <c r="Z116">
        <f>[1]data!W117-'Urban population'!Z116</f>
        <v>0.72609468305999991</v>
      </c>
      <c r="AA116">
        <f>[1]data!X117-'Urban population'!AA116</f>
        <v>0.67890300856000008</v>
      </c>
      <c r="AB116">
        <f>[1]data!Y117-'Urban population'!AB116</f>
        <v>0.63278955179999996</v>
      </c>
      <c r="AC116">
        <f>[1]data!Z117-'Urban population'!AC116</f>
        <v>0.58903397474999997</v>
      </c>
      <c r="AD116">
        <f>[1]data!AA117-'Urban population'!AD116</f>
        <v>0.54809056224000008</v>
      </c>
      <c r="AE116">
        <f>[1]data!AB117-'Urban population'!AE116</f>
        <v>0.50986092900000024</v>
      </c>
      <c r="AF116">
        <f>[1]data!AC117-'Urban population'!AF116</f>
        <v>0.47373300468000012</v>
      </c>
      <c r="AG116">
        <f>[1]data!AD117-'Urban population'!AG116</f>
        <v>0.43934359145000013</v>
      </c>
      <c r="AH116">
        <f>[1]data!AE117-'Urban population'!AH116</f>
        <v>0.40666940084000003</v>
      </c>
      <c r="AI116">
        <f>[1]data!AF117-'Urban population'!AI116</f>
        <v>0.3758843263999998</v>
      </c>
      <c r="AJ116">
        <f>[1]data!AG117-'Urban population'!AJ116</f>
        <v>0.34729107695999994</v>
      </c>
      <c r="AK116">
        <f>[1]data!AH117-'Urban population'!AK116</f>
        <v>0.32098915119999982</v>
      </c>
      <c r="AL116">
        <f>[1]data!AI117-'Urban population'!AL116</f>
        <v>0.29687695002000014</v>
      </c>
      <c r="AM116">
        <f>[1]data!AJ117-'Urban population'!AM116</f>
        <v>0.27468491895000002</v>
      </c>
    </row>
    <row r="117" spans="1:39" x14ac:dyDescent="0.25">
      <c r="A117" t="s">
        <v>30</v>
      </c>
      <c r="B117" t="s">
        <v>31</v>
      </c>
      <c r="C117" t="s">
        <v>148</v>
      </c>
      <c r="D117" t="str">
        <f>_xlfn.XLOOKUP(C117,'[5]Country Codes'!$A$2:$A$267,'[5]Country Codes'!$B$2:$B$267)</f>
        <v>MLI</v>
      </c>
      <c r="E117" t="str">
        <f>_xlfn.XLOOKUP(D117,[6]Feuil1!$C$2:$C$248,[6]Feuil1!$B$2:$B$248)</f>
        <v>ML</v>
      </c>
      <c r="F117" t="s">
        <v>33</v>
      </c>
      <c r="G117" t="str">
        <f>_xlfn.XLOOKUP(C117,'Urban population'!C117:C316,'Urban population'!G117:G316)</f>
        <v>Western Africa</v>
      </c>
      <c r="H117" t="s">
        <v>34</v>
      </c>
      <c r="I117">
        <f>[1]data!F118-'Urban population'!I117</f>
        <v>4.2658791449999995</v>
      </c>
      <c r="J117">
        <f>[1]data!G118-'Urban population'!J117</f>
        <v>4.4994187350000008</v>
      </c>
      <c r="K117">
        <f>[1]data!H118-'Urban population'!K117</f>
        <v>4.720947378</v>
      </c>
      <c r="L117">
        <f>[1]data!I118-'Urban population'!L117</f>
        <v>4.9697510359999999</v>
      </c>
      <c r="M117">
        <f>[1]data!J118-'Urban population'!M117</f>
        <v>5.2331882280000004</v>
      </c>
      <c r="N117">
        <f>[1]data!K118-'Urban population'!N117</f>
        <v>5.5537276799999997</v>
      </c>
      <c r="O117">
        <f>[1]data!L118-'Urban population'!O117</f>
        <v>5.9437004599999996</v>
      </c>
      <c r="P117">
        <f>[1]data!M118-'Urban population'!P117</f>
        <v>6.4081308200000002</v>
      </c>
      <c r="Q117">
        <f>[1]data!N118-'Urban population'!Q117</f>
        <v>6.7929523740000013</v>
      </c>
      <c r="R117">
        <f>[1]data!O118-'Urban population'!R117</f>
        <v>7.3138966950000004</v>
      </c>
      <c r="S117">
        <f>[1]data!P118-'Urban population'!S117</f>
        <v>7.9280560639999997</v>
      </c>
      <c r="T117">
        <f>[1]data!Q118-'Urban population'!T117</f>
        <v>8.8017622489999994</v>
      </c>
      <c r="U117">
        <f>[1]data!R118-'Urban population'!U117</f>
        <v>9.7766713600000017</v>
      </c>
      <c r="V117">
        <f>[1]data!S118-'Urban population'!V117</f>
        <v>10.696668599999999</v>
      </c>
      <c r="W117">
        <f>[1]data!T118-'Urban population'!W117</f>
        <v>11.717485263</v>
      </c>
      <c r="X117">
        <f>[1]data!U118-'Urban population'!X117</f>
        <v>12.918917440769999</v>
      </c>
      <c r="Y117">
        <f>[1]data!V118-'Urban population'!Y117</f>
        <v>14.125292827360001</v>
      </c>
      <c r="Z117">
        <f>[1]data!W118-'Urban population'!Z117</f>
        <v>15.265169308400001</v>
      </c>
      <c r="AA117">
        <f>[1]data!X118-'Urban population'!AA117</f>
        <v>16.283437323999998</v>
      </c>
      <c r="AB117">
        <f>[1]data!Y118-'Urban population'!AB117</f>
        <v>17.154252657379999</v>
      </c>
      <c r="AC117">
        <f>[1]data!Z118-'Urban population'!AC117</f>
        <v>17.860200052699962</v>
      </c>
      <c r="AD117">
        <f>[1]data!AA118-'Urban population'!AD117</f>
        <v>18.417718375469999</v>
      </c>
      <c r="AE117">
        <f>[1]data!AB118-'Urban population'!AE117</f>
        <v>18.815254635780001</v>
      </c>
      <c r="AF117">
        <f>[1]data!AC118-'Urban population'!AF117</f>
        <v>19.083568023520002</v>
      </c>
      <c r="AG117">
        <f>[1]data!AD118-'Urban population'!AG117</f>
        <v>19.224093784799997</v>
      </c>
      <c r="AH117">
        <f>[1]data!AE118-'Urban population'!AH117</f>
        <v>19.226939869500001</v>
      </c>
      <c r="AI117">
        <f>[1]data!AF118-'Urban population'!AI117</f>
        <v>19.122001325439996</v>
      </c>
      <c r="AJ117">
        <f>[1]data!AG118-'Urban population'!AJ117</f>
        <v>18.879260974000005</v>
      </c>
      <c r="AK117">
        <f>[1]data!AH118-'Urban population'!AK117</f>
        <v>18.52664669940004</v>
      </c>
      <c r="AL117">
        <f>[1]data!AI118-'Urban population'!AL117</f>
        <v>18.077305753650023</v>
      </c>
      <c r="AM117">
        <f>[1]data!AJ118-'Urban population'!AM117</f>
        <v>17.580157968119991</v>
      </c>
    </row>
    <row r="118" spans="1:39" x14ac:dyDescent="0.25">
      <c r="A118" t="s">
        <v>30</v>
      </c>
      <c r="B118" t="s">
        <v>31</v>
      </c>
      <c r="C118" t="s">
        <v>149</v>
      </c>
      <c r="D118" t="str">
        <f>_xlfn.XLOOKUP(C118,'[5]Country Codes'!$A$2:$A$267,'[5]Country Codes'!$B$2:$B$267)</f>
        <v>MLT</v>
      </c>
      <c r="E118" t="str">
        <f>_xlfn.XLOOKUP(D118,[6]Feuil1!$C$2:$C$248,[6]Feuil1!$B$2:$B$248)</f>
        <v>MT</v>
      </c>
      <c r="F118" t="s">
        <v>33</v>
      </c>
      <c r="G118" t="str">
        <f>_xlfn.XLOOKUP(C118,'Urban population'!C118:C317,'Urban population'!G118:G317)</f>
        <v>Western Europe</v>
      </c>
      <c r="H118" t="s">
        <v>34</v>
      </c>
      <c r="I118">
        <f>[1]data!F119-'Urban population'!I118</f>
        <v>3.2049029999999978E-2</v>
      </c>
      <c r="J118">
        <f>[1]data!G119-'Urban population'!J118</f>
        <v>3.2715582000000021E-2</v>
      </c>
      <c r="K118">
        <f>[1]data!H119-'Urban population'!K118</f>
        <v>3.3406857000000012E-2</v>
      </c>
      <c r="L118">
        <f>[1]data!I119-'Urban population'!L118</f>
        <v>3.3476705999999967E-2</v>
      </c>
      <c r="M118">
        <f>[1]data!J119-'Urban population'!M118</f>
        <v>3.2520910999999986E-2</v>
      </c>
      <c r="N118">
        <f>[1]data!K119-'Urban population'!N118</f>
        <v>3.2802410000000004E-2</v>
      </c>
      <c r="O118">
        <f>[1]data!L119-'Urban population'!O118</f>
        <v>3.3869405999999991E-2</v>
      </c>
      <c r="P118">
        <f>[1]data!M119-'Urban population'!P118</f>
        <v>3.5457648000000008E-2</v>
      </c>
      <c r="Q118">
        <f>[1]data!N119-'Urban population'!Q118</f>
        <v>3.4912991999999976E-2</v>
      </c>
      <c r="R118">
        <f>[1]data!O119-'Urban population'!R118</f>
        <v>3.4595378999999982E-2</v>
      </c>
      <c r="S118">
        <f>[1]data!P119-'Urban population'!S118</f>
        <v>3.0222691999999995E-2</v>
      </c>
      <c r="T118">
        <f>[1]data!Q119-'Urban population'!T118</f>
        <v>2.6214976000000001E-2</v>
      </c>
      <c r="U118">
        <f>[1]data!R119-'Urban population'!U118</f>
        <v>2.458948900000002E-2</v>
      </c>
      <c r="V118">
        <f>[1]data!S119-'Urban population'!V118</f>
        <v>2.5269607999999999E-2</v>
      </c>
      <c r="W118">
        <f>[1]data!T119-'Urban population'!W118</f>
        <v>2.7008057999999946E-2</v>
      </c>
      <c r="X118">
        <f>[1]data!U119-'Urban population'!X118</f>
        <v>2.637679709999996E-2</v>
      </c>
      <c r="Y118">
        <f>[1]data!V119-'Urban population'!Y118</f>
        <v>2.5559255680000004E-2</v>
      </c>
      <c r="Z118">
        <f>[1]data!W119-'Urban population'!Z118</f>
        <v>2.4601678399999993E-2</v>
      </c>
      <c r="AA118">
        <f>[1]data!X119-'Urban population'!AA118</f>
        <v>2.3569546239999961E-2</v>
      </c>
      <c r="AB118">
        <f>[1]data!Y119-'Urban population'!AB118</f>
        <v>2.2575477680000011E-2</v>
      </c>
      <c r="AC118">
        <f>[1]data!Z119-'Urban population'!AC118</f>
        <v>2.1699873749999987E-2</v>
      </c>
      <c r="AD118">
        <f>[1]data!AA119-'Urban population'!AD118</f>
        <v>2.0854677200000005E-2</v>
      </c>
      <c r="AE118">
        <f>[1]data!AB119-'Urban population'!AE118</f>
        <v>2.0017264540000024E-2</v>
      </c>
      <c r="AF118">
        <f>[1]data!AC119-'Urban population'!AF118</f>
        <v>1.9119098680000057E-2</v>
      </c>
      <c r="AG118">
        <f>[1]data!AD119-'Urban population'!AG118</f>
        <v>1.8153139880000002E-2</v>
      </c>
      <c r="AH118">
        <f>[1]data!AE119-'Urban population'!AH118</f>
        <v>1.7122822290000006E-2</v>
      </c>
      <c r="AI118">
        <f>[1]data!AF119-'Urban population'!AI118</f>
        <v>1.6062179529999943E-2</v>
      </c>
      <c r="AJ118">
        <f>[1]data!AG119-'Urban population'!AJ118</f>
        <v>1.4991364050000011E-2</v>
      </c>
      <c r="AK118">
        <f>[1]data!AH119-'Urban population'!AK118</f>
        <v>1.395633651E-2</v>
      </c>
      <c r="AL118">
        <f>[1]data!AI119-'Urban population'!AL118</f>
        <v>1.2984036330000004E-2</v>
      </c>
      <c r="AM118">
        <f>[1]data!AJ119-'Urban population'!AM118</f>
        <v>1.2098847779999977E-2</v>
      </c>
    </row>
    <row r="119" spans="1:39" x14ac:dyDescent="0.25">
      <c r="A119" t="s">
        <v>30</v>
      </c>
      <c r="B119" t="s">
        <v>31</v>
      </c>
      <c r="C119" t="s">
        <v>150</v>
      </c>
      <c r="D119" t="str">
        <f>_xlfn.XLOOKUP(C119,'[5]Country Codes'!$A$2:$A$267,'[5]Country Codes'!$B$2:$B$267)</f>
        <v>MMR</v>
      </c>
      <c r="E119" t="str">
        <f>_xlfn.XLOOKUP(D119,[6]Feuil1!$C$2:$C$248,[6]Feuil1!$B$2:$B$248)</f>
        <v>MM</v>
      </c>
      <c r="F119" t="s">
        <v>33</v>
      </c>
      <c r="G119" t="str">
        <f>_xlfn.XLOOKUP(C119,'Urban population'!C119:C318,'Urban population'!G119:G318)</f>
        <v>Southeastern Asia</v>
      </c>
      <c r="H119" t="s">
        <v>34</v>
      </c>
      <c r="I119">
        <f>[1]data!F120-'Urban population'!I119</f>
        <v>14.726277912</v>
      </c>
      <c r="J119">
        <f>[1]data!G120-'Urban population'!J119</f>
        <v>15.920212304</v>
      </c>
      <c r="K119">
        <f>[1]data!H120-'Urban population'!K119</f>
        <v>17.357995744</v>
      </c>
      <c r="L119">
        <f>[1]data!I120-'Urban population'!L119</f>
        <v>18.96487904</v>
      </c>
      <c r="M119">
        <f>[1]data!J120-'Urban population'!M119</f>
        <v>20.820038664000002</v>
      </c>
      <c r="N119">
        <f>[1]data!K120-'Urban population'!N119</f>
        <v>22.865321815000001</v>
      </c>
      <c r="O119">
        <f>[1]data!L120-'Urban population'!O119</f>
        <v>25.187115159999998</v>
      </c>
      <c r="P119">
        <f>[1]data!M120-'Urban population'!P119</f>
        <v>27.614225267999998</v>
      </c>
      <c r="Q119">
        <f>[1]data!N120-'Urban population'!Q119</f>
        <v>29.769835260000004</v>
      </c>
      <c r="R119">
        <f>[1]data!O120-'Urban population'!R119</f>
        <v>31.490295343</v>
      </c>
      <c r="S119">
        <f>[1]data!P120-'Urban population'!S119</f>
        <v>33.066510699999995</v>
      </c>
      <c r="T119">
        <f>[1]data!Q120-'Urban population'!T119</f>
        <v>34.275754548000002</v>
      </c>
      <c r="U119">
        <f>[1]data!R120-'Urban population'!U119</f>
        <v>34.9792092</v>
      </c>
      <c r="V119">
        <f>[1]data!S120-'Urban population'!V119</f>
        <v>35.947495908</v>
      </c>
      <c r="W119">
        <f>[1]data!T120-'Urban population'!W119</f>
        <v>36.674074086000005</v>
      </c>
      <c r="X119">
        <f>[1]data!U120-'Urban population'!X119</f>
        <v>36.158316722139936</v>
      </c>
      <c r="Y119">
        <f>[1]data!V120-'Urban population'!Y119</f>
        <v>35.296754219660002</v>
      </c>
      <c r="Z119">
        <f>[1]data!W120-'Urban population'!Z119</f>
        <v>34.062677579479939</v>
      </c>
      <c r="AA119">
        <f>[1]data!X120-'Urban population'!AA119</f>
        <v>32.542663228799995</v>
      </c>
      <c r="AB119">
        <f>[1]data!Y120-'Urban population'!AB119</f>
        <v>30.864480046600001</v>
      </c>
      <c r="AC119">
        <f>[1]data!Z120-'Urban population'!AC119</f>
        <v>29.112852380759996</v>
      </c>
      <c r="AD119">
        <f>[1]data!AA120-'Urban population'!AD119</f>
        <v>27.326042088560001</v>
      </c>
      <c r="AE119">
        <f>[1]data!AB120-'Urban population'!AE119</f>
        <v>25.544124052699953</v>
      </c>
      <c r="AF119">
        <f>[1]data!AC120-'Urban population'!AF119</f>
        <v>23.799837054600005</v>
      </c>
      <c r="AG119">
        <f>[1]data!AD120-'Urban population'!AG119</f>
        <v>22.121712177220001</v>
      </c>
      <c r="AH119">
        <f>[1]data!AE120-'Urban population'!AH119</f>
        <v>20.5354926933</v>
      </c>
      <c r="AI119">
        <f>[1]data!AF120-'Urban population'!AI119</f>
        <v>19.051722087299993</v>
      </c>
      <c r="AJ119">
        <f>[1]data!AG120-'Urban population'!AJ119</f>
        <v>17.668428495759997</v>
      </c>
      <c r="AK119">
        <f>[1]data!AH120-'Urban population'!AK119</f>
        <v>16.389247807019999</v>
      </c>
      <c r="AL119">
        <f>[1]data!AI120-'Urban population'!AL119</f>
        <v>15.19856025296</v>
      </c>
      <c r="AM119">
        <f>[1]data!AJ120-'Urban population'!AM119</f>
        <v>14.093960272479968</v>
      </c>
    </row>
    <row r="120" spans="1:39" x14ac:dyDescent="0.25">
      <c r="A120" t="s">
        <v>30</v>
      </c>
      <c r="B120" t="s">
        <v>31</v>
      </c>
      <c r="C120" t="s">
        <v>151</v>
      </c>
      <c r="D120" t="str">
        <f>_xlfn.XLOOKUP(C120,'[5]Country Codes'!$A$2:$A$267,'[5]Country Codes'!$B$2:$B$267)</f>
        <v>MNE</v>
      </c>
      <c r="E120" t="str">
        <f>_xlfn.XLOOKUP(D120,[6]Feuil1!$C$2:$C$248,[6]Feuil1!$B$2:$B$248)</f>
        <v>ME</v>
      </c>
      <c r="F120" t="s">
        <v>33</v>
      </c>
      <c r="G120" t="str">
        <f>_xlfn.XLOOKUP(C120,'Urban population'!C120:C319,'Urban population'!G120:G319)</f>
        <v>Central Europe</v>
      </c>
      <c r="H120" t="s">
        <v>34</v>
      </c>
      <c r="I120">
        <f>[1]data!F121-'Urban population'!I120</f>
        <v>0.34828858800000001</v>
      </c>
      <c r="J120">
        <f>[1]data!G121-'Urban population'!J120</f>
        <v>0.37029421000000007</v>
      </c>
      <c r="K120">
        <f>[1]data!H121-'Urban population'!K120</f>
        <v>0.38158234800000002</v>
      </c>
      <c r="L120">
        <f>[1]data!I121-'Urban population'!L120</f>
        <v>0.38725232400000004</v>
      </c>
      <c r="M120">
        <f>[1]data!J121-'Urban population'!M120</f>
        <v>0.38586200500000006</v>
      </c>
      <c r="N120">
        <f>[1]data!K121-'Urban population'!N120</f>
        <v>0.38048525999999999</v>
      </c>
      <c r="O120">
        <f>[1]data!L121-'Urban population'!O120</f>
        <v>0.37053338400000002</v>
      </c>
      <c r="P120">
        <f>[1]data!M121-'Urban population'!P120</f>
        <v>0.34802158900000002</v>
      </c>
      <c r="Q120">
        <f>[1]data!N121-'Urban population'!Q120</f>
        <v>0.32221124000000001</v>
      </c>
      <c r="R120">
        <f>[1]data!O121-'Urban population'!R120</f>
        <v>0.29427806800000006</v>
      </c>
      <c r="S120">
        <f>[1]data!P121-'Urban population'!S120</f>
        <v>0.26289420000000002</v>
      </c>
      <c r="T120">
        <f>[1]data!Q121-'Urban population'!T120</f>
        <v>0.23733787499999998</v>
      </c>
      <c r="U120">
        <f>[1]data!R121-'Urban population'!U120</f>
        <v>0.22654192400000006</v>
      </c>
      <c r="V120">
        <f>[1]data!S121-'Urban population'!V120</f>
        <v>0.21692205000000009</v>
      </c>
      <c r="W120">
        <f>[1]data!T121-'Urban population'!W120</f>
        <v>0.2047136</v>
      </c>
      <c r="X120">
        <f>[1]data!U121-'Urban population'!X120</f>
        <v>0.19951151319999944</v>
      </c>
      <c r="Y120">
        <f>[1]data!V121-'Urban population'!Y120</f>
        <v>0.18659993390999996</v>
      </c>
      <c r="Z120">
        <f>[1]data!W121-'Urban population'!Z120</f>
        <v>0.17440543427999999</v>
      </c>
      <c r="AA120">
        <f>[1]data!X121-'Urban population'!AA120</f>
        <v>0.16315208000000003</v>
      </c>
      <c r="AB120">
        <f>[1]data!Y121-'Urban population'!AB120</f>
        <v>0.15272487384</v>
      </c>
      <c r="AC120">
        <f>[1]data!Z121-'Urban population'!AC120</f>
        <v>0.14301775781999998</v>
      </c>
      <c r="AD120">
        <f>[1]data!AA121-'Urban population'!AD120</f>
        <v>0.13383917963999981</v>
      </c>
      <c r="AE120">
        <f>[1]data!AB121-'Urban population'!AE120</f>
        <v>0.12511036491999999</v>
      </c>
      <c r="AF120">
        <f>[1]data!AC121-'Urban population'!AF120</f>
        <v>0.11678627470000003</v>
      </c>
      <c r="AG120">
        <f>[1]data!AD121-'Urban population'!AG120</f>
        <v>0.10886896175999983</v>
      </c>
      <c r="AH120">
        <f>[1]data!AE121-'Urban population'!AH120</f>
        <v>0.10135909024</v>
      </c>
      <c r="AI120">
        <f>[1]data!AF121-'Urban population'!AI120</f>
        <v>9.4272818809999992E-2</v>
      </c>
      <c r="AJ120">
        <f>[1]data!AG121-'Urban population'!AJ120</f>
        <v>8.7633172500000078E-2</v>
      </c>
      <c r="AK120">
        <f>[1]data!AH121-'Urban population'!AK120</f>
        <v>8.1421530999999991E-2</v>
      </c>
      <c r="AL120">
        <f>[1]data!AI121-'Urban population'!AL120</f>
        <v>7.5594451020000009E-2</v>
      </c>
      <c r="AM120">
        <f>[1]data!AJ121-'Urban population'!AM120</f>
        <v>7.0111294049999995E-2</v>
      </c>
    </row>
    <row r="121" spans="1:39" x14ac:dyDescent="0.25">
      <c r="A121" t="s">
        <v>30</v>
      </c>
      <c r="B121" t="s">
        <v>31</v>
      </c>
      <c r="C121" t="s">
        <v>152</v>
      </c>
      <c r="D121" t="str">
        <f>_xlfn.XLOOKUP(C121,'[5]Country Codes'!$A$2:$A$267,'[5]Country Codes'!$B$2:$B$267)</f>
        <v>MNG</v>
      </c>
      <c r="E121" t="str">
        <f>_xlfn.XLOOKUP(D121,[6]Feuil1!$C$2:$C$248,[6]Feuil1!$B$2:$B$248)</f>
        <v>MN</v>
      </c>
      <c r="F121" t="s">
        <v>33</v>
      </c>
      <c r="G121" t="str">
        <f>_xlfn.XLOOKUP(C121,'Urban population'!C121:C320,'Urban population'!G121:G320)</f>
        <v>China region</v>
      </c>
      <c r="H121" t="s">
        <v>34</v>
      </c>
      <c r="I121">
        <f>[1]data!F122-'Urban population'!I121</f>
        <v>0.62027359999999998</v>
      </c>
      <c r="J121">
        <f>[1]data!G122-'Urban population'!J121</f>
        <v>0.61473013799999998</v>
      </c>
      <c r="K121">
        <f>[1]data!H122-'Urban population'!K121</f>
        <v>0.61800208899999998</v>
      </c>
      <c r="L121">
        <f>[1]data!I122-'Urban population'!L121</f>
        <v>0.64765145099999999</v>
      </c>
      <c r="M121">
        <f>[1]data!J122-'Urban population'!M121</f>
        <v>0.70131510900000005</v>
      </c>
      <c r="N121">
        <f>[1]data!K122-'Urban population'!N121</f>
        <v>0.75106842299999987</v>
      </c>
      <c r="O121">
        <f>[1]data!L122-'Urban population'!O121</f>
        <v>0.80344346499999997</v>
      </c>
      <c r="P121">
        <f>[1]data!M122-'Urban population'!P121</f>
        <v>0.85281119999999988</v>
      </c>
      <c r="Q121">
        <f>[1]data!N122-'Urban population'!Q121</f>
        <v>0.92090391000000027</v>
      </c>
      <c r="R121">
        <f>[1]data!O122-'Urban population'!R121</f>
        <v>1.000711152</v>
      </c>
      <c r="S121">
        <f>[1]data!P122-'Urban population'!S121</f>
        <v>1.0469148689999999</v>
      </c>
      <c r="T121">
        <f>[1]data!Q122-'Urban population'!T121</f>
        <v>0.95573324999999998</v>
      </c>
      <c r="U121">
        <f>[1]data!R122-'Urban population'!U121</f>
        <v>0.86972616000000014</v>
      </c>
      <c r="V121">
        <f>[1]data!S122-'Urban population'!V121</f>
        <v>0.93264979799999992</v>
      </c>
      <c r="W121">
        <f>[1]data!T122-'Urban population'!W121</f>
        <v>1.0224019799999997</v>
      </c>
      <c r="X121">
        <f>[1]data!U122-'Urban population'!X121</f>
        <v>1.0380153133400003</v>
      </c>
      <c r="Y121">
        <f>[1]data!V122-'Urban population'!Y121</f>
        <v>1.0406254112999997</v>
      </c>
      <c r="Z121">
        <f>[1]data!W122-'Urban population'!Z121</f>
        <v>1.0369179212400002</v>
      </c>
      <c r="AA121">
        <f>[1]data!X122-'Urban population'!AA121</f>
        <v>1.0293496811400002</v>
      </c>
      <c r="AB121">
        <f>[1]data!Y122-'Urban population'!AB121</f>
        <v>1.0182010374900021</v>
      </c>
      <c r="AC121">
        <f>[1]data!Z122-'Urban population'!AC121</f>
        <v>1.0025376481600001</v>
      </c>
      <c r="AD121">
        <f>[1]data!AA122-'Urban population'!AD121</f>
        <v>0.97917139194000002</v>
      </c>
      <c r="AE121">
        <f>[1]data!AB122-'Urban population'!AE121</f>
        <v>0.9468412327100002</v>
      </c>
      <c r="AF121">
        <f>[1]data!AC122-'Urban population'!AF121</f>
        <v>0.90907014975000067</v>
      </c>
      <c r="AG121">
        <f>[1]data!AD122-'Urban population'!AG121</f>
        <v>0.86777566416000074</v>
      </c>
      <c r="AH121">
        <f>[1]data!AE122-'Urban population'!AH121</f>
        <v>0.82477907418000029</v>
      </c>
      <c r="AI121">
        <f>[1]data!AF122-'Urban population'!AI121</f>
        <v>0.78172328025000049</v>
      </c>
      <c r="AJ121">
        <f>[1]data!AG122-'Urban population'!AJ121</f>
        <v>0.73950887083999994</v>
      </c>
      <c r="AK121">
        <f>[1]data!AH122-'Urban population'!AK121</f>
        <v>0.69775295362000023</v>
      </c>
      <c r="AL121">
        <f>[1]data!AI122-'Urban population'!AL121</f>
        <v>0.65618305610000149</v>
      </c>
      <c r="AM121">
        <f>[1]data!AJ122-'Urban population'!AM121</f>
        <v>0.61426689368999998</v>
      </c>
    </row>
    <row r="122" spans="1:39" x14ac:dyDescent="0.25">
      <c r="A122" t="s">
        <v>30</v>
      </c>
      <c r="B122" t="s">
        <v>31</v>
      </c>
      <c r="C122" t="s">
        <v>153</v>
      </c>
      <c r="D122" t="str">
        <f>_xlfn.XLOOKUP(C122,'[5]Country Codes'!$A$2:$A$267,'[5]Country Codes'!$B$2:$B$267)</f>
        <v>MOZ</v>
      </c>
      <c r="E122" t="str">
        <f>_xlfn.XLOOKUP(D122,[6]Feuil1!$C$2:$C$248,[6]Feuil1!$B$2:$B$248)</f>
        <v>MZ</v>
      </c>
      <c r="F122" t="s">
        <v>33</v>
      </c>
      <c r="G122" t="str">
        <f>_xlfn.XLOOKUP(C122,'Urban population'!C122:C321,'Urban population'!G122:G321)</f>
        <v>Rest of Southern Africa</v>
      </c>
      <c r="H122" t="s">
        <v>34</v>
      </c>
      <c r="I122">
        <f>[1]data!F123-'Urban population'!I122</f>
        <v>5.5551248549999999</v>
      </c>
      <c r="J122">
        <f>[1]data!G123-'Urban population'!J122</f>
        <v>5.8942983120000001</v>
      </c>
      <c r="K122">
        <f>[1]data!H123-'Urban population'!K122</f>
        <v>6.2642986699999996</v>
      </c>
      <c r="L122">
        <f>[1]data!I123-'Urban population'!L122</f>
        <v>6.8536693919999996</v>
      </c>
      <c r="M122">
        <f>[1]data!J123-'Urban population'!M122</f>
        <v>7.5632038300000008</v>
      </c>
      <c r="N122">
        <f>[1]data!K123-'Urban population'!N122</f>
        <v>8.5078346759999999</v>
      </c>
      <c r="O122">
        <f>[1]data!L123-'Urban population'!O122</f>
        <v>9.8266193200000007</v>
      </c>
      <c r="P122">
        <f>[1]data!M123-'Urban population'!P122</f>
        <v>10.257923566000001</v>
      </c>
      <c r="Q122">
        <f>[1]data!N123-'Urban population'!Q122</f>
        <v>9.8821410000000007</v>
      </c>
      <c r="R122">
        <f>[1]data!O123-'Urban population'!R122</f>
        <v>11.132651225</v>
      </c>
      <c r="S122">
        <f>[1]data!P123-'Urban population'!S122</f>
        <v>12.441544761999999</v>
      </c>
      <c r="T122">
        <f>[1]data!Q123-'Urban population'!T122</f>
        <v>13.966934799999999</v>
      </c>
      <c r="U122">
        <f>[1]data!R123-'Urban population'!U122</f>
        <v>15.509160128000001</v>
      </c>
      <c r="V122">
        <f>[1]data!S123-'Urban population'!V122</f>
        <v>17.341405264000002</v>
      </c>
      <c r="W122">
        <f>[1]data!T123-'Urban population'!W122</f>
        <v>19.323352378999999</v>
      </c>
      <c r="X122">
        <f>[1]data!U123-'Urban population'!X122</f>
        <v>21.090382934880004</v>
      </c>
      <c r="Y122">
        <f>[1]data!V123-'Urban population'!Y122</f>
        <v>22.750072317859942</v>
      </c>
      <c r="Z122">
        <f>[1]data!W123-'Urban population'!Z122</f>
        <v>24.225569854900002</v>
      </c>
      <c r="AA122">
        <f>[1]data!X123-'Urban population'!AA122</f>
        <v>25.46677128792</v>
      </c>
      <c r="AB122">
        <f>[1]data!Y123-'Urban population'!AB122</f>
        <v>26.452739110140005</v>
      </c>
      <c r="AC122">
        <f>[1]data!Z123-'Urban population'!AC122</f>
        <v>27.153996217200003</v>
      </c>
      <c r="AD122">
        <f>[1]data!AA123-'Urban population'!AD122</f>
        <v>27.579181858799956</v>
      </c>
      <c r="AE122">
        <f>[1]data!AB123-'Urban population'!AE122</f>
        <v>27.727094938839997</v>
      </c>
      <c r="AF122">
        <f>[1]data!AC123-'Urban population'!AF122</f>
        <v>27.593491543019965</v>
      </c>
      <c r="AG122">
        <f>[1]data!AD123-'Urban population'!AG122</f>
        <v>27.219133672639998</v>
      </c>
      <c r="AH122">
        <f>[1]data!AE123-'Urban population'!AH122</f>
        <v>26.58277717368</v>
      </c>
      <c r="AI122">
        <f>[1]data!AF123-'Urban population'!AI122</f>
        <v>25.737349959720021</v>
      </c>
      <c r="AJ122">
        <f>[1]data!AG123-'Urban population'!AJ122</f>
        <v>24.712208684460002</v>
      </c>
      <c r="AK122">
        <f>[1]data!AH123-'Urban population'!AK122</f>
        <v>23.585557895099996</v>
      </c>
      <c r="AL122">
        <f>[1]data!AI123-'Urban population'!AL122</f>
        <v>22.404220740390009</v>
      </c>
      <c r="AM122">
        <f>[1]data!AJ123-'Urban population'!AM122</f>
        <v>21.195488477520001</v>
      </c>
    </row>
    <row r="123" spans="1:39" x14ac:dyDescent="0.25">
      <c r="A123" t="s">
        <v>30</v>
      </c>
      <c r="B123" t="s">
        <v>31</v>
      </c>
      <c r="C123" t="s">
        <v>154</v>
      </c>
      <c r="D123" t="str">
        <f>_xlfn.XLOOKUP(C123,'[5]Country Codes'!$A$2:$A$267,'[5]Country Codes'!$B$2:$B$267)</f>
        <v>MRT</v>
      </c>
      <c r="E123" t="str">
        <f>_xlfn.XLOOKUP(D123,[6]Feuil1!$C$2:$C$248,[6]Feuil1!$B$2:$B$248)</f>
        <v>MR</v>
      </c>
      <c r="F123" t="s">
        <v>33</v>
      </c>
      <c r="G123" t="str">
        <f>_xlfn.XLOOKUP(C123,'Urban population'!C123:C322,'Urban population'!G123:G322)</f>
        <v>Western Africa</v>
      </c>
      <c r="H123" t="s">
        <v>34</v>
      </c>
      <c r="I123">
        <f>[1]data!F124-'Urban population'!I123</f>
        <v>0.63115136699999996</v>
      </c>
      <c r="J123">
        <f>[1]data!G124-'Urban population'!J123</f>
        <v>0.69612998400000003</v>
      </c>
      <c r="K123">
        <f>[1]data!H124-'Urban population'!K123</f>
        <v>0.77010551100000002</v>
      </c>
      <c r="L123">
        <f>[1]data!I124-'Urban population'!L123</f>
        <v>0.85531039800000008</v>
      </c>
      <c r="M123">
        <f>[1]data!J124-'Urban population'!M123</f>
        <v>0.94393217800000007</v>
      </c>
      <c r="N123">
        <f>[1]data!K124-'Urban population'!N123</f>
        <v>1.0187877519999999</v>
      </c>
      <c r="O123">
        <f>[1]data!L124-'Urban population'!O123</f>
        <v>1.0778704200000002</v>
      </c>
      <c r="P123">
        <f>[1]data!M124-'Urban population'!P123</f>
        <v>1.1184355000000001</v>
      </c>
      <c r="Q123">
        <f>[1]data!N124-'Urban population'!Q123</f>
        <v>1.199682691</v>
      </c>
      <c r="R123">
        <f>[1]data!O124-'Urban population'!R123</f>
        <v>1.4432128720000001</v>
      </c>
      <c r="S123">
        <f>[1]data!P124-'Urban population'!S123</f>
        <v>1.6449813579999999</v>
      </c>
      <c r="T123">
        <f>[1]data!Q124-'Urban population'!T123</f>
        <v>1.7247165149999997</v>
      </c>
      <c r="U123">
        <f>[1]data!R124-'Urban population'!U123</f>
        <v>1.7990737680000002</v>
      </c>
      <c r="V123">
        <f>[1]data!S124-'Urban population'!V123</f>
        <v>1.904179692</v>
      </c>
      <c r="W123">
        <f>[1]data!T124-'Urban population'!W123</f>
        <v>1.9850948159999997</v>
      </c>
      <c r="X123">
        <f>[1]data!U124-'Urban population'!X123</f>
        <v>2.1041086840199998</v>
      </c>
      <c r="Y123">
        <f>[1]data!V124-'Urban population'!Y123</f>
        <v>2.2196687135000008</v>
      </c>
      <c r="Z123">
        <f>[1]data!W124-'Urban population'!Z123</f>
        <v>2.3219164975199997</v>
      </c>
      <c r="AA123">
        <f>[1]data!X124-'Urban population'!AA123</f>
        <v>2.4065692658999991</v>
      </c>
      <c r="AB123">
        <f>[1]data!Y124-'Urban population'!AB123</f>
        <v>2.47269540959</v>
      </c>
      <c r="AC123">
        <f>[1]data!Z124-'Urban population'!AC123</f>
        <v>2.5178149144499997</v>
      </c>
      <c r="AD123">
        <f>[1]data!AA124-'Urban population'!AD123</f>
        <v>2.5436316366999989</v>
      </c>
      <c r="AE123">
        <f>[1]data!AB124-'Urban population'!AE123</f>
        <v>2.5516592403400002</v>
      </c>
      <c r="AF123">
        <f>[1]data!AC124-'Urban population'!AF123</f>
        <v>2.54405833646</v>
      </c>
      <c r="AG123">
        <f>[1]data!AD124-'Urban population'!AG123</f>
        <v>2.5223800825600033</v>
      </c>
      <c r="AH123">
        <f>[1]data!AE124-'Urban population'!AH123</f>
        <v>2.4842286314999988</v>
      </c>
      <c r="AI123">
        <f>[1]data!AF124-'Urban population'!AI123</f>
        <v>2.4305910107800006</v>
      </c>
      <c r="AJ123">
        <f>[1]data!AG124-'Urban population'!AJ123</f>
        <v>2.3680223165100003</v>
      </c>
      <c r="AK123">
        <f>[1]data!AH124-'Urban population'!AK123</f>
        <v>2.2992367051500011</v>
      </c>
      <c r="AL123">
        <f>[1]data!AI124-'Urban population'!AL123</f>
        <v>2.2258615121799998</v>
      </c>
      <c r="AM123">
        <f>[1]data!AJ124-'Urban population'!AM123</f>
        <v>2.1488916180000004</v>
      </c>
    </row>
    <row r="124" spans="1:39" x14ac:dyDescent="0.25">
      <c r="A124" t="s">
        <v>30</v>
      </c>
      <c r="B124" t="s">
        <v>31</v>
      </c>
      <c r="C124" t="s">
        <v>155</v>
      </c>
      <c r="D124" t="e">
        <f>_xlfn.XLOOKUP(C124,'[5]Country Codes'!$A$2:$A$267,'[5]Country Codes'!$B$2:$B$267)</f>
        <v>#N/A</v>
      </c>
      <c r="E124" t="e">
        <f>_xlfn.XLOOKUP(D124,[6]Feuil1!$C$2:$C$248,[6]Feuil1!$B$2:$B$248)</f>
        <v>#N/A</v>
      </c>
      <c r="F124" t="s">
        <v>33</v>
      </c>
      <c r="G124" t="e">
        <f>_xlfn.XLOOKUP(C124,'Urban population'!C124:C323,'Urban population'!G124:G323)</f>
        <v>#N/A</v>
      </c>
      <c r="H124" t="s">
        <v>34</v>
      </c>
      <c r="I124" t="e">
        <f>[1]data!F125-'Urban population'!I124</f>
        <v>#N/A</v>
      </c>
      <c r="J124" t="e">
        <f>[1]data!G125-'Urban population'!J124</f>
        <v>#N/A</v>
      </c>
      <c r="K124" t="e">
        <f>[1]data!H125-'Urban population'!K124</f>
        <v>#N/A</v>
      </c>
      <c r="L124" t="e">
        <f>[1]data!I125-'Urban population'!L124</f>
        <v>#N/A</v>
      </c>
      <c r="M124" t="e">
        <f>[1]data!J125-'Urban population'!M124</f>
        <v>#N/A</v>
      </c>
      <c r="N124" t="e">
        <f>[1]data!K125-'Urban population'!N124</f>
        <v>#N/A</v>
      </c>
      <c r="O124" t="e">
        <f>[1]data!L125-'Urban population'!O124</f>
        <v>#N/A</v>
      </c>
      <c r="P124" t="e">
        <f>[1]data!M125-'Urban population'!P124</f>
        <v>#N/A</v>
      </c>
      <c r="Q124" t="e">
        <f>[1]data!N125-'Urban population'!Q124</f>
        <v>#N/A</v>
      </c>
      <c r="R124" t="e">
        <f>[1]data!O125-'Urban population'!R124</f>
        <v>#N/A</v>
      </c>
      <c r="S124" t="e">
        <f>[1]data!P125-'Urban population'!S124</f>
        <v>#N/A</v>
      </c>
      <c r="T124" t="e">
        <f>[1]data!Q125-'Urban population'!T124</f>
        <v>#N/A</v>
      </c>
      <c r="U124" t="e">
        <f>[1]data!R125-'Urban population'!U124</f>
        <v>#N/A</v>
      </c>
      <c r="V124" t="e">
        <f>[1]data!S125-'Urban population'!V124</f>
        <v>#N/A</v>
      </c>
      <c r="W124" t="e">
        <f>[1]data!T125-'Urban population'!W124</f>
        <v>#N/A</v>
      </c>
      <c r="X124" t="e">
        <f>[1]data!U125-'Urban population'!X124</f>
        <v>#N/A</v>
      </c>
      <c r="Y124" t="e">
        <f>[1]data!V125-'Urban population'!Y124</f>
        <v>#N/A</v>
      </c>
      <c r="Z124" t="e">
        <f>[1]data!W125-'Urban population'!Z124</f>
        <v>#N/A</v>
      </c>
      <c r="AA124" t="e">
        <f>[1]data!X125-'Urban population'!AA124</f>
        <v>#N/A</v>
      </c>
      <c r="AB124" t="e">
        <f>[1]data!Y125-'Urban population'!AB124</f>
        <v>#N/A</v>
      </c>
      <c r="AC124" t="e">
        <f>[1]data!Z125-'Urban population'!AC124</f>
        <v>#N/A</v>
      </c>
      <c r="AD124" t="e">
        <f>[1]data!AA125-'Urban population'!AD124</f>
        <v>#N/A</v>
      </c>
      <c r="AE124" t="e">
        <f>[1]data!AB125-'Urban population'!AE124</f>
        <v>#N/A</v>
      </c>
      <c r="AF124" t="e">
        <f>[1]data!AC125-'Urban population'!AF124</f>
        <v>#N/A</v>
      </c>
      <c r="AG124" t="e">
        <f>[1]data!AD125-'Urban population'!AG124</f>
        <v>#N/A</v>
      </c>
      <c r="AH124" t="e">
        <f>[1]data!AE125-'Urban population'!AH124</f>
        <v>#N/A</v>
      </c>
      <c r="AI124" t="e">
        <f>[1]data!AF125-'Urban population'!AI124</f>
        <v>#N/A</v>
      </c>
      <c r="AJ124" t="e">
        <f>[1]data!AG125-'Urban population'!AJ124</f>
        <v>#N/A</v>
      </c>
      <c r="AK124" t="e">
        <f>[1]data!AH125-'Urban population'!AK124</f>
        <v>#N/A</v>
      </c>
      <c r="AL124" t="e">
        <f>[1]data!AI125-'Urban population'!AL124</f>
        <v>#N/A</v>
      </c>
      <c r="AM124" t="e">
        <f>[1]data!AJ125-'Urban population'!AM124</f>
        <v>#N/A</v>
      </c>
    </row>
    <row r="125" spans="1:39" x14ac:dyDescent="0.25">
      <c r="A125" t="s">
        <v>30</v>
      </c>
      <c r="B125" t="s">
        <v>31</v>
      </c>
      <c r="C125" t="s">
        <v>156</v>
      </c>
      <c r="D125" t="str">
        <f>_xlfn.XLOOKUP(C125,'[5]Country Codes'!$A$2:$A$267,'[5]Country Codes'!$B$2:$B$267)</f>
        <v>MUS</v>
      </c>
      <c r="E125" t="str">
        <f>_xlfn.XLOOKUP(D125,[6]Feuil1!$C$2:$C$248,[6]Feuil1!$B$2:$B$248)</f>
        <v>MU</v>
      </c>
      <c r="F125" t="s">
        <v>33</v>
      </c>
      <c r="G125" t="str">
        <f>_xlfn.XLOOKUP(C125,'Urban population'!C125:C324,'Urban population'!G125:G324)</f>
        <v>Eastern Africa</v>
      </c>
      <c r="H125" t="s">
        <v>34</v>
      </c>
      <c r="I125">
        <f>[1]data!F126-'Urban population'!I125</f>
        <v>0.36617226799999997</v>
      </c>
      <c r="J125">
        <f>[1]data!G126-'Urban population'!J125</f>
        <v>0.4033780560000001</v>
      </c>
      <c r="K125">
        <f>[1]data!H126-'Urban population'!K125</f>
        <v>0.433787706</v>
      </c>
      <c r="L125">
        <f>[1]data!I126-'Urban population'!L125</f>
        <v>0.45936108000000009</v>
      </c>
      <c r="M125">
        <f>[1]data!J126-'Urban population'!M125</f>
        <v>0.47284570200000003</v>
      </c>
      <c r="N125">
        <f>[1]data!K126-'Urban population'!N125</f>
        <v>0.49946670000000004</v>
      </c>
      <c r="O125">
        <f>[1]data!L126-'Urban population'!O125</f>
        <v>0.54567359999999998</v>
      </c>
      <c r="P125">
        <f>[1]data!M126-'Urban population'!P125</f>
        <v>0.58796357700000002</v>
      </c>
      <c r="Q125">
        <f>[1]data!N126-'Urban population'!Q125</f>
        <v>0.60776552100000003</v>
      </c>
      <c r="R125">
        <f>[1]data!O126-'Urban population'!R125</f>
        <v>0.65428738199999992</v>
      </c>
      <c r="S125">
        <f>[1]data!P126-'Urban population'!S125</f>
        <v>0.69388294499999981</v>
      </c>
      <c r="T125">
        <f>[1]data!Q126-'Urban population'!T125</f>
        <v>0.72628370399999986</v>
      </c>
      <c r="U125">
        <f>[1]data!R126-'Urban population'!U125</f>
        <v>0.74852564799999999</v>
      </c>
      <c r="V125">
        <f>[1]data!S126-'Urban population'!V125</f>
        <v>0.76275199999999999</v>
      </c>
      <c r="W125">
        <f>[1]data!T126-'Urban population'!W125</f>
        <v>0.76780683200000011</v>
      </c>
      <c r="X125">
        <f>[1]data!U126-'Urban population'!X125</f>
        <v>0.72939715343999989</v>
      </c>
      <c r="Y125">
        <f>[1]data!V126-'Urban population'!Y125</f>
        <v>0.69102593802000001</v>
      </c>
      <c r="Z125">
        <f>[1]data!W126-'Urban population'!Z125</f>
        <v>0.65078177815000005</v>
      </c>
      <c r="AA125">
        <f>[1]data!X126-'Urban population'!AA125</f>
        <v>0.60862376080000014</v>
      </c>
      <c r="AB125">
        <f>[1]data!Y126-'Urban population'!AB125</f>
        <v>0.56551814494999997</v>
      </c>
      <c r="AC125">
        <f>[1]data!Z126-'Urban population'!AC125</f>
        <v>0.52285657866000002</v>
      </c>
      <c r="AD125">
        <f>[1]data!AA126-'Urban population'!AD125</f>
        <v>0.48225300559999995</v>
      </c>
      <c r="AE125">
        <f>[1]data!AB126-'Urban population'!AE125</f>
        <v>0.44461188279999997</v>
      </c>
      <c r="AF125">
        <f>[1]data!AC126-'Urban population'!AF125</f>
        <v>0.40996300140999986</v>
      </c>
      <c r="AG125">
        <f>[1]data!AD126-'Urban population'!AG125</f>
        <v>0.3777113203800001</v>
      </c>
      <c r="AH125">
        <f>[1]data!AE126-'Urban population'!AH125</f>
        <v>0.34755365400000016</v>
      </c>
      <c r="AI125">
        <f>[1]data!AF126-'Urban population'!AI125</f>
        <v>0.31946259060000004</v>
      </c>
      <c r="AJ125">
        <f>[1]data!AG126-'Urban population'!AJ125</f>
        <v>0.29352432376000004</v>
      </c>
      <c r="AK125">
        <f>[1]data!AH126-'Urban population'!AK125</f>
        <v>0.26970888600000009</v>
      </c>
      <c r="AL125">
        <f>[1]data!AI126-'Urban population'!AL125</f>
        <v>0.24801818273999976</v>
      </c>
      <c r="AM125">
        <f>[1]data!AJ126-'Urban population'!AM125</f>
        <v>0.2283885431599999</v>
      </c>
    </row>
    <row r="126" spans="1:39" x14ac:dyDescent="0.25">
      <c r="A126" t="s">
        <v>30</v>
      </c>
      <c r="B126" t="s">
        <v>31</v>
      </c>
      <c r="C126" t="s">
        <v>157</v>
      </c>
      <c r="D126" t="str">
        <f>_xlfn.XLOOKUP(C126,'[5]Country Codes'!$A$2:$A$267,'[5]Country Codes'!$B$2:$B$267)</f>
        <v>MWI</v>
      </c>
      <c r="E126" t="str">
        <f>_xlfn.XLOOKUP(D126,[6]Feuil1!$C$2:$C$248,[6]Feuil1!$B$2:$B$248)</f>
        <v>MW</v>
      </c>
      <c r="F126" t="s">
        <v>33</v>
      </c>
      <c r="G126" t="str">
        <f>_xlfn.XLOOKUP(C126,'Urban population'!C126:C325,'Urban population'!G126:G325)</f>
        <v>Rest of Southern Africa</v>
      </c>
      <c r="H126" t="s">
        <v>34</v>
      </c>
      <c r="I126">
        <f>[1]data!F127-'Urban population'!I126</f>
        <v>2.82268097</v>
      </c>
      <c r="J126">
        <f>[1]data!G127-'Urban population'!J126</f>
        <v>3.082093253</v>
      </c>
      <c r="K126">
        <f>[1]data!H127-'Urban population'!K126</f>
        <v>3.4209809919999996</v>
      </c>
      <c r="L126">
        <f>[1]data!I127-'Urban population'!L126</f>
        <v>3.8412012180000001</v>
      </c>
      <c r="M126">
        <f>[1]data!J127-'Urban population'!M126</f>
        <v>4.2892909650000002</v>
      </c>
      <c r="N126">
        <f>[1]data!K127-'Urban population'!N126</f>
        <v>4.804457749</v>
      </c>
      <c r="O126">
        <f>[1]data!L127-'Urban population'!O126</f>
        <v>5.5851668820000002</v>
      </c>
      <c r="P126">
        <f>[1]data!M127-'Urban population'!P126</f>
        <v>6.717688356</v>
      </c>
      <c r="Q126">
        <f>[1]data!N127-'Urban population'!Q126</f>
        <v>8.2936950720000002</v>
      </c>
      <c r="R126">
        <f>[1]data!O127-'Urban population'!R126</f>
        <v>8.6822489760000003</v>
      </c>
      <c r="S126">
        <f>[1]data!P127-'Urban population'!S126</f>
        <v>9.4783769079999995</v>
      </c>
      <c r="T126">
        <f>[1]data!Q127-'Urban population'!T126</f>
        <v>10.678795013999999</v>
      </c>
      <c r="U126">
        <f>[1]data!R127-'Urban population'!U126</f>
        <v>12.258028835000001</v>
      </c>
      <c r="V126">
        <f>[1]data!S127-'Urban population'!V126</f>
        <v>13.983754814999999</v>
      </c>
      <c r="W126">
        <f>[1]data!T127-'Urban population'!W126</f>
        <v>15.793854313999999</v>
      </c>
      <c r="X126">
        <f>[1]data!U127-'Urban population'!X126</f>
        <v>17.456064388000001</v>
      </c>
      <c r="Y126">
        <f>[1]data!V127-'Urban population'!Y126</f>
        <v>19.129118947650003</v>
      </c>
      <c r="Z126">
        <f>[1]data!W127-'Urban population'!Z126</f>
        <v>20.74444655552</v>
      </c>
      <c r="AA126">
        <f>[1]data!X127-'Urban population'!AA126</f>
        <v>22.188662621159999</v>
      </c>
      <c r="AB126">
        <f>[1]data!Y127-'Urban population'!AB126</f>
        <v>23.415764936890003</v>
      </c>
      <c r="AC126">
        <f>[1]data!Z127-'Urban population'!AC126</f>
        <v>24.389506916710001</v>
      </c>
      <c r="AD126">
        <f>[1]data!AA127-'Urban population'!AD126</f>
        <v>25.106790532109937</v>
      </c>
      <c r="AE126">
        <f>[1]data!AB127-'Urban population'!AE126</f>
        <v>25.566345644949998</v>
      </c>
      <c r="AF126">
        <f>[1]data!AC127-'Urban population'!AF126</f>
        <v>25.739944043719998</v>
      </c>
      <c r="AG126">
        <f>[1]data!AD127-'Urban population'!AG126</f>
        <v>25.651882601760001</v>
      </c>
      <c r="AH126">
        <f>[1]data!AE127-'Urban population'!AH126</f>
        <v>25.301543269179948</v>
      </c>
      <c r="AI126">
        <f>[1]data!AF127-'Urban population'!AI126</f>
        <v>24.734322868419998</v>
      </c>
      <c r="AJ126">
        <f>[1]data!AG127-'Urban population'!AJ126</f>
        <v>23.977058128140001</v>
      </c>
      <c r="AK126">
        <f>[1]data!AH127-'Urban population'!AK126</f>
        <v>23.102532662000002</v>
      </c>
      <c r="AL126">
        <f>[1]data!AI127-'Urban population'!AL126</f>
        <v>22.155332722320001</v>
      </c>
      <c r="AM126">
        <f>[1]data!AJ127-'Urban population'!AM126</f>
        <v>21.159077564400004</v>
      </c>
    </row>
    <row r="127" spans="1:39" x14ac:dyDescent="0.25">
      <c r="A127" t="s">
        <v>30</v>
      </c>
      <c r="B127" t="s">
        <v>31</v>
      </c>
      <c r="C127" t="s">
        <v>158</v>
      </c>
      <c r="D127" t="str">
        <f>_xlfn.XLOOKUP(C127,'[5]Country Codes'!$A$2:$A$267,'[5]Country Codes'!$B$2:$B$267)</f>
        <v>MYS</v>
      </c>
      <c r="E127" t="str">
        <f>_xlfn.XLOOKUP(D127,[6]Feuil1!$C$2:$C$248,[6]Feuil1!$B$2:$B$248)</f>
        <v>MY</v>
      </c>
      <c r="F127" t="s">
        <v>33</v>
      </c>
      <c r="G127" t="str">
        <f>_xlfn.XLOOKUP(C127,'Urban population'!C127:C326,'Urban population'!G127:G326)</f>
        <v>Southeastern Asia</v>
      </c>
      <c r="H127" t="s">
        <v>34</v>
      </c>
      <c r="I127">
        <f>[1]data!F128-'Urban population'!I127</f>
        <v>4.6981894079999993</v>
      </c>
      <c r="J127">
        <f>[1]data!G128-'Urban population'!J127</f>
        <v>5.1269934980000009</v>
      </c>
      <c r="K127">
        <f>[1]data!H128-'Urban population'!K127</f>
        <v>5.6632694840000006</v>
      </c>
      <c r="L127">
        <f>[1]data!I128-'Urban population'!L127</f>
        <v>6.2837044150000008</v>
      </c>
      <c r="M127">
        <f>[1]data!J128-'Urban population'!M127</f>
        <v>6.7714023999999995</v>
      </c>
      <c r="N127">
        <f>[1]data!K128-'Urban population'!N127</f>
        <v>7.1480689980000012</v>
      </c>
      <c r="O127">
        <f>[1]data!L128-'Urban population'!O127</f>
        <v>7.5644707800000006</v>
      </c>
      <c r="P127">
        <f>[1]data!M128-'Urban population'!P127</f>
        <v>8.0550983160000005</v>
      </c>
      <c r="Q127">
        <f>[1]data!N128-'Urban population'!Q127</f>
        <v>8.6679200460000008</v>
      </c>
      <c r="R127">
        <f>[1]data!O128-'Urban population'!R127</f>
        <v>8.7993422250000002</v>
      </c>
      <c r="S127">
        <f>[1]data!P128-'Urban population'!S127</f>
        <v>8.6059284000000016</v>
      </c>
      <c r="T127">
        <f>[1]data!Q128-'Urban population'!T127</f>
        <v>8.5606364320000026</v>
      </c>
      <c r="U127">
        <f>[1]data!R128-'Urban population'!U127</f>
        <v>8.2901890019999982</v>
      </c>
      <c r="V127">
        <f>[1]data!S128-'Urban population'!V127</f>
        <v>7.9573131420000003</v>
      </c>
      <c r="W127">
        <f>[1]data!T128-'Urban population'!W127</f>
        <v>7.5248283239999978</v>
      </c>
      <c r="X127">
        <f>[1]data!U128-'Urban population'!X127</f>
        <v>7.3704515006999785</v>
      </c>
      <c r="Y127">
        <f>[1]data!V128-'Urban population'!Y127</f>
        <v>7.1805090568799983</v>
      </c>
      <c r="Z127">
        <f>[1]data!W128-'Urban population'!Z127</f>
        <v>6.9568278077199999</v>
      </c>
      <c r="AA127">
        <f>[1]data!X128-'Urban population'!AA127</f>
        <v>6.7034713093400029</v>
      </c>
      <c r="AB127">
        <f>[1]data!Y128-'Urban population'!AB127</f>
        <v>6.429560935909997</v>
      </c>
      <c r="AC127">
        <f>[1]data!Z128-'Urban population'!AC127</f>
        <v>6.1409961243999973</v>
      </c>
      <c r="AD127">
        <f>[1]data!AA128-'Urban population'!AD127</f>
        <v>5.8419875575500058</v>
      </c>
      <c r="AE127">
        <f>[1]data!AB128-'Urban population'!AE127</f>
        <v>5.5357005858299999</v>
      </c>
      <c r="AF127">
        <f>[1]data!AC128-'Urban population'!AF127</f>
        <v>5.2200232760000063</v>
      </c>
      <c r="AG127">
        <f>[1]data!AD128-'Urban population'!AG127</f>
        <v>4.9003872235499983</v>
      </c>
      <c r="AH127">
        <f>[1]data!AE128-'Urban population'!AH127</f>
        <v>4.5784132503599935</v>
      </c>
      <c r="AI127">
        <f>[1]data!AF128-'Urban population'!AI127</f>
        <v>4.2582319252199952</v>
      </c>
      <c r="AJ127">
        <f>[1]data!AG128-'Urban population'!AJ127</f>
        <v>3.9444688306300009</v>
      </c>
      <c r="AK127">
        <f>[1]data!AH128-'Urban population'!AK127</f>
        <v>3.6437059637999951</v>
      </c>
      <c r="AL127">
        <f>[1]data!AI128-'Urban population'!AL127</f>
        <v>3.3599052997300021</v>
      </c>
      <c r="AM127">
        <f>[1]data!AJ128-'Urban population'!AM127</f>
        <v>3.094497479999994</v>
      </c>
    </row>
    <row r="128" spans="1:39" x14ac:dyDescent="0.25">
      <c r="A128" t="s">
        <v>30</v>
      </c>
      <c r="B128" t="s">
        <v>31</v>
      </c>
      <c r="C128" t="s">
        <v>159</v>
      </c>
      <c r="D128" t="e">
        <f>_xlfn.XLOOKUP(C128,'[5]Country Codes'!$A$2:$A$267,'[5]Country Codes'!$B$2:$B$267)</f>
        <v>#N/A</v>
      </c>
      <c r="E128" t="e">
        <f>_xlfn.XLOOKUP(D128,[6]Feuil1!$C$2:$C$248,[6]Feuil1!$B$2:$B$248)</f>
        <v>#N/A</v>
      </c>
      <c r="F128" t="s">
        <v>33</v>
      </c>
      <c r="G128" t="e">
        <f>_xlfn.XLOOKUP(C128,'Urban population'!C128:C327,'Urban population'!G128:G327)</f>
        <v>#N/A</v>
      </c>
      <c r="H128" t="s">
        <v>34</v>
      </c>
      <c r="I128">
        <f>[1]data!F129-'Urban population'!I128</f>
        <v>1.8607439999999999E-2</v>
      </c>
      <c r="J128">
        <f>[1]data!G129-'Urban population'!J128</f>
        <v>1.9962578999999998E-2</v>
      </c>
      <c r="K128">
        <f>[1]data!H129-'Urban population'!K128</f>
        <v>2.1601295999999999E-2</v>
      </c>
      <c r="L128">
        <f>[1]data!I129-'Urban population'!L128</f>
        <v>2.3173019999999999E-2</v>
      </c>
      <c r="M128">
        <f>[1]data!J129-'Urban population'!M128</f>
        <v>2.6083925000000001E-2</v>
      </c>
      <c r="N128">
        <f>[1]data!K129-'Urban population'!N128</f>
        <v>2.9949024999999997E-2</v>
      </c>
      <c r="O128">
        <f>[1]data!L129-'Urban population'!O128</f>
        <v>3.5562323999999999E-2</v>
      </c>
      <c r="P128">
        <f>[1]data!M129-'Urban population'!P128</f>
        <v>4.4444449999999996E-2</v>
      </c>
      <c r="Q128">
        <f>[1]data!N129-'Urban population'!Q128</f>
        <v>5.7416706000000005E-2</v>
      </c>
      <c r="R128">
        <f>[1]data!O129-'Urban population'!R128</f>
        <v>7.0979805000000007E-2</v>
      </c>
      <c r="S128">
        <f>[1]data!P129-'Urban population'!S128</f>
        <v>8.1539361000000005E-2</v>
      </c>
      <c r="T128">
        <f>[1]data!Q129-'Urban population'!T128</f>
        <v>9.2295833999999993E-2</v>
      </c>
      <c r="U128">
        <f>[1]data!R129-'Urban population'!U128</f>
        <v>0.10661651999999999</v>
      </c>
      <c r="V128">
        <f>[1]data!S129-'Urban population'!V128</f>
        <v>0.12951769000000002</v>
      </c>
      <c r="W128">
        <f>[1]data!T129-'Urban population'!W128</f>
        <v>0.16279186800000001</v>
      </c>
      <c r="X128">
        <f>[1]data!U129-'Urban population'!X128</f>
        <v>0.18311782671000001</v>
      </c>
      <c r="Y128">
        <f>[1]data!V129-'Urban population'!Y128</f>
        <v>0.20413530248999998</v>
      </c>
      <c r="Z128">
        <f>[1]data!W129-'Urban population'!Z128</f>
        <v>0.22576738919999995</v>
      </c>
      <c r="AA128">
        <f>[1]data!X129-'Urban population'!AA128</f>
        <v>0.24832748565000001</v>
      </c>
      <c r="AB128">
        <f>[1]data!Y129-'Urban population'!AB128</f>
        <v>0.27184053579</v>
      </c>
      <c r="AC128">
        <f>[1]data!Z129-'Urban population'!AC128</f>
        <v>0.29587666415999958</v>
      </c>
      <c r="AD128">
        <f>[1]data!AA129-'Urban population'!AD128</f>
        <v>0.32015156255999999</v>
      </c>
      <c r="AE128">
        <f>[1]data!AB129-'Urban population'!AE128</f>
        <v>0.34453108109000008</v>
      </c>
      <c r="AF128">
        <f>[1]data!AC129-'Urban population'!AF128</f>
        <v>0.36955561146000004</v>
      </c>
      <c r="AG128">
        <f>[1]data!AD129-'Urban population'!AG128</f>
        <v>0.39546389299999973</v>
      </c>
      <c r="AH128">
        <f>[1]data!AE129-'Urban population'!AH128</f>
        <v>0.42244272575999986</v>
      </c>
      <c r="AI128">
        <f>[1]data!AF129-'Urban population'!AI128</f>
        <v>0.45050209055000012</v>
      </c>
      <c r="AJ128">
        <f>[1]data!AG129-'Urban population'!AJ128</f>
        <v>0.47958031282000002</v>
      </c>
      <c r="AK128">
        <f>[1]data!AH129-'Urban population'!AK128</f>
        <v>0.50963540340000013</v>
      </c>
      <c r="AL128">
        <f>[1]data!AI129-'Urban population'!AL128</f>
        <v>0.54074533731999996</v>
      </c>
      <c r="AM128">
        <f>[1]data!AJ129-'Urban population'!AM128</f>
        <v>0.57290729507000027</v>
      </c>
    </row>
    <row r="129" spans="1:39" x14ac:dyDescent="0.25">
      <c r="A129" t="s">
        <v>30</v>
      </c>
      <c r="B129" t="s">
        <v>31</v>
      </c>
      <c r="C129" t="s">
        <v>160</v>
      </c>
      <c r="D129" t="str">
        <f>_xlfn.XLOOKUP(C129,'[5]Country Codes'!$A$2:$A$267,'[5]Country Codes'!$B$2:$B$267)</f>
        <v>NAM</v>
      </c>
      <c r="E129" t="str">
        <f>_xlfn.XLOOKUP(D129,[6]Feuil1!$C$2:$C$248,[6]Feuil1!$B$2:$B$248)</f>
        <v>NA</v>
      </c>
      <c r="F129" t="s">
        <v>33</v>
      </c>
      <c r="G129" t="str">
        <f>_xlfn.XLOOKUP(C129,'Urban population'!C129:C328,'Urban population'!G129:G328)</f>
        <v>Rest of Southern Africa</v>
      </c>
      <c r="H129" t="s">
        <v>34</v>
      </c>
      <c r="I129">
        <f>[1]data!F130-'Urban population'!I129</f>
        <v>0.44319108800000001</v>
      </c>
      <c r="J129">
        <f>[1]data!G130-'Urban population'!J129</f>
        <v>0.45959549999999993</v>
      </c>
      <c r="K129">
        <f>[1]data!H130-'Urban population'!K129</f>
        <v>0.480150356</v>
      </c>
      <c r="L129">
        <f>[1]data!I130-'Urban population'!L129</f>
        <v>0.51974880000000012</v>
      </c>
      <c r="M129">
        <f>[1]data!J130-'Urban population'!M129</f>
        <v>0.57768784500000003</v>
      </c>
      <c r="N129">
        <f>[1]data!K130-'Urban population'!N129</f>
        <v>0.65848807500000006</v>
      </c>
      <c r="O129">
        <f>[1]data!L130-'Urban population'!O129</f>
        <v>0.72598922200000005</v>
      </c>
      <c r="P129">
        <f>[1]data!M130-'Urban population'!P129</f>
        <v>0.79251081599999995</v>
      </c>
      <c r="Q129">
        <f>[1]data!N130-'Urban population'!Q129</f>
        <v>0.97240969500000007</v>
      </c>
      <c r="R129">
        <f>[1]data!O130-'Urban population'!R129</f>
        <v>1.110863052</v>
      </c>
      <c r="S129">
        <f>[1]data!P130-'Urban population'!S129</f>
        <v>1.2163369400000001</v>
      </c>
      <c r="T129">
        <f>[1]data!Q130-'Urban population'!T129</f>
        <v>1.2370436819999999</v>
      </c>
      <c r="U129">
        <f>[1]data!R130-'Urban population'!U129</f>
        <v>1.2165654399999999</v>
      </c>
      <c r="V129">
        <f>[1]data!S130-'Urban population'!V129</f>
        <v>1.201452282</v>
      </c>
      <c r="W129">
        <f>[1]data!T130-'Urban population'!W129</f>
        <v>1.1841974399999999</v>
      </c>
      <c r="X129">
        <f>[1]data!U130-'Urban population'!X129</f>
        <v>1.2027283431</v>
      </c>
      <c r="Y129">
        <f>[1]data!V130-'Urban population'!Y129</f>
        <v>1.2178748909599997</v>
      </c>
      <c r="Z129">
        <f>[1]data!W130-'Urban population'!Z129</f>
        <v>1.2232921034799999</v>
      </c>
      <c r="AA129">
        <f>[1]data!X130-'Urban population'!AA129</f>
        <v>1.2230607079599998</v>
      </c>
      <c r="AB129">
        <f>[1]data!Y130-'Urban population'!AB129</f>
        <v>1.2168473404799998</v>
      </c>
      <c r="AC129">
        <f>[1]data!Z130-'Urban population'!AC129</f>
        <v>1.2049506832399999</v>
      </c>
      <c r="AD129">
        <f>[1]data!AA130-'Urban population'!AD129</f>
        <v>1.18624759258</v>
      </c>
      <c r="AE129">
        <f>[1]data!AB130-'Urban population'!AE129</f>
        <v>1.1595970275600003</v>
      </c>
      <c r="AF129">
        <f>[1]data!AC130-'Urban population'!AF129</f>
        <v>1.1283490203799995</v>
      </c>
      <c r="AG129">
        <f>[1]data!AD130-'Urban population'!AG129</f>
        <v>1.0930693093200001</v>
      </c>
      <c r="AH129">
        <f>[1]data!AE130-'Urban population'!AH129</f>
        <v>1.0563623494900001</v>
      </c>
      <c r="AI129">
        <f>[1]data!AF130-'Urban population'!AI129</f>
        <v>1.0194505355999999</v>
      </c>
      <c r="AJ129">
        <f>[1]data!AG130-'Urban population'!AJ129</f>
        <v>0.98260617874999978</v>
      </c>
      <c r="AK129">
        <f>[1]data!AH130-'Urban population'!AK129</f>
        <v>0.94565514240000015</v>
      </c>
      <c r="AL129">
        <f>[1]data!AI130-'Urban population'!AL129</f>
        <v>0.90791816543999992</v>
      </c>
      <c r="AM129">
        <f>[1]data!AJ130-'Urban population'!AM129</f>
        <v>0.87034168650000021</v>
      </c>
    </row>
    <row r="130" spans="1:39" x14ac:dyDescent="0.25">
      <c r="A130" t="s">
        <v>30</v>
      </c>
      <c r="B130" t="s">
        <v>31</v>
      </c>
      <c r="C130" t="s">
        <v>161</v>
      </c>
      <c r="D130" t="str">
        <f>_xlfn.XLOOKUP(C130,'[5]Country Codes'!$A$2:$A$267,'[5]Country Codes'!$B$2:$B$267)</f>
        <v>NCL</v>
      </c>
      <c r="E130" t="str">
        <f>_xlfn.XLOOKUP(D130,[6]Feuil1!$C$2:$C$248,[6]Feuil1!$B$2:$B$248)</f>
        <v>NC</v>
      </c>
      <c r="F130" t="s">
        <v>33</v>
      </c>
      <c r="G130" t="str">
        <f>_xlfn.XLOOKUP(C130,'Urban population'!C130:C329,'Urban population'!G130:G329)</f>
        <v>Oceania</v>
      </c>
      <c r="H130" t="s">
        <v>34</v>
      </c>
      <c r="I130">
        <f>[1]data!F131-'Urban population'!I130</f>
        <v>4.775459E-2</v>
      </c>
      <c r="J130">
        <f>[1]data!G131-'Urban population'!J130</f>
        <v>4.8081014000000005E-2</v>
      </c>
      <c r="K130">
        <f>[1]data!H131-'Urban population'!K130</f>
        <v>5.0001749999999998E-2</v>
      </c>
      <c r="L130">
        <f>[1]data!I131-'Urban population'!L130</f>
        <v>5.1803431999999996E-2</v>
      </c>
      <c r="M130">
        <f>[1]data!J131-'Urban population'!M130</f>
        <v>5.3021687999999997E-2</v>
      </c>
      <c r="N130">
        <f>[1]data!K131-'Urban population'!N130</f>
        <v>6.0115327999999996E-2</v>
      </c>
      <c r="O130">
        <f>[1]data!L131-'Urban population'!O130</f>
        <v>6.2954705999999999E-2</v>
      </c>
      <c r="P130">
        <f>[1]data!M131-'Urban population'!P130</f>
        <v>6.5178399999999997E-2</v>
      </c>
      <c r="Q130">
        <f>[1]data!N131-'Urban population'!Q130</f>
        <v>7.0734744000000016E-2</v>
      </c>
      <c r="R130">
        <f>[1]data!O131-'Urban population'!R130</f>
        <v>7.8403530000000013E-2</v>
      </c>
      <c r="S130">
        <f>[1]data!P131-'Urban population'!S130</f>
        <v>8.3555586000000015E-2</v>
      </c>
      <c r="T130">
        <f>[1]data!Q131-'Urban population'!T130</f>
        <v>8.6587919999999985E-2</v>
      </c>
      <c r="U130">
        <f>[1]data!R131-'Urban population'!U130</f>
        <v>8.5218896000000016E-2</v>
      </c>
      <c r="V130">
        <f>[1]data!S131-'Urban population'!V130</f>
        <v>8.6486309999999983E-2</v>
      </c>
      <c r="W130">
        <f>[1]data!T131-'Urban population'!W130</f>
        <v>8.1401415000000005E-2</v>
      </c>
      <c r="X130">
        <f>[1]data!U131-'Urban population'!X130</f>
        <v>8.0114454279999969E-2</v>
      </c>
      <c r="Y130">
        <f>[1]data!V131-'Urban population'!Y130</f>
        <v>7.8176006940000015E-2</v>
      </c>
      <c r="Z130">
        <f>[1]data!W131-'Urban population'!Z130</f>
        <v>7.5786186329999755E-2</v>
      </c>
      <c r="AA130">
        <f>[1]data!X131-'Urban population'!AA130</f>
        <v>7.3151469510000011E-2</v>
      </c>
      <c r="AB130">
        <f>[1]data!Y131-'Urban population'!AB130</f>
        <v>7.028084084999997E-2</v>
      </c>
      <c r="AC130">
        <f>[1]data!Z131-'Urban population'!AC130</f>
        <v>6.7161714659999983E-2</v>
      </c>
      <c r="AD130">
        <f>[1]data!AA131-'Urban population'!AD130</f>
        <v>6.3840289920000015E-2</v>
      </c>
      <c r="AE130">
        <f>[1]data!AB131-'Urban population'!AE130</f>
        <v>6.0382858799999994E-2</v>
      </c>
      <c r="AF130">
        <f>[1]data!AC131-'Urban population'!AF130</f>
        <v>5.685077999999999E-2</v>
      </c>
      <c r="AG130">
        <f>[1]data!AD131-'Urban population'!AG130</f>
        <v>5.3348037120000025E-2</v>
      </c>
      <c r="AH130">
        <f>[1]data!AE131-'Urban population'!AH130</f>
        <v>4.9936752839999987E-2</v>
      </c>
      <c r="AI130">
        <f>[1]data!AF131-'Urban population'!AI130</f>
        <v>4.6632801999999973E-2</v>
      </c>
      <c r="AJ130">
        <f>[1]data!AG131-'Urban population'!AJ130</f>
        <v>4.3442154070000016E-2</v>
      </c>
      <c r="AK130">
        <f>[1]data!AH131-'Urban population'!AK130</f>
        <v>4.0363662050000026E-2</v>
      </c>
      <c r="AL130">
        <f>[1]data!AI131-'Urban population'!AL130</f>
        <v>3.7398452219999989E-2</v>
      </c>
      <c r="AM130">
        <f>[1]data!AJ131-'Urban population'!AM130</f>
        <v>3.4564110660000036E-2</v>
      </c>
    </row>
    <row r="131" spans="1:39" x14ac:dyDescent="0.25">
      <c r="A131" t="s">
        <v>30</v>
      </c>
      <c r="B131" t="s">
        <v>31</v>
      </c>
      <c r="C131" t="s">
        <v>162</v>
      </c>
      <c r="D131" t="str">
        <f>_xlfn.XLOOKUP(C131,'[5]Country Codes'!$A$2:$A$267,'[5]Country Codes'!$B$2:$B$267)</f>
        <v>NER</v>
      </c>
      <c r="E131" t="str">
        <f>_xlfn.XLOOKUP(D131,[6]Feuil1!$C$2:$C$248,[6]Feuil1!$B$2:$B$248)</f>
        <v>NE</v>
      </c>
      <c r="F131" t="s">
        <v>33</v>
      </c>
      <c r="G131" t="str">
        <f>_xlfn.XLOOKUP(C131,'Urban population'!C131:C330,'Urban population'!G131:G330)</f>
        <v>Western Africa</v>
      </c>
      <c r="H131" t="s">
        <v>34</v>
      </c>
      <c r="I131">
        <f>[1]data!F132-'Urban population'!I131</f>
        <v>2.400084348</v>
      </c>
      <c r="J131">
        <f>[1]data!G132-'Urban population'!J131</f>
        <v>2.8156819550000001</v>
      </c>
      <c r="K131">
        <f>[1]data!H132-'Urban population'!K131</f>
        <v>3.2459266440000003</v>
      </c>
      <c r="L131">
        <f>[1]data!I132-'Urban population'!L131</f>
        <v>3.723134028</v>
      </c>
      <c r="M131">
        <f>[1]data!J132-'Urban population'!M131</f>
        <v>4.2005908319999996</v>
      </c>
      <c r="N131">
        <f>[1]data!K132-'Urban population'!N131</f>
        <v>4.6660304000000004</v>
      </c>
      <c r="O131">
        <f>[1]data!L132-'Urban population'!O131</f>
        <v>5.263795676</v>
      </c>
      <c r="P131">
        <f>[1]data!M132-'Urban population'!P131</f>
        <v>6.0524757449999997</v>
      </c>
      <c r="Q131">
        <f>[1]data!N132-'Urban population'!Q131</f>
        <v>6.9713919359999998</v>
      </c>
      <c r="R131">
        <f>[1]data!O132-'Urban population'!R131</f>
        <v>8.1230931179999999</v>
      </c>
      <c r="S131">
        <f>[1]data!P132-'Urban population'!S131</f>
        <v>9.5717072299999995</v>
      </c>
      <c r="T131">
        <f>[1]data!Q132-'Urban population'!T131</f>
        <v>11.40150118</v>
      </c>
      <c r="U131">
        <f>[1]data!R132-'Urban population'!U131</f>
        <v>13.689334197999999</v>
      </c>
      <c r="V131">
        <f>[1]data!S132-'Urban population'!V131</f>
        <v>16.541773067999998</v>
      </c>
      <c r="W131">
        <f>[1]data!T132-'Urban population'!W131</f>
        <v>19.917329459999998</v>
      </c>
      <c r="X131">
        <f>[1]data!U132-'Urban population'!X131</f>
        <v>23.304036377440003</v>
      </c>
      <c r="Y131">
        <f>[1]data!V132-'Urban population'!Y131</f>
        <v>27.060317329100002</v>
      </c>
      <c r="Z131">
        <f>[1]data!W132-'Urban population'!Z131</f>
        <v>31.059173636200001</v>
      </c>
      <c r="AA131">
        <f>[1]data!X132-'Urban population'!AA131</f>
        <v>35.184524353179995</v>
      </c>
      <c r="AB131">
        <f>[1]data!Y132-'Urban population'!AB131</f>
        <v>39.283606721259929</v>
      </c>
      <c r="AC131">
        <f>[1]data!Z132-'Urban population'!AC131</f>
        <v>43.26981447064</v>
      </c>
      <c r="AD131">
        <f>[1]data!AA132-'Urban population'!AD131</f>
        <v>46.984409754890009</v>
      </c>
      <c r="AE131">
        <f>[1]data!AB132-'Urban population'!AE131</f>
        <v>50.306238677319939</v>
      </c>
      <c r="AF131">
        <f>[1]data!AC132-'Urban population'!AF131</f>
        <v>53.109617089200071</v>
      </c>
      <c r="AG131">
        <f>[1]data!AD132-'Urban population'!AG131</f>
        <v>55.325440101120002</v>
      </c>
      <c r="AH131">
        <f>[1]data!AE132-'Urban population'!AH131</f>
        <v>56.950538894159997</v>
      </c>
      <c r="AI131">
        <f>[1]data!AF132-'Urban population'!AI131</f>
        <v>57.927050235000003</v>
      </c>
      <c r="AJ131">
        <f>[1]data!AG132-'Urban population'!AJ131</f>
        <v>58.368630762409992</v>
      </c>
      <c r="AK131">
        <f>[1]data!AH132-'Urban population'!AK131</f>
        <v>58.252710489600005</v>
      </c>
      <c r="AL131">
        <f>[1]data!AI132-'Urban population'!AL131</f>
        <v>57.602288954980011</v>
      </c>
      <c r="AM131">
        <f>[1]data!AJ132-'Urban population'!AM131</f>
        <v>56.398295278829991</v>
      </c>
    </row>
    <row r="132" spans="1:39" x14ac:dyDescent="0.25">
      <c r="A132" t="s">
        <v>30</v>
      </c>
      <c r="B132" t="s">
        <v>31</v>
      </c>
      <c r="C132" t="s">
        <v>163</v>
      </c>
      <c r="D132" t="str">
        <f>_xlfn.XLOOKUP(C132,'[5]Country Codes'!$A$2:$A$267,'[5]Country Codes'!$B$2:$B$267)</f>
        <v>NGA</v>
      </c>
      <c r="E132" t="str">
        <f>_xlfn.XLOOKUP(D132,[6]Feuil1!$C$2:$C$248,[6]Feuil1!$B$2:$B$248)</f>
        <v>NG</v>
      </c>
      <c r="F132" t="s">
        <v>33</v>
      </c>
      <c r="G132" t="str">
        <f>_xlfn.XLOOKUP(C132,'Urban population'!C132:C331,'Urban population'!G132:G331)</f>
        <v>Western Africa</v>
      </c>
      <c r="H132" t="s">
        <v>34</v>
      </c>
      <c r="I132">
        <f>[1]data!F133-'Urban population'!I132</f>
        <v>33.373066283999997</v>
      </c>
      <c r="J132">
        <f>[1]data!G133-'Urban population'!J132</f>
        <v>35.560078608000005</v>
      </c>
      <c r="K132">
        <f>[1]data!H133-'Urban population'!K132</f>
        <v>37.626548796000002</v>
      </c>
      <c r="L132">
        <f>[1]data!I133-'Urban population'!L132</f>
        <v>41.183803206</v>
      </c>
      <c r="M132">
        <f>[1]data!J133-'Urban population'!M132</f>
        <v>45.164437362000001</v>
      </c>
      <c r="N132">
        <f>[1]data!K133-'Urban population'!N132</f>
        <v>49.701037937999999</v>
      </c>
      <c r="O132">
        <f>[1]data!L133-'Urban population'!O132</f>
        <v>56.025732359999999</v>
      </c>
      <c r="P132">
        <f>[1]data!M133-'Urban population'!P132</f>
        <v>61.359398639999995</v>
      </c>
      <c r="Q132">
        <f>[1]data!N133-'Urban population'!Q132</f>
        <v>66.056264576000018</v>
      </c>
      <c r="R132">
        <f>[1]data!O133-'Urban population'!R132</f>
        <v>72.42382778999999</v>
      </c>
      <c r="S132">
        <f>[1]data!P133-'Urban population'!S132</f>
        <v>79.045536220000002</v>
      </c>
      <c r="T132">
        <f>[1]data!Q133-'Urban population'!T132</f>
        <v>84.409391429999985</v>
      </c>
      <c r="U132">
        <f>[1]data!R133-'Urban population'!U132</f>
        <v>89.684260260000002</v>
      </c>
      <c r="V132">
        <f>[1]data!S133-'Urban population'!V132</f>
        <v>94.848789042000007</v>
      </c>
      <c r="W132">
        <f>[1]data!T133-'Urban population'!W132</f>
        <v>98.774688000000012</v>
      </c>
      <c r="X132">
        <f>[1]data!U133-'Urban population'!X132</f>
        <v>107.12500088418</v>
      </c>
      <c r="Y132">
        <f>[1]data!V133-'Urban population'!Y132</f>
        <v>115.76159234640002</v>
      </c>
      <c r="Z132">
        <f>[1]data!W133-'Urban population'!Z132</f>
        <v>124.62715217355</v>
      </c>
      <c r="AA132">
        <f>[1]data!X133-'Urban population'!AA132</f>
        <v>133.55820366000003</v>
      </c>
      <c r="AB132">
        <f>[1]data!Y133-'Urban population'!AB132</f>
        <v>142.20197242572002</v>
      </c>
      <c r="AC132">
        <f>[1]data!Z133-'Urban population'!AC132</f>
        <v>150.25158372784</v>
      </c>
      <c r="AD132">
        <f>[1]data!AA133-'Urban population'!AD132</f>
        <v>157.27034365964005</v>
      </c>
      <c r="AE132">
        <f>[1]data!AB133-'Urban population'!AE132</f>
        <v>163.17385277039</v>
      </c>
      <c r="AF132">
        <f>[1]data!AC133-'Urban population'!AF132</f>
        <v>167.91513734429998</v>
      </c>
      <c r="AG132">
        <f>[1]data!AD133-'Urban population'!AG132</f>
        <v>171.4576531100397</v>
      </c>
      <c r="AH132">
        <f>[1]data!AE133-'Urban population'!AH132</f>
        <v>173.83875824012</v>
      </c>
      <c r="AI132">
        <f>[1]data!AF133-'Urban population'!AI132</f>
        <v>175.01161042627001</v>
      </c>
      <c r="AJ132">
        <f>[1]data!AG133-'Urban population'!AJ132</f>
        <v>174.85704581451006</v>
      </c>
      <c r="AK132">
        <f>[1]data!AH133-'Urban population'!AK132</f>
        <v>173.51433380688002</v>
      </c>
      <c r="AL132">
        <f>[1]data!AI133-'Urban population'!AL132</f>
        <v>170.88350360400023</v>
      </c>
      <c r="AM132">
        <f>[1]data!AJ133-'Urban population'!AM132</f>
        <v>167.10365724399992</v>
      </c>
    </row>
    <row r="133" spans="1:39" x14ac:dyDescent="0.25">
      <c r="A133" t="s">
        <v>30</v>
      </c>
      <c r="B133" t="s">
        <v>31</v>
      </c>
      <c r="C133" t="s">
        <v>164</v>
      </c>
      <c r="D133" t="str">
        <f>_xlfn.XLOOKUP(C133,'[5]Country Codes'!$A$2:$A$267,'[5]Country Codes'!$B$2:$B$267)</f>
        <v>NIC</v>
      </c>
      <c r="E133" t="str">
        <f>_xlfn.XLOOKUP(D133,[6]Feuil1!$C$2:$C$248,[6]Feuil1!$B$2:$B$248)</f>
        <v>NI</v>
      </c>
      <c r="F133" t="s">
        <v>33</v>
      </c>
      <c r="G133" t="str">
        <f>_xlfn.XLOOKUP(C133,'Urban population'!C133:C332,'Urban population'!G133:G332)</f>
        <v>Central America</v>
      </c>
      <c r="H133" t="s">
        <v>34</v>
      </c>
      <c r="I133">
        <f>[1]data!F134-'Urban population'!I133</f>
        <v>0.84942237599999992</v>
      </c>
      <c r="J133">
        <f>[1]data!G134-'Urban population'!J133</f>
        <v>0.94943792400000004</v>
      </c>
      <c r="K133">
        <f>[1]data!H134-'Urban population'!K133</f>
        <v>1.0646840879999999</v>
      </c>
      <c r="L133">
        <f>[1]data!I134-'Urban population'!L133</f>
        <v>1.17571578</v>
      </c>
      <c r="M133">
        <f>[1]data!J134-'Urban population'!M133</f>
        <v>1.27464947</v>
      </c>
      <c r="N133">
        <f>[1]data!K134-'Urban population'!N133</f>
        <v>1.4373735040000002</v>
      </c>
      <c r="O133">
        <f>[1]data!L134-'Urban population'!O133</f>
        <v>1.6182538679999998</v>
      </c>
      <c r="P133">
        <f>[1]data!M134-'Urban population'!P133</f>
        <v>1.7962050330000001</v>
      </c>
      <c r="Q133">
        <f>[1]data!N134-'Urban population'!Q133</f>
        <v>1.9596780419999997</v>
      </c>
      <c r="R133">
        <f>[1]data!O134-'Urban population'!R133</f>
        <v>2.1314032799999998</v>
      </c>
      <c r="S133">
        <f>[1]data!P134-'Urban population'!S133</f>
        <v>2.2792098559999996</v>
      </c>
      <c r="T133">
        <f>[1]data!Q134-'Urban population'!T133</f>
        <v>2.3892180480000005</v>
      </c>
      <c r="U133">
        <f>[1]data!R134-'Urban population'!U133</f>
        <v>2.5052741310000006</v>
      </c>
      <c r="V133">
        <f>[1]data!S134-'Urban population'!V133</f>
        <v>2.6327096070000002</v>
      </c>
      <c r="W133">
        <f>[1]data!T134-'Urban population'!W133</f>
        <v>2.7509786399999996</v>
      </c>
      <c r="X133">
        <f>[1]data!U134-'Urban population'!X133</f>
        <v>2.7688142660800033</v>
      </c>
      <c r="Y133">
        <f>[1]data!V134-'Urban population'!Y133</f>
        <v>2.7578424414600038</v>
      </c>
      <c r="Z133">
        <f>[1]data!W134-'Urban population'!Z133</f>
        <v>2.7195872911199963</v>
      </c>
      <c r="AA133">
        <f>[1]data!X134-'Urban population'!AA133</f>
        <v>2.6555801238399965</v>
      </c>
      <c r="AB133">
        <f>[1]data!Y134-'Urban population'!AB133</f>
        <v>2.5691217422099992</v>
      </c>
      <c r="AC133">
        <f>[1]data!Z134-'Urban population'!AC133</f>
        <v>2.4685076695800001</v>
      </c>
      <c r="AD133">
        <f>[1]data!AA134-'Urban population'!AD133</f>
        <v>2.3581895154999994</v>
      </c>
      <c r="AE133">
        <f>[1]data!AB134-'Urban population'!AE133</f>
        <v>2.2395202486100025</v>
      </c>
      <c r="AF133">
        <f>[1]data!AC134-'Urban population'!AF133</f>
        <v>2.1175680597000008</v>
      </c>
      <c r="AG133">
        <f>[1]data!AD134-'Urban population'!AG133</f>
        <v>1.9930314612000011</v>
      </c>
      <c r="AH133">
        <f>[1]data!AE134-'Urban population'!AH133</f>
        <v>1.8685928684199995</v>
      </c>
      <c r="AI133">
        <f>[1]data!AF134-'Urban population'!AI133</f>
        <v>1.7456091414300019</v>
      </c>
      <c r="AJ133">
        <f>[1]data!AG134-'Urban population'!AJ133</f>
        <v>1.6271677115000003</v>
      </c>
      <c r="AK133">
        <f>[1]data!AH134-'Urban population'!AK133</f>
        <v>1.5141537327400005</v>
      </c>
      <c r="AL133">
        <f>[1]data!AI134-'Urban population'!AL133</f>
        <v>1.4081532078999999</v>
      </c>
      <c r="AM133">
        <f>[1]data!AJ134-'Urban population'!AM133</f>
        <v>1.3097288536700002</v>
      </c>
    </row>
    <row r="134" spans="1:39" x14ac:dyDescent="0.25">
      <c r="A134" t="s">
        <v>30</v>
      </c>
      <c r="B134" t="s">
        <v>31</v>
      </c>
      <c r="C134" t="s">
        <v>165</v>
      </c>
      <c r="D134" t="str">
        <f>_xlfn.XLOOKUP(C134,'[5]Country Codes'!$A$2:$A$267,'[5]Country Codes'!$B$2:$B$267)</f>
        <v>NLD</v>
      </c>
      <c r="E134" t="str">
        <f>_xlfn.XLOOKUP(D134,[6]Feuil1!$C$2:$C$248,[6]Feuil1!$B$2:$B$248)</f>
        <v>NL</v>
      </c>
      <c r="F134" t="s">
        <v>33</v>
      </c>
      <c r="G134" t="str">
        <f>_xlfn.XLOOKUP(C134,'Urban population'!C134:C333,'Urban population'!G134:G333)</f>
        <v>Western Europe</v>
      </c>
      <c r="H134" t="s">
        <v>34</v>
      </c>
      <c r="I134">
        <f>[1]data!F135-'Urban population'!I134</f>
        <v>4.4018736330000001</v>
      </c>
      <c r="J134">
        <f>[1]data!G135-'Urban population'!J134</f>
        <v>4.4936917200000002</v>
      </c>
      <c r="K134">
        <f>[1]data!H135-'Urban population'!K134</f>
        <v>4.5900934860000007</v>
      </c>
      <c r="L134">
        <f>[1]data!I135-'Urban population'!L134</f>
        <v>4.7820475920000005</v>
      </c>
      <c r="M134">
        <f>[1]data!J135-'Urban population'!M134</f>
        <v>4.964040786</v>
      </c>
      <c r="N134">
        <f>[1]data!K135-'Urban population'!N134</f>
        <v>5.0104241439999999</v>
      </c>
      <c r="O134">
        <f>[1]data!L135-'Urban population'!O134</f>
        <v>4.9721169009999997</v>
      </c>
      <c r="P134">
        <f>[1]data!M135-'Urban population'!P134</f>
        <v>4.8213238499999989</v>
      </c>
      <c r="Q134">
        <f>[1]data!N135-'Urban population'!Q134</f>
        <v>4.6619196559999985</v>
      </c>
      <c r="R134">
        <f>[1]data!O135-'Urban population'!R134</f>
        <v>4.188737712</v>
      </c>
      <c r="S134">
        <f>[1]data!P135-'Urban population'!S134</f>
        <v>3.678575296</v>
      </c>
      <c r="T134">
        <f>[1]data!Q135-'Urban population'!T134</f>
        <v>2.8240311360000003</v>
      </c>
      <c r="U134">
        <f>[1]data!R135-'Urban population'!U134</f>
        <v>2.1382503360000005</v>
      </c>
      <c r="V134">
        <f>[1]data!S135-'Urban population'!V134</f>
        <v>1.6659766759999997</v>
      </c>
      <c r="W134">
        <f>[1]data!T135-'Urban population'!W134</f>
        <v>1.3573777619999987</v>
      </c>
      <c r="X134">
        <f>[1]data!U135-'Urban population'!X134</f>
        <v>1.2396794729999989</v>
      </c>
      <c r="Y134">
        <f>[1]data!V135-'Urban population'!Y134</f>
        <v>1.1373560934000011</v>
      </c>
      <c r="Z134">
        <f>[1]data!W135-'Urban population'!Z134</f>
        <v>1.0481218544500024</v>
      </c>
      <c r="AA134">
        <f>[1]data!X135-'Urban population'!AA134</f>
        <v>0.96854868600000188</v>
      </c>
      <c r="AB134">
        <f>[1]data!Y135-'Urban population'!AB134</f>
        <v>0.89747826600000025</v>
      </c>
      <c r="AC134">
        <f>[1]data!Z135-'Urban population'!AC134</f>
        <v>0.83496331326000117</v>
      </c>
      <c r="AD134">
        <f>[1]data!AA135-'Urban population'!AD134</f>
        <v>0.7788214583999995</v>
      </c>
      <c r="AE134">
        <f>[1]data!AB135-'Urban population'!AE134</f>
        <v>0.7285415870099996</v>
      </c>
      <c r="AF134">
        <f>[1]data!AC135-'Urban population'!AF134</f>
        <v>0.6839185693599994</v>
      </c>
      <c r="AG134">
        <f>[1]data!AD135-'Urban population'!AG134</f>
        <v>0.64483183080000117</v>
      </c>
      <c r="AH134">
        <f>[1]data!AE135-'Urban population'!AH134</f>
        <v>0.61007610300000081</v>
      </c>
      <c r="AI134">
        <f>[1]data!AF135-'Urban population'!AI134</f>
        <v>0.57814843124999982</v>
      </c>
      <c r="AJ134">
        <f>[1]data!AG135-'Urban population'!AJ134</f>
        <v>0.54750723839999793</v>
      </c>
      <c r="AK134">
        <f>[1]data!AH135-'Urban population'!AK134</f>
        <v>0.51808058161000048</v>
      </c>
      <c r="AL134">
        <f>[1]data!AI135-'Urban population'!AL134</f>
        <v>0.4902040377599981</v>
      </c>
      <c r="AM134">
        <f>[1]data!AJ135-'Urban population'!AM134</f>
        <v>0.46379976958000313</v>
      </c>
    </row>
    <row r="135" spans="1:39" x14ac:dyDescent="0.25">
      <c r="A135" t="s">
        <v>30</v>
      </c>
      <c r="B135" t="s">
        <v>31</v>
      </c>
      <c r="C135" t="s">
        <v>166</v>
      </c>
      <c r="D135" t="str">
        <f>_xlfn.XLOOKUP(C135,'[5]Country Codes'!$A$2:$A$267,'[5]Country Codes'!$B$2:$B$267)</f>
        <v>NOR</v>
      </c>
      <c r="E135" t="str">
        <f>_xlfn.XLOOKUP(D135,[6]Feuil1!$C$2:$C$248,[6]Feuil1!$B$2:$B$248)</f>
        <v>NO</v>
      </c>
      <c r="F135" t="s">
        <v>33</v>
      </c>
      <c r="G135" t="str">
        <f>_xlfn.XLOOKUP(C135,'Urban population'!C135:C334,'Urban population'!G135:G334)</f>
        <v>Western Europe</v>
      </c>
      <c r="H135" t="s">
        <v>34</v>
      </c>
      <c r="I135">
        <f>[1]data!F136-'Urban population'!I135</f>
        <v>1.62466029</v>
      </c>
      <c r="J135">
        <f>[1]data!G136-'Urban population'!J135</f>
        <v>1.6988966220000001</v>
      </c>
      <c r="K135">
        <f>[1]data!H136-'Urban population'!K135</f>
        <v>1.7876216069999999</v>
      </c>
      <c r="L135">
        <f>[1]data!I136-'Urban population'!L135</f>
        <v>1.5725977679999996</v>
      </c>
      <c r="M135">
        <f>[1]data!J136-'Urban population'!M135</f>
        <v>1.3366118399999998</v>
      </c>
      <c r="N135">
        <f>[1]data!K136-'Urban population'!N135</f>
        <v>1.2712581059999999</v>
      </c>
      <c r="O135">
        <f>[1]data!L136-'Urban population'!O135</f>
        <v>1.2033206350000003</v>
      </c>
      <c r="P135">
        <f>[1]data!M136-'Urban population'!P135</f>
        <v>1.1898962600000003</v>
      </c>
      <c r="Q135">
        <f>[1]data!N136-'Urban population'!Q135</f>
        <v>1.1853212000000002</v>
      </c>
      <c r="R135">
        <f>[1]data!O136-'Urban population'!R135</f>
        <v>1.1393145980000003</v>
      </c>
      <c r="S135">
        <f>[1]data!P136-'Urban population'!S135</f>
        <v>1.0748920799999997</v>
      </c>
      <c r="T135">
        <f>[1]data!Q136-'Urban population'!T135</f>
        <v>1.0273043579999999</v>
      </c>
      <c r="U135">
        <f>[1]data!R136-'Urban population'!U135</f>
        <v>1.0154685090000002</v>
      </c>
      <c r="V135">
        <f>[1]data!S136-'Urban population'!V135</f>
        <v>0.97642710900000029</v>
      </c>
      <c r="W135">
        <f>[1]data!T136-'Urban population'!W135</f>
        <v>0.91255116000000047</v>
      </c>
      <c r="X135">
        <f>[1]data!U136-'Urban population'!X135</f>
        <v>0.86770694871000043</v>
      </c>
      <c r="Y135">
        <f>[1]data!V136-'Urban population'!Y135</f>
        <v>0.82237305842000019</v>
      </c>
      <c r="Z135">
        <f>[1]data!W136-'Urban population'!Z135</f>
        <v>0.77970995899999984</v>
      </c>
      <c r="AA135">
        <f>[1]data!X136-'Urban population'!AA135</f>
        <v>0.73969243793999961</v>
      </c>
      <c r="AB135">
        <f>[1]data!Y136-'Urban population'!AB135</f>
        <v>0.70215515279999874</v>
      </c>
      <c r="AC135">
        <f>[1]data!Z136-'Urban population'!AC135</f>
        <v>0.66779798001000046</v>
      </c>
      <c r="AD135">
        <f>[1]data!AA136-'Urban population'!AD135</f>
        <v>0.63329015862000038</v>
      </c>
      <c r="AE135">
        <f>[1]data!AB136-'Urban population'!AE135</f>
        <v>0.59960845751999958</v>
      </c>
      <c r="AF135">
        <f>[1]data!AC136-'Urban population'!AF135</f>
        <v>0.5668660670400012</v>
      </c>
      <c r="AG135">
        <f>[1]data!AD136-'Urban population'!AG135</f>
        <v>0.5359380765000008</v>
      </c>
      <c r="AH135">
        <f>[1]data!AE136-'Urban population'!AH135</f>
        <v>0.50676695918000014</v>
      </c>
      <c r="AI135">
        <f>[1]data!AF136-'Urban population'!AI135</f>
        <v>0.47861742863000067</v>
      </c>
      <c r="AJ135">
        <f>[1]data!AG136-'Urban population'!AJ135</f>
        <v>0.45085088152000008</v>
      </c>
      <c r="AK135">
        <f>[1]data!AH136-'Urban population'!AK135</f>
        <v>0.42347381555999952</v>
      </c>
      <c r="AL135">
        <f>[1]data!AI136-'Urban population'!AL135</f>
        <v>0.39708691637999927</v>
      </c>
      <c r="AM135">
        <f>[1]data!AJ136-'Urban population'!AM135</f>
        <v>0.37206097009999972</v>
      </c>
    </row>
    <row r="136" spans="1:39" x14ac:dyDescent="0.25">
      <c r="A136" t="s">
        <v>30</v>
      </c>
      <c r="B136" t="s">
        <v>31</v>
      </c>
      <c r="C136" t="s">
        <v>167</v>
      </c>
      <c r="D136" t="str">
        <f>_xlfn.XLOOKUP(C136,'[5]Country Codes'!$A$2:$A$267,'[5]Country Codes'!$B$2:$B$267)</f>
        <v>NPL</v>
      </c>
      <c r="E136" t="str">
        <f>_xlfn.XLOOKUP(D136,[6]Feuil1!$C$2:$C$248,[6]Feuil1!$B$2:$B$248)</f>
        <v>NP</v>
      </c>
      <c r="F136" t="s">
        <v>33</v>
      </c>
      <c r="G136" t="str">
        <f>_xlfn.XLOOKUP(C136,'Urban population'!C136:C335,'Urban population'!G136:G335)</f>
        <v>Rest of South Asia</v>
      </c>
      <c r="H136" t="s">
        <v>34</v>
      </c>
      <c r="I136">
        <f>[1]data!F137-'Urban population'!I136</f>
        <v>8.0842366639999987</v>
      </c>
      <c r="J136">
        <f>[1]data!G137-'Urban population'!J136</f>
        <v>8.912899791000001</v>
      </c>
      <c r="K136">
        <f>[1]data!H137-'Urban population'!K136</f>
        <v>9.7192570849999989</v>
      </c>
      <c r="L136">
        <f>[1]data!I137-'Urban population'!L136</f>
        <v>10.704187979999999</v>
      </c>
      <c r="M136">
        <f>[1]data!J137-'Urban population'!M136</f>
        <v>11.869564799999999</v>
      </c>
      <c r="N136">
        <f>[1]data!K137-'Urban population'!N136</f>
        <v>13.112674736000001</v>
      </c>
      <c r="O136">
        <f>[1]data!L137-'Urban population'!O136</f>
        <v>14.475844665</v>
      </c>
      <c r="P136">
        <f>[1]data!M137-'Urban population'!P136</f>
        <v>16.057953978</v>
      </c>
      <c r="Q136">
        <f>[1]data!N137-'Urban population'!Q136</f>
        <v>17.643480938</v>
      </c>
      <c r="R136">
        <f>[1]data!O137-'Urban population'!R136</f>
        <v>19.658484945000001</v>
      </c>
      <c r="S136">
        <f>[1]data!P137-'Urban population'!S136</f>
        <v>21.094288666000001</v>
      </c>
      <c r="T136">
        <f>[1]data!Q137-'Urban population'!T136</f>
        <v>22.205617923000002</v>
      </c>
      <c r="U136">
        <f>[1]data!R137-'Urban population'!U136</f>
        <v>22.54333536</v>
      </c>
      <c r="V136">
        <f>[1]data!S137-'Urban population'!V136</f>
        <v>22.399220580000001</v>
      </c>
      <c r="W136">
        <f>[1]data!T137-'Urban population'!W136</f>
        <v>23.025383062</v>
      </c>
      <c r="X136">
        <f>[1]data!U137-'Urban population'!X136</f>
        <v>23.676313636779998</v>
      </c>
      <c r="Y136">
        <f>[1]data!V137-'Urban population'!Y136</f>
        <v>24.045899863200002</v>
      </c>
      <c r="Z136">
        <f>[1]data!W137-'Urban population'!Z136</f>
        <v>24.100044800000003</v>
      </c>
      <c r="AA136">
        <f>[1]data!X137-'Urban population'!AA136</f>
        <v>23.902422776439998</v>
      </c>
      <c r="AB136">
        <f>[1]data!Y137-'Urban population'!AB136</f>
        <v>23.515730298450002</v>
      </c>
      <c r="AC136">
        <f>[1]data!Z137-'Urban population'!AC136</f>
        <v>22.9722396672</v>
      </c>
      <c r="AD136">
        <f>[1]data!AA137-'Urban population'!AD136</f>
        <v>22.290948719280003</v>
      </c>
      <c r="AE136">
        <f>[1]data!AB137-'Urban population'!AE136</f>
        <v>21.471051632960002</v>
      </c>
      <c r="AF136">
        <f>[1]data!AC137-'Urban population'!AF136</f>
        <v>20.56320447089994</v>
      </c>
      <c r="AG136">
        <f>[1]data!AD137-'Urban population'!AG136</f>
        <v>19.593819283119998</v>
      </c>
      <c r="AH136">
        <f>[1]data!AE137-'Urban population'!AH136</f>
        <v>18.581294271540003</v>
      </c>
      <c r="AI136">
        <f>[1]data!AF137-'Urban population'!AI136</f>
        <v>17.542444931840002</v>
      </c>
      <c r="AJ136">
        <f>[1]data!AG137-'Urban population'!AJ136</f>
        <v>16.483340481340004</v>
      </c>
      <c r="AK136">
        <f>[1]data!AH137-'Urban population'!AK136</f>
        <v>15.430025816120004</v>
      </c>
      <c r="AL136">
        <f>[1]data!AI137-'Urban population'!AL136</f>
        <v>14.413080789509998</v>
      </c>
      <c r="AM136">
        <f>[1]data!AJ137-'Urban population'!AM136</f>
        <v>13.462510686099996</v>
      </c>
    </row>
    <row r="137" spans="1:39" x14ac:dyDescent="0.25">
      <c r="A137" t="s">
        <v>30</v>
      </c>
      <c r="B137" t="s">
        <v>31</v>
      </c>
      <c r="C137" t="s">
        <v>168</v>
      </c>
      <c r="D137" t="str">
        <f>_xlfn.XLOOKUP(C137,'[5]Country Codes'!$A$2:$A$267,'[5]Country Codes'!$B$2:$B$267)</f>
        <v>NZL</v>
      </c>
      <c r="E137" t="str">
        <f>_xlfn.XLOOKUP(D137,[6]Feuil1!$C$2:$C$248,[6]Feuil1!$B$2:$B$248)</f>
        <v>NZ</v>
      </c>
      <c r="F137" t="s">
        <v>33</v>
      </c>
      <c r="G137" t="str">
        <f>_xlfn.XLOOKUP(C137,'Urban population'!C137:C336,'Urban population'!G137:G336)</f>
        <v>Oceania</v>
      </c>
      <c r="H137" t="s">
        <v>34</v>
      </c>
      <c r="I137">
        <f>[1]data!F138-'Urban population'!I137</f>
        <v>0.5204892000000001</v>
      </c>
      <c r="J137">
        <f>[1]data!G138-'Urban population'!J137</f>
        <v>0.55939250400000007</v>
      </c>
      <c r="K137">
        <f>[1]data!H138-'Urban population'!K137</f>
        <v>0.56589288000000004</v>
      </c>
      <c r="L137">
        <f>[1]data!I138-'Urban population'!L137</f>
        <v>0.55179095299999981</v>
      </c>
      <c r="M137">
        <f>[1]data!J138-'Urban population'!M137</f>
        <v>0.52977796200000027</v>
      </c>
      <c r="N137">
        <f>[1]data!K138-'Urban population'!N137</f>
        <v>0.52862411200000015</v>
      </c>
      <c r="O137">
        <f>[1]data!L138-'Urban population'!O137</f>
        <v>0.52168222399999964</v>
      </c>
      <c r="P137">
        <f>[1]data!M138-'Urban population'!P137</f>
        <v>0.5318515589999997</v>
      </c>
      <c r="Q137">
        <f>[1]data!N138-'Urban population'!Q137</f>
        <v>0.51176709900000006</v>
      </c>
      <c r="R137">
        <f>[1]data!O138-'Urban population'!R137</f>
        <v>0.5250409920000001</v>
      </c>
      <c r="S137">
        <f>[1]data!P138-'Urban population'!S137</f>
        <v>0.53806983999999991</v>
      </c>
      <c r="T137">
        <f>[1]data!Q138-'Urban population'!T137</f>
        <v>0.56281257700000031</v>
      </c>
      <c r="U137">
        <f>[1]data!R138-'Urban population'!U137</f>
        <v>0.59695612199999992</v>
      </c>
      <c r="V137">
        <f>[1]data!S138-'Urban population'!V137</f>
        <v>0.62362961700000019</v>
      </c>
      <c r="W137">
        <f>[1]data!T138-'Urban population'!W137</f>
        <v>0.66852250500000032</v>
      </c>
      <c r="X137">
        <f>[1]data!U138-'Urban population'!X137</f>
        <v>0.63877218833999994</v>
      </c>
      <c r="Y137">
        <f>[1]data!V138-'Urban population'!Y137</f>
        <v>0.60827682509999992</v>
      </c>
      <c r="Z137">
        <f>[1]data!W138-'Urban population'!Z137</f>
        <v>0.57719832959999984</v>
      </c>
      <c r="AA137">
        <f>[1]data!X138-'Urban population'!AA137</f>
        <v>0.54621838683999968</v>
      </c>
      <c r="AB137">
        <f>[1]data!Y138-'Urban population'!AB137</f>
        <v>0.51589353616000011</v>
      </c>
      <c r="AC137">
        <f>[1]data!Z138-'Urban population'!AC137</f>
        <v>0.48637100531999966</v>
      </c>
      <c r="AD137">
        <f>[1]data!AA138-'Urban population'!AD137</f>
        <v>0.45701838000000006</v>
      </c>
      <c r="AE137">
        <f>[1]data!AB138-'Urban population'!AE137</f>
        <v>0.42851814432000079</v>
      </c>
      <c r="AF137">
        <f>[1]data!AC138-'Urban population'!AF137</f>
        <v>0.4008694288500001</v>
      </c>
      <c r="AG137">
        <f>[1]data!AD138-'Urban population'!AG137</f>
        <v>0.37443467086000037</v>
      </c>
      <c r="AH137">
        <f>[1]data!AE138-'Urban population'!AH137</f>
        <v>0.34894876272000008</v>
      </c>
      <c r="AI137">
        <f>[1]data!AF138-'Urban population'!AI137</f>
        <v>0.32441600119999947</v>
      </c>
      <c r="AJ137">
        <f>[1]data!AG138-'Urban population'!AJ137</f>
        <v>0.30057144390000001</v>
      </c>
      <c r="AK137">
        <f>[1]data!AH138-'Urban population'!AK137</f>
        <v>0.27759208033999982</v>
      </c>
      <c r="AL137">
        <f>[1]data!AI138-'Urban population'!AL137</f>
        <v>0.25562639684000033</v>
      </c>
      <c r="AM137">
        <f>[1]data!AJ138-'Urban population'!AM137</f>
        <v>0.23489328510000007</v>
      </c>
    </row>
    <row r="138" spans="1:39" x14ac:dyDescent="0.25">
      <c r="A138" t="s">
        <v>30</v>
      </c>
      <c r="B138" t="s">
        <v>31</v>
      </c>
      <c r="C138" t="s">
        <v>169</v>
      </c>
      <c r="D138" t="str">
        <f>_xlfn.XLOOKUP(C138,'[5]Country Codes'!$A$2:$A$267,'[5]Country Codes'!$B$2:$B$267)</f>
        <v>OMN</v>
      </c>
      <c r="E138" t="str">
        <f>_xlfn.XLOOKUP(D138,[6]Feuil1!$C$2:$C$248,[6]Feuil1!$B$2:$B$248)</f>
        <v>OM</v>
      </c>
      <c r="F138" t="s">
        <v>33</v>
      </c>
      <c r="G138" t="str">
        <f>_xlfn.XLOOKUP(C138,'Urban population'!C138:C337,'Urban population'!G138:G337)</f>
        <v>Middle East</v>
      </c>
      <c r="H138" t="s">
        <v>34</v>
      </c>
      <c r="I138">
        <f>[1]data!F139-'Urban population'!I138</f>
        <v>0.41512234800000003</v>
      </c>
      <c r="J138">
        <f>[1]data!G139-'Urban population'!J138</f>
        <v>0.42986856000000007</v>
      </c>
      <c r="K138">
        <f>[1]data!H139-'Urban population'!K138</f>
        <v>0.44459316000000004</v>
      </c>
      <c r="L138">
        <f>[1]data!I139-'Urban population'!L138</f>
        <v>0.456201564</v>
      </c>
      <c r="M138">
        <f>[1]data!J139-'Urban population'!M138</f>
        <v>0.46532975999999998</v>
      </c>
      <c r="N138">
        <f>[1]data!K139-'Urban population'!N138</f>
        <v>0.47592550799999994</v>
      </c>
      <c r="O138">
        <f>[1]data!L139-'Urban population'!O138</f>
        <v>0.51853520399999997</v>
      </c>
      <c r="P138">
        <f>[1]data!M139-'Urban population'!P138</f>
        <v>0.56116117199999993</v>
      </c>
      <c r="Q138">
        <f>[1]data!N139-'Urban population'!Q138</f>
        <v>0.59634473100000007</v>
      </c>
      <c r="R138">
        <f>[1]data!O139-'Urban population'!R138</f>
        <v>0.60947276199999978</v>
      </c>
      <c r="S138">
        <f>[1]data!P139-'Urban population'!S138</f>
        <v>0.66136130800000026</v>
      </c>
      <c r="T138">
        <f>[1]data!Q139-'Urban population'!T138</f>
        <v>0.6878720399999998</v>
      </c>
      <c r="U138">
        <f>[1]data!R139-'Urban population'!U138</f>
        <v>0.67486082400000003</v>
      </c>
      <c r="V138">
        <f>[1]data!S139-'Urban population'!V138</f>
        <v>0.75984868799999994</v>
      </c>
      <c r="W138">
        <f>[1]data!T139-'Urban population'!W138</f>
        <v>0.62871149500000012</v>
      </c>
      <c r="X138">
        <f>[1]data!U139-'Urban population'!X138</f>
        <v>0.61797050061000114</v>
      </c>
      <c r="Y138">
        <f>[1]data!V139-'Urban population'!Y138</f>
        <v>0.60095433509999996</v>
      </c>
      <c r="Z138">
        <f>[1]data!W139-'Urban population'!Z138</f>
        <v>0.5777723077200001</v>
      </c>
      <c r="AA138">
        <f>[1]data!X139-'Urban population'!AA138</f>
        <v>0.55175870324999998</v>
      </c>
      <c r="AB138">
        <f>[1]data!Y139-'Urban population'!AB138</f>
        <v>0.52581808641000016</v>
      </c>
      <c r="AC138">
        <f>[1]data!Z139-'Urban population'!AC138</f>
        <v>0.49945890462999998</v>
      </c>
      <c r="AD138">
        <f>[1]data!AA139-'Urban population'!AD138</f>
        <v>0.47088057380000059</v>
      </c>
      <c r="AE138">
        <f>[1]data!AB139-'Urban population'!AE138</f>
        <v>0.43949519768000034</v>
      </c>
      <c r="AF138">
        <f>[1]data!AC139-'Urban population'!AF138</f>
        <v>0.40570956431999949</v>
      </c>
      <c r="AG138">
        <f>[1]data!AD139-'Urban population'!AG138</f>
        <v>0.37112974692000034</v>
      </c>
      <c r="AH138">
        <f>[1]data!AE139-'Urban population'!AH138</f>
        <v>0.33711885900000027</v>
      </c>
      <c r="AI138">
        <f>[1]data!AF139-'Urban population'!AI138</f>
        <v>0.30525802517999967</v>
      </c>
      <c r="AJ138">
        <f>[1]data!AG139-'Urban population'!AJ138</f>
        <v>0.27637338182000004</v>
      </c>
      <c r="AK138">
        <f>[1]data!AH139-'Urban population'!AK138</f>
        <v>0.25093634769999973</v>
      </c>
      <c r="AL138">
        <f>[1]data!AI139-'Urban population'!AL138</f>
        <v>0.22854443303999972</v>
      </c>
      <c r="AM138">
        <f>[1]data!AJ139-'Urban population'!AM138</f>
        <v>0.20833615871999989</v>
      </c>
    </row>
    <row r="139" spans="1:39" x14ac:dyDescent="0.25">
      <c r="A139" t="s">
        <v>30</v>
      </c>
      <c r="B139" t="s">
        <v>31</v>
      </c>
      <c r="C139" t="s">
        <v>170</v>
      </c>
      <c r="D139" t="str">
        <f>_xlfn.XLOOKUP(C139,'[5]Country Codes'!$A$2:$A$267,'[5]Country Codes'!$B$2:$B$267)</f>
        <v>PAK</v>
      </c>
      <c r="E139" t="str">
        <f>_xlfn.XLOOKUP(D139,[6]Feuil1!$C$2:$C$248,[6]Feuil1!$B$2:$B$248)</f>
        <v>PK</v>
      </c>
      <c r="F139" t="s">
        <v>33</v>
      </c>
      <c r="G139" t="str">
        <f>_xlfn.XLOOKUP(C139,'Urban population'!C139:C338,'Urban population'!G139:G338)</f>
        <v>Rest of South Asia</v>
      </c>
      <c r="H139" t="s">
        <v>34</v>
      </c>
      <c r="I139">
        <f>[1]data!F140-'Urban population'!I139</f>
        <v>30.903675000000003</v>
      </c>
      <c r="J139">
        <f>[1]data!G140-'Urban population'!J139</f>
        <v>32.607610508</v>
      </c>
      <c r="K139">
        <f>[1]data!H140-'Urban population'!K139</f>
        <v>35.353626534</v>
      </c>
      <c r="L139">
        <f>[1]data!I140-'Urban population'!L139</f>
        <v>39.154262130000006</v>
      </c>
      <c r="M139">
        <f>[1]data!J140-'Urban population'!M139</f>
        <v>43.966500431999997</v>
      </c>
      <c r="N139">
        <f>[1]data!K140-'Urban population'!N139</f>
        <v>49.455877944000008</v>
      </c>
      <c r="O139">
        <f>[1]data!L140-'Urban population'!O139</f>
        <v>56.675945767999991</v>
      </c>
      <c r="P139">
        <f>[1]data!M140-'Urban population'!P139</f>
        <v>67.437211968</v>
      </c>
      <c r="Q139">
        <f>[1]data!N140-'Urban population'!Q139</f>
        <v>78.788651304000012</v>
      </c>
      <c r="R139">
        <f>[1]data!O140-'Urban population'!R139</f>
        <v>89.369342061999987</v>
      </c>
      <c r="S139">
        <f>[1]data!P140-'Urban population'!S139</f>
        <v>101.72106829999998</v>
      </c>
      <c r="T139">
        <f>[1]data!Q140-'Urban population'!T139</f>
        <v>113.88392202</v>
      </c>
      <c r="U139">
        <f>[1]data!R140-'Urban population'!U139</f>
        <v>124.98486325</v>
      </c>
      <c r="V139">
        <f>[1]data!S140-'Urban population'!V139</f>
        <v>134.18173888000001</v>
      </c>
      <c r="W139">
        <f>[1]data!T140-'Urban population'!W139</f>
        <v>141.37087545200001</v>
      </c>
      <c r="X139">
        <f>[1]data!U140-'Urban population'!X139</f>
        <v>146.89898218458001</v>
      </c>
      <c r="Y139">
        <f>[1]data!V140-'Urban population'!Y139</f>
        <v>151.89409881609998</v>
      </c>
      <c r="Z139">
        <f>[1]data!W140-'Urban population'!Z139</f>
        <v>155.96756508909999</v>
      </c>
      <c r="AA139">
        <f>[1]data!X140-'Urban population'!AA139</f>
        <v>158.93335147499999</v>
      </c>
      <c r="AB139">
        <f>[1]data!Y140-'Urban population'!AB139</f>
        <v>160.83131367775999</v>
      </c>
      <c r="AC139">
        <f>[1]data!Z140-'Urban population'!AC139</f>
        <v>161.93882434230002</v>
      </c>
      <c r="AD139">
        <f>[1]data!AA140-'Urban population'!AD139</f>
        <v>162.17483761515004</v>
      </c>
      <c r="AE139">
        <f>[1]data!AB140-'Urban population'!AE139</f>
        <v>161.70491927534999</v>
      </c>
      <c r="AF139">
        <f>[1]data!AC140-'Urban population'!AF139</f>
        <v>160.40989514473</v>
      </c>
      <c r="AG139">
        <f>[1]data!AD140-'Urban population'!AG139</f>
        <v>158.37497866295996</v>
      </c>
      <c r="AH139">
        <f>[1]data!AE140-'Urban population'!AH139</f>
        <v>155.65670891589002</v>
      </c>
      <c r="AI139">
        <f>[1]data!AF140-'Urban population'!AI139</f>
        <v>152.36752325665003</v>
      </c>
      <c r="AJ139">
        <f>[1]data!AG140-'Urban population'!AJ139</f>
        <v>148.76903621120005</v>
      </c>
      <c r="AK139">
        <f>[1]data!AH140-'Urban population'!AK139</f>
        <v>145.04768631782002</v>
      </c>
      <c r="AL139">
        <f>[1]data!AI140-'Urban population'!AL139</f>
        <v>141.24317000748994</v>
      </c>
      <c r="AM139">
        <f>[1]data!AJ140-'Urban population'!AM139</f>
        <v>137.43934215095993</v>
      </c>
    </row>
    <row r="140" spans="1:39" x14ac:dyDescent="0.25">
      <c r="A140" t="s">
        <v>30</v>
      </c>
      <c r="B140" t="s">
        <v>31</v>
      </c>
      <c r="C140" t="s">
        <v>171</v>
      </c>
      <c r="D140" t="str">
        <f>_xlfn.XLOOKUP(C140,'[5]Country Codes'!$A$2:$A$267,'[5]Country Codes'!$B$2:$B$267)</f>
        <v>PAN</v>
      </c>
      <c r="E140" t="str">
        <f>_xlfn.XLOOKUP(D140,[6]Feuil1!$C$2:$C$248,[6]Feuil1!$B$2:$B$248)</f>
        <v>PA</v>
      </c>
      <c r="F140" t="s">
        <v>33</v>
      </c>
      <c r="G140" t="str">
        <f>_xlfn.XLOOKUP(C140,'Urban population'!C140:C339,'Urban population'!G140:G339)</f>
        <v>Central America</v>
      </c>
      <c r="H140" t="s">
        <v>34</v>
      </c>
      <c r="I140">
        <f>[1]data!F141-'Urban population'!I140</f>
        <v>0.54608520000000005</v>
      </c>
      <c r="J140">
        <f>[1]data!G141-'Urban population'!J140</f>
        <v>0.59464042499999992</v>
      </c>
      <c r="K140">
        <f>[1]data!H141-'Urban population'!K140</f>
        <v>0.65295929999999991</v>
      </c>
      <c r="L140">
        <f>[1]data!I141-'Urban population'!L140</f>
        <v>0.71768813600000003</v>
      </c>
      <c r="M140">
        <f>[1]data!J141-'Urban population'!M140</f>
        <v>0.78335170399999987</v>
      </c>
      <c r="N140">
        <f>[1]data!K141-'Urban population'!N140</f>
        <v>0.87351321000000004</v>
      </c>
      <c r="O140">
        <f>[1]data!L141-'Urban population'!O140</f>
        <v>0.95936320000000008</v>
      </c>
      <c r="P140">
        <f>[1]data!M141-'Urban population'!P140</f>
        <v>1.0405015229999999</v>
      </c>
      <c r="Q140">
        <f>[1]data!N141-'Urban population'!Q140</f>
        <v>1.117400382</v>
      </c>
      <c r="R140">
        <f>[1]data!O141-'Urban population'!R140</f>
        <v>1.1264898800000001</v>
      </c>
      <c r="S140">
        <f>[1]data!P141-'Urban population'!S140</f>
        <v>1.1235191940000002</v>
      </c>
      <c r="T140">
        <f>[1]data!Q141-'Urban population'!T140</f>
        <v>1.1886540270000001</v>
      </c>
      <c r="U140">
        <f>[1]data!R141-'Urban population'!U140</f>
        <v>1.2534055800000004</v>
      </c>
      <c r="V140">
        <f>[1]data!S141-'Urban population'!V140</f>
        <v>1.3062471119999999</v>
      </c>
      <c r="W140">
        <f>[1]data!T141-'Urban population'!W140</f>
        <v>1.3479112720000002</v>
      </c>
      <c r="X140">
        <f>[1]data!U141-'Urban population'!X140</f>
        <v>1.3598907994499969</v>
      </c>
      <c r="Y140">
        <f>[1]data!V141-'Urban population'!Y140</f>
        <v>1.3610637343800001</v>
      </c>
      <c r="Z140">
        <f>[1]data!W141-'Urban population'!Z140</f>
        <v>1.3505114952299997</v>
      </c>
      <c r="AA140">
        <f>[1]data!X141-'Urban population'!AA140</f>
        <v>1.3273586827799999</v>
      </c>
      <c r="AB140">
        <f>[1]data!Y141-'Urban population'!AB140</f>
        <v>1.2940780601699995</v>
      </c>
      <c r="AC140">
        <f>[1]data!Z141-'Urban population'!AC140</f>
        <v>1.2505046334400003</v>
      </c>
      <c r="AD140">
        <f>[1]data!AA141-'Urban population'!AD140</f>
        <v>1.2003252709600005</v>
      </c>
      <c r="AE140">
        <f>[1]data!AB141-'Urban population'!AE140</f>
        <v>1.1459656872000004</v>
      </c>
      <c r="AF140">
        <f>[1]data!AC141-'Urban population'!AF140</f>
        <v>1.0884626363000001</v>
      </c>
      <c r="AG140">
        <f>[1]data!AD141-'Urban population'!AG140</f>
        <v>1.0289832573000002</v>
      </c>
      <c r="AH140">
        <f>[1]data!AE141-'Urban population'!AH140</f>
        <v>0.9678817619400002</v>
      </c>
      <c r="AI140">
        <f>[1]data!AF141-'Urban population'!AI140</f>
        <v>0.90656869354999969</v>
      </c>
      <c r="AJ140">
        <f>[1]data!AG141-'Urban population'!AJ140</f>
        <v>0.84556515680000022</v>
      </c>
      <c r="AK140">
        <f>[1]data!AH141-'Urban population'!AK140</f>
        <v>0.78608477340000071</v>
      </c>
      <c r="AL140">
        <f>[1]data!AI141-'Urban population'!AL140</f>
        <v>0.72832532136000072</v>
      </c>
      <c r="AM140">
        <f>[1]data!AJ141-'Urban population'!AM140</f>
        <v>0.67261607293999948</v>
      </c>
    </row>
    <row r="141" spans="1:39" x14ac:dyDescent="0.25">
      <c r="A141" t="s">
        <v>30</v>
      </c>
      <c r="B141" t="s">
        <v>31</v>
      </c>
      <c r="C141" t="s">
        <v>172</v>
      </c>
      <c r="D141" t="str">
        <f>_xlfn.XLOOKUP(C141,'[5]Country Codes'!$A$2:$A$267,'[5]Country Codes'!$B$2:$B$267)</f>
        <v>PER</v>
      </c>
      <c r="E141" t="str">
        <f>_xlfn.XLOOKUP(D141,[6]Feuil1!$C$2:$C$248,[6]Feuil1!$B$2:$B$248)</f>
        <v>PE</v>
      </c>
      <c r="F141" t="s">
        <v>33</v>
      </c>
      <c r="G141" t="str">
        <f>_xlfn.XLOOKUP(C141,'Urban population'!C141:C340,'Urban population'!G141:G340)</f>
        <v>Rest of South America</v>
      </c>
      <c r="H141" t="s">
        <v>34</v>
      </c>
      <c r="I141">
        <f>[1]data!F142-'Urban population'!I141</f>
        <v>4.4669997400000003</v>
      </c>
      <c r="J141">
        <f>[1]data!G142-'Urban population'!J141</f>
        <v>4.8821423310000007</v>
      </c>
      <c r="K141">
        <f>[1]data!H142-'Urban population'!K141</f>
        <v>5.3318880720000008</v>
      </c>
      <c r="L141">
        <f>[1]data!I142-'Urban population'!L141</f>
        <v>5.5840901349999994</v>
      </c>
      <c r="M141">
        <f>[1]data!J142-'Urban population'!M141</f>
        <v>5.7092852280000006</v>
      </c>
      <c r="N141">
        <f>[1]data!K142-'Urban population'!N141</f>
        <v>5.8706270699999994</v>
      </c>
      <c r="O141">
        <f>[1]data!L142-'Urban population'!O141</f>
        <v>6.1141556040000022</v>
      </c>
      <c r="P141">
        <f>[1]data!M142-'Urban population'!P141</f>
        <v>6.4593726509999989</v>
      </c>
      <c r="Q141">
        <f>[1]data!N142-'Urban population'!Q141</f>
        <v>6.8001303809999989</v>
      </c>
      <c r="R141">
        <f>[1]data!O142-'Urban population'!R141</f>
        <v>7.0238174000000022</v>
      </c>
      <c r="S141">
        <f>[1]data!P142-'Urban population'!S141</f>
        <v>7.1448056100000024</v>
      </c>
      <c r="T141">
        <f>[1]data!Q142-'Urban population'!T141</f>
        <v>7.0067409999999981</v>
      </c>
      <c r="U141">
        <f>[1]data!R142-'Urban population'!U141</f>
        <v>6.8705429199999983</v>
      </c>
      <c r="V141">
        <f>[1]data!S142-'Urban population'!V141</f>
        <v>6.8976768439999994</v>
      </c>
      <c r="W141">
        <f>[1]data!T142-'Urban population'!W141</f>
        <v>7.1805896750000038</v>
      </c>
      <c r="X141">
        <f>[1]data!U142-'Urban population'!X141</f>
        <v>7.0772330696600001</v>
      </c>
      <c r="Y141">
        <f>[1]data!V142-'Urban population'!Y141</f>
        <v>6.9501851493299966</v>
      </c>
      <c r="Z141">
        <f>[1]data!W142-'Urban population'!Z141</f>
        <v>6.7626727232399837</v>
      </c>
      <c r="AA141">
        <f>[1]data!X142-'Urban population'!AA141</f>
        <v>6.5170291845800001</v>
      </c>
      <c r="AB141">
        <f>[1]data!Y142-'Urban population'!AB141</f>
        <v>6.2300021004000001</v>
      </c>
      <c r="AC141">
        <f>[1]data!Z142-'Urban population'!AC141</f>
        <v>5.9114707055700038</v>
      </c>
      <c r="AD141">
        <f>[1]data!AA142-'Urban population'!AD141</f>
        <v>5.5733787972299993</v>
      </c>
      <c r="AE141">
        <f>[1]data!AB142-'Urban population'!AE141</f>
        <v>5.2230632719200045</v>
      </c>
      <c r="AF141">
        <f>[1]data!AC142-'Urban population'!AF141</f>
        <v>4.8667390777199984</v>
      </c>
      <c r="AG141">
        <f>[1]data!AD142-'Urban population'!AG141</f>
        <v>4.5118655971199857</v>
      </c>
      <c r="AH141">
        <f>[1]data!AE142-'Urban population'!AH141</f>
        <v>4.1634688941399958</v>
      </c>
      <c r="AI141">
        <f>[1]data!AF142-'Urban population'!AI141</f>
        <v>3.8263925308799998</v>
      </c>
      <c r="AJ141">
        <f>[1]data!AG142-'Urban population'!AJ141</f>
        <v>3.5047149859200033</v>
      </c>
      <c r="AK141">
        <f>[1]data!AH142-'Urban population'!AK141</f>
        <v>3.2020120794799993</v>
      </c>
      <c r="AL141">
        <f>[1]data!AI142-'Urban population'!AL141</f>
        <v>2.918313530639999</v>
      </c>
      <c r="AM141">
        <f>[1]data!AJ142-'Urban population'!AM141</f>
        <v>2.6536325629999951</v>
      </c>
    </row>
    <row r="142" spans="1:39" x14ac:dyDescent="0.25">
      <c r="A142" t="s">
        <v>30</v>
      </c>
      <c r="B142" t="s">
        <v>31</v>
      </c>
      <c r="C142" t="s">
        <v>173</v>
      </c>
      <c r="D142" t="str">
        <f>_xlfn.XLOOKUP(C142,'[5]Country Codes'!$A$2:$A$267,'[5]Country Codes'!$B$2:$B$267)</f>
        <v>PHL</v>
      </c>
      <c r="E142" t="str">
        <f>_xlfn.XLOOKUP(D142,[6]Feuil1!$C$2:$C$248,[6]Feuil1!$B$2:$B$248)</f>
        <v>PH</v>
      </c>
      <c r="F142" t="s">
        <v>33</v>
      </c>
      <c r="G142" t="str">
        <f>_xlfn.XLOOKUP(C142,'Urban population'!C142:C341,'Urban population'!G142:G341)</f>
        <v>Southeastern Asia</v>
      </c>
      <c r="H142" t="s">
        <v>34</v>
      </c>
      <c r="I142">
        <f>[1]data!F143-'Urban population'!I142</f>
        <v>13.167238824000002</v>
      </c>
      <c r="J142">
        <f>[1]data!G143-'Urban population'!J142</f>
        <v>16.052770052</v>
      </c>
      <c r="K142">
        <f>[1]data!H143-'Urban population'!K142</f>
        <v>19.550829090000001</v>
      </c>
      <c r="L142">
        <f>[1]data!I143-'Urban population'!L142</f>
        <v>22.132003319999999</v>
      </c>
      <c r="M142">
        <f>[1]data!J143-'Urban population'!M142</f>
        <v>24.751781189999999</v>
      </c>
      <c r="N142">
        <f>[1]data!K143-'Urban population'!N142</f>
        <v>26.966766483999997</v>
      </c>
      <c r="O142">
        <f>[1]data!L143-'Urban population'!O142</f>
        <v>29.866430000000001</v>
      </c>
      <c r="P142">
        <f>[1]data!M143-'Urban population'!P142</f>
        <v>31.305483985999999</v>
      </c>
      <c r="Q142">
        <f>[1]data!N143-'Urban population'!Q142</f>
        <v>32.233061410000005</v>
      </c>
      <c r="R142">
        <f>[1]data!O143-'Urban population'!R142</f>
        <v>36.548120381999993</v>
      </c>
      <c r="S142">
        <f>[1]data!P143-'Urban population'!S142</f>
        <v>41.568106888000003</v>
      </c>
      <c r="T142">
        <f>[1]data!Q143-'Urban population'!T142</f>
        <v>46.396068651</v>
      </c>
      <c r="U142">
        <f>[1]data!R143-'Urban population'!U142</f>
        <v>51.301422266000003</v>
      </c>
      <c r="V142">
        <f>[1]data!S143-'Urban population'!V142</f>
        <v>54.841401017999999</v>
      </c>
      <c r="W142">
        <f>[1]data!T143-'Urban population'!W142</f>
        <v>58.537290223999996</v>
      </c>
      <c r="X142">
        <f>[1]data!U143-'Urban population'!X142</f>
        <v>59.873431878529999</v>
      </c>
      <c r="Y142">
        <f>[1]data!V143-'Urban population'!Y142</f>
        <v>60.857874531300013</v>
      </c>
      <c r="Z142">
        <f>[1]data!W143-'Urban population'!Z142</f>
        <v>61.333276604860004</v>
      </c>
      <c r="AA142">
        <f>[1]data!X143-'Urban population'!AA142</f>
        <v>61.287935299899999</v>
      </c>
      <c r="AB142">
        <f>[1]data!Y143-'Urban population'!AB142</f>
        <v>60.787086630879998</v>
      </c>
      <c r="AC142">
        <f>[1]data!Z143-'Urban population'!AC142</f>
        <v>59.868356071160008</v>
      </c>
      <c r="AD142">
        <f>[1]data!AA143-'Urban population'!AD142</f>
        <v>58.553808121199992</v>
      </c>
      <c r="AE142">
        <f>[1]data!AB143-'Urban population'!AE142</f>
        <v>56.881783239119997</v>
      </c>
      <c r="AF142">
        <f>[1]data!AC143-'Urban population'!AF142</f>
        <v>55.030797234810009</v>
      </c>
      <c r="AG142">
        <f>[1]data!AD143-'Urban population'!AG142</f>
        <v>53.069764312239982</v>
      </c>
      <c r="AH142">
        <f>[1]data!AE143-'Urban population'!AH142</f>
        <v>51.005310517370006</v>
      </c>
      <c r="AI142">
        <f>[1]data!AF143-'Urban population'!AI142</f>
        <v>48.869729127749991</v>
      </c>
      <c r="AJ142">
        <f>[1]data!AG143-'Urban population'!AJ142</f>
        <v>46.63983501009001</v>
      </c>
      <c r="AK142">
        <f>[1]data!AH143-'Urban population'!AK142</f>
        <v>44.373186537940015</v>
      </c>
      <c r="AL142">
        <f>[1]data!AI143-'Urban population'!AL142</f>
        <v>42.130377256440013</v>
      </c>
      <c r="AM142">
        <f>[1]data!AJ143-'Urban population'!AM142</f>
        <v>39.959132187940014</v>
      </c>
    </row>
    <row r="143" spans="1:39" x14ac:dyDescent="0.25">
      <c r="A143" t="s">
        <v>30</v>
      </c>
      <c r="B143" t="s">
        <v>31</v>
      </c>
      <c r="C143" t="s">
        <v>174</v>
      </c>
      <c r="D143" t="str">
        <f>_xlfn.XLOOKUP(C143,'[5]Country Codes'!$A$2:$A$267,'[5]Country Codes'!$B$2:$B$267)</f>
        <v>PNG</v>
      </c>
      <c r="E143" t="str">
        <f>_xlfn.XLOOKUP(D143,[6]Feuil1!$C$2:$C$248,[6]Feuil1!$B$2:$B$248)</f>
        <v>PG</v>
      </c>
      <c r="F143" t="s">
        <v>33</v>
      </c>
      <c r="G143" t="str">
        <f>_xlfn.XLOOKUP(C143,'Urban population'!C143:C342,'Urban population'!G143:G342)</f>
        <v>Oceania</v>
      </c>
      <c r="H143" t="s">
        <v>34</v>
      </c>
      <c r="I143">
        <f>[1]data!F144-'Urban population'!I143</f>
        <v>1.501002663</v>
      </c>
      <c r="J143">
        <f>[1]data!G144-'Urban population'!J143</f>
        <v>1.66911225</v>
      </c>
      <c r="K143">
        <f>[1]data!H144-'Urban population'!K143</f>
        <v>1.886553594</v>
      </c>
      <c r="L143">
        <f>[1]data!I144-'Urban population'!L143</f>
        <v>2.0775343049999999</v>
      </c>
      <c r="M143">
        <f>[1]data!J144-'Urban population'!M143</f>
        <v>2.2183373079999997</v>
      </c>
      <c r="N143">
        <f>[1]data!K144-'Urban population'!N143</f>
        <v>2.4349721130000002</v>
      </c>
      <c r="O143">
        <f>[1]data!L144-'Urban population'!O143</f>
        <v>2.6736074400000001</v>
      </c>
      <c r="P143">
        <f>[1]data!M144-'Urban population'!P143</f>
        <v>2.9329603400000002</v>
      </c>
      <c r="Q143">
        <f>[1]data!N144-'Urban population'!Q143</f>
        <v>3.2372386</v>
      </c>
      <c r="R143">
        <f>[1]data!O144-'Urban population'!R143</f>
        <v>3.8937911650000001</v>
      </c>
      <c r="S143">
        <f>[1]data!P144-'Urban population'!S143</f>
        <v>4.6994813320000004</v>
      </c>
      <c r="T143">
        <f>[1]data!Q144-'Urban population'!T143</f>
        <v>5.5572828080000001</v>
      </c>
      <c r="U143">
        <f>[1]data!R144-'Urban population'!U143</f>
        <v>6.4989922199999999</v>
      </c>
      <c r="V143">
        <f>[1]data!S144-'Urban population'!V143</f>
        <v>7.4587709999999996</v>
      </c>
      <c r="W143">
        <f>[1]data!T144-'Urban population'!W143</f>
        <v>8.3655234719999996</v>
      </c>
      <c r="X143">
        <f>[1]data!U144-'Urban population'!X143</f>
        <v>9.0347878173000016</v>
      </c>
      <c r="Y143">
        <f>[1]data!V144-'Urban population'!Y143</f>
        <v>9.616130977000001</v>
      </c>
      <c r="Z143">
        <f>[1]data!W144-'Urban population'!Z143</f>
        <v>10.096063755280001</v>
      </c>
      <c r="AA143">
        <f>[1]data!X144-'Urban population'!AA143</f>
        <v>10.4710824237</v>
      </c>
      <c r="AB143">
        <f>[1]data!Y144-'Urban population'!AB143</f>
        <v>10.726388706390001</v>
      </c>
      <c r="AC143">
        <f>[1]data!Z144-'Urban population'!AC143</f>
        <v>10.859683673999999</v>
      </c>
      <c r="AD143">
        <f>[1]data!AA144-'Urban population'!AD143</f>
        <v>10.86227478688</v>
      </c>
      <c r="AE143">
        <f>[1]data!AB144-'Urban population'!AE143</f>
        <v>10.748972424749999</v>
      </c>
      <c r="AF143">
        <f>[1]data!AC144-'Urban population'!AF143</f>
        <v>10.51807230903</v>
      </c>
      <c r="AG143">
        <f>[1]data!AD144-'Urban population'!AG143</f>
        <v>10.2033904053</v>
      </c>
      <c r="AH143">
        <f>[1]data!AE144-'Urban population'!AH143</f>
        <v>9.8243734475600029</v>
      </c>
      <c r="AI143">
        <f>[1]data!AF144-'Urban population'!AI143</f>
        <v>9.3941578185000001</v>
      </c>
      <c r="AJ143">
        <f>[1]data!AG144-'Urban population'!AJ143</f>
        <v>8.9176715074199997</v>
      </c>
      <c r="AK143">
        <f>[1]data!AH144-'Urban population'!AK143</f>
        <v>8.407956829799998</v>
      </c>
      <c r="AL143">
        <f>[1]data!AI144-'Urban population'!AL143</f>
        <v>7.8775218072000008</v>
      </c>
      <c r="AM143">
        <f>[1]data!AJ144-'Urban population'!AM143</f>
        <v>7.341159253439999</v>
      </c>
    </row>
    <row r="144" spans="1:39" x14ac:dyDescent="0.25">
      <c r="A144" t="s">
        <v>30</v>
      </c>
      <c r="B144" t="s">
        <v>31</v>
      </c>
      <c r="C144" t="s">
        <v>175</v>
      </c>
      <c r="D144" t="str">
        <f>_xlfn.XLOOKUP(C144,'[5]Country Codes'!$A$2:$A$267,'[5]Country Codes'!$B$2:$B$267)</f>
        <v>POL</v>
      </c>
      <c r="E144" t="str">
        <f>_xlfn.XLOOKUP(D144,[6]Feuil1!$C$2:$C$248,[6]Feuil1!$B$2:$B$248)</f>
        <v>PL</v>
      </c>
      <c r="F144" t="s">
        <v>33</v>
      </c>
      <c r="G144" t="str">
        <f>_xlfn.XLOOKUP(C144,'Urban population'!C144:C343,'Urban population'!G144:G343)</f>
        <v>Central Europe</v>
      </c>
      <c r="H144" t="s">
        <v>34</v>
      </c>
      <c r="I144">
        <f>[1]data!F145-'Urban population'!I144</f>
        <v>15.155738732000001</v>
      </c>
      <c r="J144">
        <f>[1]data!G145-'Urban population'!J144</f>
        <v>15.255227559999998</v>
      </c>
      <c r="K144">
        <f>[1]data!H145-'Urban population'!K144</f>
        <v>15.263728143000002</v>
      </c>
      <c r="L144">
        <f>[1]data!I145-'Urban population'!L144</f>
        <v>15.508574192999999</v>
      </c>
      <c r="M144">
        <f>[1]data!J145-'Urban population'!M144</f>
        <v>15.510734189000001</v>
      </c>
      <c r="N144">
        <f>[1]data!K145-'Urban population'!N144</f>
        <v>15.081356691</v>
      </c>
      <c r="O144">
        <f>[1]data!L145-'Urban population'!O144</f>
        <v>14.815653126000001</v>
      </c>
      <c r="P144">
        <f>[1]data!M145-'Urban population'!P144</f>
        <v>14.852735641000002</v>
      </c>
      <c r="Q144">
        <f>[1]data!N145-'Urban population'!Q144</f>
        <v>14.709165273</v>
      </c>
      <c r="R144">
        <f>[1]data!O145-'Urban population'!R144</f>
        <v>14.784941325000002</v>
      </c>
      <c r="S144">
        <f>[1]data!P145-'Urban population'!S144</f>
        <v>14.684558572</v>
      </c>
      <c r="T144">
        <f>[1]data!Q145-'Urban population'!T144</f>
        <v>14.855698165</v>
      </c>
      <c r="U144">
        <f>[1]data!R145-'Urban population'!U144</f>
        <v>15.084695935000003</v>
      </c>
      <c r="V144">
        <f>[1]data!S145-'Urban population'!V144</f>
        <v>15.313883558000004</v>
      </c>
      <c r="W144">
        <f>[1]data!T145-'Urban population'!W144</f>
        <v>15.3911844</v>
      </c>
      <c r="X144">
        <f>[1]data!U145-'Urban population'!X144</f>
        <v>14.994045384220001</v>
      </c>
      <c r="Y144">
        <f>[1]data!V145-'Urban population'!Y144</f>
        <v>14.106182417599999</v>
      </c>
      <c r="Z144">
        <f>[1]data!W145-'Urban population'!Z144</f>
        <v>13.249269065360004</v>
      </c>
      <c r="AA144">
        <f>[1]data!X145-'Urban population'!AA144</f>
        <v>12.44150215386</v>
      </c>
      <c r="AB144">
        <f>[1]data!Y145-'Urban population'!AB144</f>
        <v>11.684753696210002</v>
      </c>
      <c r="AC144">
        <f>[1]data!Z145-'Urban population'!AC144</f>
        <v>10.98871539768</v>
      </c>
      <c r="AD144">
        <f>[1]data!AA145-'Urban population'!AD144</f>
        <v>10.321224002939999</v>
      </c>
      <c r="AE144">
        <f>[1]data!AB145-'Urban population'!AE144</f>
        <v>9.6792664453099988</v>
      </c>
      <c r="AF144">
        <f>[1]data!AC145-'Urban population'!AF144</f>
        <v>9.0573366896999978</v>
      </c>
      <c r="AG144">
        <f>[1]data!AD145-'Urban population'!AG144</f>
        <v>8.4536391333999994</v>
      </c>
      <c r="AH144">
        <f>[1]data!AE145-'Urban population'!AH144</f>
        <v>7.8749371827200036</v>
      </c>
      <c r="AI144">
        <f>[1]data!AF145-'Urban population'!AI144</f>
        <v>7.3347041426399997</v>
      </c>
      <c r="AJ144">
        <f>[1]data!AG145-'Urban population'!AJ144</f>
        <v>6.8426235309800028</v>
      </c>
      <c r="AK144">
        <f>[1]data!AH145-'Urban population'!AK144</f>
        <v>6.4023820285199982</v>
      </c>
      <c r="AL144">
        <f>[1]data!AI145-'Urban population'!AL144</f>
        <v>6.0086025839399966</v>
      </c>
      <c r="AM144">
        <f>[1]data!AJ145-'Urban population'!AM144</f>
        <v>5.6514199386000001</v>
      </c>
    </row>
    <row r="145" spans="1:39" x14ac:dyDescent="0.25">
      <c r="A145" t="s">
        <v>30</v>
      </c>
      <c r="B145" t="s">
        <v>31</v>
      </c>
      <c r="C145" t="s">
        <v>176</v>
      </c>
      <c r="D145" t="str">
        <f>_xlfn.XLOOKUP(C145,'[5]Country Codes'!$A$2:$A$267,'[5]Country Codes'!$B$2:$B$267)</f>
        <v>PRI</v>
      </c>
      <c r="E145" t="str">
        <f>_xlfn.XLOOKUP(D145,[6]Feuil1!$C$2:$C$248,[6]Feuil1!$B$2:$B$248)</f>
        <v>PR</v>
      </c>
      <c r="F145" t="s">
        <v>33</v>
      </c>
      <c r="G145" t="str">
        <f>_xlfn.XLOOKUP(C145,'Urban population'!C145:C344,'Urban population'!G145:G344)</f>
        <v>USA</v>
      </c>
      <c r="H145" t="s">
        <v>34</v>
      </c>
      <c r="I145">
        <f>[1]data!F146-'Urban population'!I145</f>
        <v>1.318321224</v>
      </c>
      <c r="J145">
        <f>[1]data!G146-'Urban population'!J145</f>
        <v>1.327159296</v>
      </c>
      <c r="K145">
        <f>[1]data!H146-'Urban population'!K145</f>
        <v>1.302780915</v>
      </c>
      <c r="L145">
        <f>[1]data!I146-'Urban population'!L145</f>
        <v>1.23456459</v>
      </c>
      <c r="M145">
        <f>[1]data!J146-'Urban population'!M145</f>
        <v>1.1328572280000002</v>
      </c>
      <c r="N145">
        <f>[1]data!K146-'Urban population'!N145</f>
        <v>1.096744164</v>
      </c>
      <c r="O145">
        <f>[1]data!L146-'Urban population'!O145</f>
        <v>1.0275673660000004</v>
      </c>
      <c r="P145">
        <f>[1]data!M146-'Urban population'!P145</f>
        <v>0.53243661200000014</v>
      </c>
      <c r="Q145">
        <f>[1]data!N146-'Urban population'!Q145</f>
        <v>0.25039349899999985</v>
      </c>
      <c r="R145">
        <f>[1]data!O146-'Urban population'!R145</f>
        <v>0.23251435199999992</v>
      </c>
      <c r="S145">
        <f>[1]data!P146-'Urban population'!S145</f>
        <v>0.21405182399999978</v>
      </c>
      <c r="T145">
        <f>[1]data!Q146-'Urban population'!T145</f>
        <v>0.22490593500000022</v>
      </c>
      <c r="U145">
        <f>[1]data!R146-'Urban population'!U145</f>
        <v>0.23123241000000005</v>
      </c>
      <c r="V145">
        <f>[1]data!S146-'Urban population'!V145</f>
        <v>0.22585740799999998</v>
      </c>
      <c r="W145">
        <f>[1]data!T146-'Urban population'!W145</f>
        <v>0.20993401600000006</v>
      </c>
      <c r="X145">
        <f>[1]data!U146-'Urban population'!X145</f>
        <v>0.18096778837999983</v>
      </c>
      <c r="Y145">
        <f>[1]data!V146-'Urban population'!Y145</f>
        <v>0.15710226047999987</v>
      </c>
      <c r="Z145">
        <f>[1]data!W146-'Urban population'!Z145</f>
        <v>0.13699707644000014</v>
      </c>
      <c r="AA145">
        <f>[1]data!X146-'Urban population'!AA145</f>
        <v>0.12000282888000013</v>
      </c>
      <c r="AB145">
        <f>[1]data!Y146-'Urban population'!AB145</f>
        <v>0.10554568371000039</v>
      </c>
      <c r="AC145">
        <f>[1]data!Z146-'Urban population'!AC145</f>
        <v>9.3439296799999738E-2</v>
      </c>
      <c r="AD145">
        <f>[1]data!AA146-'Urban population'!AD145</f>
        <v>8.3109576419999609E-2</v>
      </c>
      <c r="AE145">
        <f>[1]data!AB146-'Urban population'!AE145</f>
        <v>7.4394861730000095E-2</v>
      </c>
      <c r="AF145">
        <f>[1]data!AC146-'Urban population'!AF145</f>
        <v>6.7080962999999993E-2</v>
      </c>
      <c r="AG145">
        <f>[1]data!AD146-'Urban population'!AG145</f>
        <v>6.091097025000014E-2</v>
      </c>
      <c r="AH145">
        <f>[1]data!AE146-'Urban population'!AH145</f>
        <v>5.5625589499999961E-2</v>
      </c>
      <c r="AI145">
        <f>[1]data!AF146-'Urban population'!AI145</f>
        <v>5.102360064E-2</v>
      </c>
      <c r="AJ145">
        <f>[1]data!AG146-'Urban population'!AJ145</f>
        <v>4.694530735999991E-2</v>
      </c>
      <c r="AK145">
        <f>[1]data!AH146-'Urban population'!AK145</f>
        <v>4.3269262799999986E-2</v>
      </c>
      <c r="AL145">
        <f>[1]data!AI146-'Urban population'!AL145</f>
        <v>3.9929619750000089E-2</v>
      </c>
      <c r="AM145">
        <f>[1]data!AJ146-'Urban population'!AM145</f>
        <v>3.6840253599999873E-2</v>
      </c>
    </row>
    <row r="146" spans="1:39" x14ac:dyDescent="0.25">
      <c r="A146" t="s">
        <v>30</v>
      </c>
      <c r="B146" t="s">
        <v>31</v>
      </c>
      <c r="C146" t="s">
        <v>177</v>
      </c>
      <c r="D146" t="s">
        <v>266</v>
      </c>
      <c r="E146" t="str">
        <f>_xlfn.XLOOKUP(D146,[6]Feuil1!$C$2:$C$248,[6]Feuil1!$B$2:$B$248)</f>
        <v>KP</v>
      </c>
      <c r="F146" t="s">
        <v>33</v>
      </c>
      <c r="G146" t="str">
        <f>_xlfn.XLOOKUP(C146,'Urban population'!C146:C345,'Urban population'!G146:G345)</f>
        <v>Korea region</v>
      </c>
      <c r="H146" t="s">
        <v>34</v>
      </c>
      <c r="I146">
        <f>[1]data!F147-'Urban population'!I146</f>
        <v>7.8623726700000001</v>
      </c>
      <c r="J146">
        <f>[1]data!G147-'Urban population'!J146</f>
        <v>6.6238210500000001</v>
      </c>
      <c r="K146">
        <f>[1]data!H147-'Urban population'!K146</f>
        <v>6.8889199340000005</v>
      </c>
      <c r="L146">
        <f>[1]data!I147-'Urban population'!L146</f>
        <v>7.1062312950000006</v>
      </c>
      <c r="M146">
        <f>[1]data!J147-'Urban population'!M146</f>
        <v>6.778863037999999</v>
      </c>
      <c r="N146">
        <f>[1]data!K147-'Urban population'!N146</f>
        <v>7.180864205999999</v>
      </c>
      <c r="O146">
        <f>[1]data!L147-'Urban population'!O146</f>
        <v>7.6912445650000016</v>
      </c>
      <c r="P146">
        <f>[1]data!M147-'Urban population'!P146</f>
        <v>8.1338192639999995</v>
      </c>
      <c r="Q146">
        <f>[1]data!N147-'Urban population'!Q146</f>
        <v>8.5879672320000005</v>
      </c>
      <c r="R146">
        <f>[1]data!O147-'Urban population'!R146</f>
        <v>9.12997266</v>
      </c>
      <c r="S146">
        <f>[1]data!P147-'Urban population'!S146</f>
        <v>9.4559921259999999</v>
      </c>
      <c r="T146">
        <f>[1]data!Q147-'Urban population'!T146</f>
        <v>9.6599482440000024</v>
      </c>
      <c r="U146">
        <f>[1]data!R147-'Urban population'!U146</f>
        <v>9.7569077760000003</v>
      </c>
      <c r="V146">
        <f>[1]data!S147-'Urban population'!V146</f>
        <v>9.7488396000000002</v>
      </c>
      <c r="W146">
        <f>[1]data!T147-'Urban population'!W146</f>
        <v>9.7057774880000025</v>
      </c>
      <c r="X146">
        <f>[1]data!U147-'Urban population'!X146</f>
        <v>9.5711206483200009</v>
      </c>
      <c r="Y146">
        <f>[1]data!V147-'Urban population'!Y146</f>
        <v>9.2673535477499982</v>
      </c>
      <c r="Z146">
        <f>[1]data!W147-'Urban population'!Z146</f>
        <v>8.8680366770099965</v>
      </c>
      <c r="AA146">
        <f>[1]data!X147-'Urban population'!AA146</f>
        <v>8.4316645880599985</v>
      </c>
      <c r="AB146">
        <f>[1]data!Y147-'Urban population'!AB146</f>
        <v>7.9758552513599987</v>
      </c>
      <c r="AC146">
        <f>[1]data!Z147-'Urban population'!AC146</f>
        <v>7.5200098603199983</v>
      </c>
      <c r="AD146">
        <f>[1]data!AA147-'Urban population'!AD146</f>
        <v>7.0621300047199966</v>
      </c>
      <c r="AE146">
        <f>[1]data!AB147-'Urban population'!AE146</f>
        <v>6.5871575916800005</v>
      </c>
      <c r="AF146">
        <f>[1]data!AC147-'Urban population'!AF146</f>
        <v>6.1078782316999991</v>
      </c>
      <c r="AG146">
        <f>[1]data!AD147-'Urban population'!AG146</f>
        <v>5.6509050680000037</v>
      </c>
      <c r="AH146">
        <f>[1]data!AE147-'Urban population'!AH146</f>
        <v>5.2224216372000001</v>
      </c>
      <c r="AI146">
        <f>[1]data!AF147-'Urban population'!AI146</f>
        <v>4.8209839831999979</v>
      </c>
      <c r="AJ146">
        <f>[1]data!AG147-'Urban population'!AJ146</f>
        <v>4.4408171203800002</v>
      </c>
      <c r="AK146">
        <f>[1]data!AH147-'Urban population'!AK146</f>
        <v>4.0765955709000004</v>
      </c>
      <c r="AL146">
        <f>[1]data!AI147-'Urban population'!AL146</f>
        <v>3.7285272012999986</v>
      </c>
      <c r="AM146">
        <f>[1]data!AJ147-'Urban population'!AM146</f>
        <v>3.4038172559999982</v>
      </c>
    </row>
    <row r="147" spans="1:39" x14ac:dyDescent="0.25">
      <c r="A147" t="s">
        <v>30</v>
      </c>
      <c r="B147" t="s">
        <v>31</v>
      </c>
      <c r="C147" t="s">
        <v>178</v>
      </c>
      <c r="D147" t="str">
        <f>_xlfn.XLOOKUP(C147,'[5]Country Codes'!$A$2:$A$267,'[5]Country Codes'!$B$2:$B$267)</f>
        <v>PRT</v>
      </c>
      <c r="E147" t="str">
        <f>_xlfn.XLOOKUP(D147,[6]Feuil1!$C$2:$C$248,[6]Feuil1!$B$2:$B$248)</f>
        <v>PT</v>
      </c>
      <c r="F147" t="s">
        <v>33</v>
      </c>
      <c r="G147" t="str">
        <f>_xlfn.XLOOKUP(C147,'Urban population'!C147:C346,'Urban population'!G147:G346)</f>
        <v>Western Europe</v>
      </c>
      <c r="H147" t="s">
        <v>34</v>
      </c>
      <c r="I147">
        <f>[1]data!F148-'Urban population'!I147</f>
        <v>5.7698136160000004</v>
      </c>
      <c r="J147">
        <f>[1]data!G148-'Urban population'!J147</f>
        <v>5.7895926100000015</v>
      </c>
      <c r="K147">
        <f>[1]data!H148-'Urban population'!K147</f>
        <v>5.7672445999999997</v>
      </c>
      <c r="L147">
        <f>[1]data!I148-'Urban population'!L147</f>
        <v>5.6190600479999997</v>
      </c>
      <c r="M147">
        <f>[1]data!J148-'Urban population'!M147</f>
        <v>5.3464381200000002</v>
      </c>
      <c r="N147">
        <f>[1]data!K148-'Urban population'!N147</f>
        <v>5.4109007199999999</v>
      </c>
      <c r="O147">
        <f>[1]data!L148-'Urban population'!O147</f>
        <v>5.5706056119999996</v>
      </c>
      <c r="P147">
        <f>[1]data!M148-'Urban population'!P147</f>
        <v>5.4639944870000008</v>
      </c>
      <c r="Q147">
        <f>[1]data!N148-'Urban population'!Q147</f>
        <v>5.2189231670000007</v>
      </c>
      <c r="R147">
        <f>[1]data!O148-'Urban population'!R147</f>
        <v>4.9067355360000002</v>
      </c>
      <c r="S147">
        <f>[1]data!P148-'Urban population'!S147</f>
        <v>4.679466527999999</v>
      </c>
      <c r="T147">
        <f>[1]data!Q148-'Urban population'!T147</f>
        <v>4.4683688250000007</v>
      </c>
      <c r="U147">
        <f>[1]data!R148-'Urban population'!U147</f>
        <v>4.175136836000001</v>
      </c>
      <c r="V147">
        <f>[1]data!S148-'Urban population'!V147</f>
        <v>3.7895037299999998</v>
      </c>
      <c r="W147">
        <f>[1]data!T148-'Urban population'!W147</f>
        <v>3.4705611370000007</v>
      </c>
      <c r="X147">
        <f>[1]data!U148-'Urban population'!X147</f>
        <v>3.2968856171599992</v>
      </c>
      <c r="Y147">
        <f>[1]data!V148-'Urban population'!Y147</f>
        <v>3.1202191591199995</v>
      </c>
      <c r="Z147">
        <f>[1]data!W148-'Urban population'!Z147</f>
        <v>2.9545744602500026</v>
      </c>
      <c r="AA147">
        <f>[1]data!X148-'Urban population'!AA147</f>
        <v>2.7964399837400009</v>
      </c>
      <c r="AB147">
        <f>[1]data!Y148-'Urban population'!AB147</f>
        <v>2.6437619159999999</v>
      </c>
      <c r="AC147">
        <f>[1]data!Z148-'Urban population'!AC147</f>
        <v>2.4962624466499994</v>
      </c>
      <c r="AD147">
        <f>[1]data!AA148-'Urban population'!AD147</f>
        <v>2.3516341386100033</v>
      </c>
      <c r="AE147">
        <f>[1]data!AB148-'Urban population'!AE147</f>
        <v>2.2111231086000034</v>
      </c>
      <c r="AF147">
        <f>[1]data!AC148-'Urban population'!AF147</f>
        <v>2.0744699163299991</v>
      </c>
      <c r="AG147">
        <f>[1]data!AD148-'Urban population'!AG147</f>
        <v>1.9438234816</v>
      </c>
      <c r="AH147">
        <f>[1]data!AE148-'Urban population'!AH147</f>
        <v>1.8212447458500032</v>
      </c>
      <c r="AI147">
        <f>[1]data!AF148-'Urban population'!AI147</f>
        <v>1.7079832368000005</v>
      </c>
      <c r="AJ147">
        <f>[1]data!AG148-'Urban population'!AJ147</f>
        <v>1.6030557097099987</v>
      </c>
      <c r="AK147">
        <f>[1]data!AH148-'Urban population'!AK147</f>
        <v>1.5033544849799982</v>
      </c>
      <c r="AL147">
        <f>[1]data!AI148-'Urban population'!AL147</f>
        <v>1.4062503691200003</v>
      </c>
      <c r="AM147">
        <f>[1]data!AJ148-'Urban population'!AM147</f>
        <v>1.3111596160600012</v>
      </c>
    </row>
    <row r="148" spans="1:39" x14ac:dyDescent="0.25">
      <c r="A148" t="s">
        <v>30</v>
      </c>
      <c r="B148" t="s">
        <v>31</v>
      </c>
      <c r="C148" t="s">
        <v>179</v>
      </c>
      <c r="D148" t="str">
        <f>_xlfn.XLOOKUP(C148,'[5]Country Codes'!$A$2:$A$267,'[5]Country Codes'!$B$2:$B$267)</f>
        <v>PRY</v>
      </c>
      <c r="E148" t="str">
        <f>_xlfn.XLOOKUP(D148,[6]Feuil1!$C$2:$C$248,[6]Feuil1!$B$2:$B$248)</f>
        <v>PY</v>
      </c>
      <c r="F148" t="s">
        <v>33</v>
      </c>
      <c r="G148" t="str">
        <f>_xlfn.XLOOKUP(C148,'Urban population'!C148:C347,'Urban population'!G148:G347)</f>
        <v>Rest of South America</v>
      </c>
      <c r="H148" t="s">
        <v>34</v>
      </c>
      <c r="I148">
        <f>[1]data!F149-'Urban population'!I148</f>
        <v>0.97303885800000001</v>
      </c>
      <c r="J148">
        <f>[1]data!G149-'Urban population'!J148</f>
        <v>1.0815111229999999</v>
      </c>
      <c r="K148">
        <f>[1]data!H149-'Urban population'!K148</f>
        <v>1.2056214519999999</v>
      </c>
      <c r="L148">
        <f>[1]data!I149-'Urban population'!L148</f>
        <v>1.3505235040000001</v>
      </c>
      <c r="M148">
        <f>[1]data!J149-'Urban population'!M148</f>
        <v>1.4981672960000001</v>
      </c>
      <c r="N148">
        <f>[1]data!K149-'Urban population'!N148</f>
        <v>1.6354447699999999</v>
      </c>
      <c r="O148">
        <f>[1]data!L149-'Urban population'!O148</f>
        <v>1.771138259</v>
      </c>
      <c r="P148">
        <f>[1]data!M149-'Urban population'!P148</f>
        <v>1.9172131000000001</v>
      </c>
      <c r="Q148">
        <f>[1]data!N149-'Urban population'!Q148</f>
        <v>2.0545152389999997</v>
      </c>
      <c r="R148">
        <f>[1]data!O149-'Urban population'!R148</f>
        <v>2.1793527629999998</v>
      </c>
      <c r="S148">
        <f>[1]data!P149-'Urban population'!S148</f>
        <v>2.2691807490000002</v>
      </c>
      <c r="T148">
        <f>[1]data!Q149-'Urban population'!T148</f>
        <v>2.3096352719999995</v>
      </c>
      <c r="U148">
        <f>[1]data!R149-'Urban population'!U148</f>
        <v>2.3330440650000006</v>
      </c>
      <c r="V148">
        <f>[1]data!S149-'Urban population'!V148</f>
        <v>2.4044633200000001</v>
      </c>
      <c r="W148">
        <f>[1]data!T149-'Urban population'!W148</f>
        <v>2.4846076080000001</v>
      </c>
      <c r="X148">
        <f>[1]data!U149-'Urban population'!X148</f>
        <v>2.5275866652500003</v>
      </c>
      <c r="Y148">
        <f>[1]data!V149-'Urban population'!Y148</f>
        <v>2.5547436907500032</v>
      </c>
      <c r="Z148">
        <f>[1]data!W149-'Urban population'!Z148</f>
        <v>2.5506259990200002</v>
      </c>
      <c r="AA148">
        <f>[1]data!X149-'Urban population'!AA148</f>
        <v>2.5227368776799999</v>
      </c>
      <c r="AB148">
        <f>[1]data!Y149-'Urban population'!AB148</f>
        <v>2.4701017517700041</v>
      </c>
      <c r="AC148">
        <f>[1]data!Z149-'Urban population'!AC148</f>
        <v>2.3977709201100001</v>
      </c>
      <c r="AD148">
        <f>[1]data!AA149-'Urban population'!AD148</f>
        <v>2.3064810650699998</v>
      </c>
      <c r="AE148">
        <f>[1]data!AB149-'Urban population'!AE148</f>
        <v>2.2021600037000004</v>
      </c>
      <c r="AF148">
        <f>[1]data!AC149-'Urban population'!AF148</f>
        <v>2.0911376898000027</v>
      </c>
      <c r="AG148">
        <f>[1]data!AD149-'Urban population'!AG148</f>
        <v>1.9752103953600004</v>
      </c>
      <c r="AH148">
        <f>[1]data!AE149-'Urban population'!AH148</f>
        <v>1.85588470206</v>
      </c>
      <c r="AI148">
        <f>[1]data!AF149-'Urban population'!AI148</f>
        <v>1.7340723596000007</v>
      </c>
      <c r="AJ148">
        <f>[1]data!AG149-'Urban population'!AJ148</f>
        <v>1.6131237015600002</v>
      </c>
      <c r="AK148">
        <f>[1]data!AH149-'Urban population'!AK148</f>
        <v>1.4951056648500014</v>
      </c>
      <c r="AL148">
        <f>[1]data!AI149-'Urban population'!AL148</f>
        <v>1.3825417405799998</v>
      </c>
      <c r="AM148">
        <f>[1]data!AJ149-'Urban population'!AM148</f>
        <v>1.2755163486000001</v>
      </c>
    </row>
    <row r="149" spans="1:39" x14ac:dyDescent="0.25">
      <c r="A149" t="s">
        <v>30</v>
      </c>
      <c r="B149" t="s">
        <v>31</v>
      </c>
      <c r="C149" t="s">
        <v>180</v>
      </c>
      <c r="D149" t="s">
        <v>269</v>
      </c>
      <c r="E149" t="str">
        <f>_xlfn.XLOOKUP(D149,[6]Feuil1!$C$2:$C$248,[6]Feuil1!$B$2:$B$248)</f>
        <v>PS</v>
      </c>
      <c r="F149" t="s">
        <v>33</v>
      </c>
      <c r="G149" t="str">
        <f>_xlfn.XLOOKUP(C149,'Urban population'!C149:C348,'Urban population'!G149:G348)</f>
        <v>Middle East</v>
      </c>
      <c r="H149" t="s">
        <v>34</v>
      </c>
      <c r="I149">
        <f>[1]data!F150-'Urban population'!I149</f>
        <v>0.58983833699999999</v>
      </c>
      <c r="J149">
        <f>[1]data!G150-'Urban population'!J149</f>
        <v>0.58846273199999999</v>
      </c>
      <c r="K149">
        <f>[1]data!H150-'Urban population'!K149</f>
        <v>0.59642464000000006</v>
      </c>
      <c r="L149">
        <f>[1]data!I150-'Urban population'!L149</f>
        <v>0.58571842000000007</v>
      </c>
      <c r="M149">
        <f>[1]data!J150-'Urban population'!M149</f>
        <v>0.50864328500000011</v>
      </c>
      <c r="N149">
        <f>[1]data!K150-'Urban population'!N149</f>
        <v>0.50290485600000012</v>
      </c>
      <c r="O149">
        <f>[1]data!L150-'Urban population'!O149</f>
        <v>0.53859142399999993</v>
      </c>
      <c r="P149">
        <f>[1]data!M150-'Urban population'!P149</f>
        <v>0.59751452400000016</v>
      </c>
      <c r="Q149">
        <f>[1]data!N150-'Urban population'!Q149</f>
        <v>0.67227314299999996</v>
      </c>
      <c r="R149">
        <f>[1]data!O150-'Urban population'!R149</f>
        <v>0.76537366399999973</v>
      </c>
      <c r="S149">
        <f>[1]data!P150-'Urban population'!S149</f>
        <v>0.86561524000000034</v>
      </c>
      <c r="T149">
        <f>[1]data!Q150-'Urban population'!T149</f>
        <v>0.94126059000000017</v>
      </c>
      <c r="U149">
        <f>[1]data!R150-'Urban population'!U149</f>
        <v>1.0217174450000002</v>
      </c>
      <c r="V149">
        <f>[1]data!S150-'Urban population'!V149</f>
        <v>1.08975417</v>
      </c>
      <c r="W149">
        <f>[1]data!T150-'Urban population'!W149</f>
        <v>1.1561422719999999</v>
      </c>
      <c r="X149">
        <f>[1]data!U150-'Urban population'!X149</f>
        <v>1.1995635286600006</v>
      </c>
      <c r="Y149">
        <f>[1]data!V150-'Urban population'!Y149</f>
        <v>1.2291850999999996</v>
      </c>
      <c r="Z149">
        <f>[1]data!W150-'Urban population'!Z149</f>
        <v>1.2442717420400005</v>
      </c>
      <c r="AA149">
        <f>[1]data!X150-'Urban population'!AA149</f>
        <v>1.2459264806600006</v>
      </c>
      <c r="AB149">
        <f>[1]data!Y150-'Urban population'!AB149</f>
        <v>1.2354616514599996</v>
      </c>
      <c r="AC149">
        <f>[1]data!Z150-'Urban population'!AC149</f>
        <v>1.2147186313800002</v>
      </c>
      <c r="AD149">
        <f>[1]data!AA150-'Urban population'!AD149</f>
        <v>1.182362073500002</v>
      </c>
      <c r="AE149">
        <f>[1]data!AB150-'Urban population'!AE149</f>
        <v>1.1407072610700002</v>
      </c>
      <c r="AF149">
        <f>[1]data!AC150-'Urban population'!AF149</f>
        <v>1.0928033487599986</v>
      </c>
      <c r="AG149">
        <f>[1]data!AD150-'Urban population'!AG149</f>
        <v>1.0408843811100006</v>
      </c>
      <c r="AH149">
        <f>[1]data!AE150-'Urban population'!AH149</f>
        <v>0.98799806553999936</v>
      </c>
      <c r="AI149">
        <f>[1]data!AF150-'Urban population'!AI149</f>
        <v>0.93549567902999975</v>
      </c>
      <c r="AJ149">
        <f>[1]data!AG150-'Urban population'!AJ149</f>
        <v>0.88343957029999842</v>
      </c>
      <c r="AK149">
        <f>[1]data!AH150-'Urban population'!AK149</f>
        <v>0.83284403439999899</v>
      </c>
      <c r="AL149">
        <f>[1]data!AI150-'Urban population'!AL149</f>
        <v>0.78352461403999918</v>
      </c>
      <c r="AM149">
        <f>[1]data!AJ150-'Urban population'!AM149</f>
        <v>0.73601261789000105</v>
      </c>
    </row>
    <row r="150" spans="1:39" x14ac:dyDescent="0.25">
      <c r="A150" t="s">
        <v>30</v>
      </c>
      <c r="B150" t="s">
        <v>31</v>
      </c>
      <c r="C150" t="s">
        <v>181</v>
      </c>
      <c r="D150" t="str">
        <f>_xlfn.XLOOKUP(C150,'[5]Country Codes'!$A$2:$A$267,'[5]Country Codes'!$B$2:$B$267)</f>
        <v>PYF</v>
      </c>
      <c r="E150" t="str">
        <f>_xlfn.XLOOKUP(D150,[6]Feuil1!$C$2:$C$248,[6]Feuil1!$B$2:$B$248)</f>
        <v>PF</v>
      </c>
      <c r="F150" t="s">
        <v>33</v>
      </c>
      <c r="G150" t="str">
        <f>_xlfn.XLOOKUP(C150,'Urban population'!C150:C349,'Urban population'!G150:G349)</f>
        <v>Oceania</v>
      </c>
      <c r="H150" t="s">
        <v>34</v>
      </c>
      <c r="I150">
        <f>[1]data!F151-'Urban population'!I150</f>
        <v>4.2415863999999998E-2</v>
      </c>
      <c r="J150">
        <f>[1]data!G151-'Urban population'!J150</f>
        <v>4.5680229000000003E-2</v>
      </c>
      <c r="K150">
        <f>[1]data!H151-'Urban population'!K150</f>
        <v>4.8371641000000007E-2</v>
      </c>
      <c r="L150">
        <f>[1]data!I151-'Urban population'!L150</f>
        <v>5.0194717999999999E-2</v>
      </c>
      <c r="M150">
        <f>[1]data!J151-'Urban population'!M150</f>
        <v>5.1886911999999993E-2</v>
      </c>
      <c r="N150">
        <f>[1]data!K151-'Urban population'!N150</f>
        <v>5.7376281000000001E-2</v>
      </c>
      <c r="O150">
        <f>[1]data!L151-'Urban population'!O150</f>
        <v>6.6014509999999998E-2</v>
      </c>
      <c r="P150">
        <f>[1]data!M151-'Urban population'!P150</f>
        <v>7.6706748000000005E-2</v>
      </c>
      <c r="Q150">
        <f>[1]data!N151-'Urban population'!Q150</f>
        <v>8.7928376000000003E-2</v>
      </c>
      <c r="R150">
        <f>[1]data!O151-'Urban population'!R150</f>
        <v>9.9652041999999996E-2</v>
      </c>
      <c r="S150">
        <f>[1]data!P151-'Urban population'!S150</f>
        <v>0.10949444</v>
      </c>
      <c r="T150">
        <f>[1]data!Q151-'Urban population'!T150</f>
        <v>0.11463617400000001</v>
      </c>
      <c r="U150">
        <f>[1]data!R151-'Urban population'!U150</f>
        <v>0.112359337</v>
      </c>
      <c r="V150">
        <f>[1]data!S151-'Urban population'!V150</f>
        <v>0.111404742</v>
      </c>
      <c r="W150">
        <f>[1]data!T151-'Urban population'!W150</f>
        <v>0.38365712000000007</v>
      </c>
      <c r="X150">
        <f>[1]data!U151-'Urban population'!X150</f>
        <v>0.37932829480999997</v>
      </c>
      <c r="Y150">
        <f>[1]data!V151-'Urban population'!Y150</f>
        <v>0.3725946616200001</v>
      </c>
      <c r="Z150">
        <f>[1]data!W151-'Urban population'!Z150</f>
        <v>0.36322033607999993</v>
      </c>
      <c r="AA150">
        <f>[1]data!X151-'Urban population'!AA150</f>
        <v>0.35160483000000009</v>
      </c>
      <c r="AB150">
        <f>[1]data!Y151-'Urban population'!AB150</f>
        <v>0.3378799722200001</v>
      </c>
      <c r="AC150">
        <f>[1]data!Z151-'Urban population'!AC150</f>
        <v>0.3222807135800001</v>
      </c>
      <c r="AD150">
        <f>[1]data!AA151-'Urban population'!AD150</f>
        <v>0.30481369911</v>
      </c>
      <c r="AE150">
        <f>[1]data!AB151-'Urban population'!AE150</f>
        <v>0.28633043183999962</v>
      </c>
      <c r="AF150">
        <f>[1]data!AC151-'Urban population'!AF150</f>
        <v>0.26834545466000004</v>
      </c>
      <c r="AG150">
        <f>[1]data!AD151-'Urban population'!AG150</f>
        <v>0.25116513344999991</v>
      </c>
      <c r="AH150">
        <f>[1]data!AE151-'Urban population'!AH150</f>
        <v>0.23486303502000005</v>
      </c>
      <c r="AI150">
        <f>[1]data!AF151-'Urban population'!AI150</f>
        <v>0.21947006494999999</v>
      </c>
      <c r="AJ150">
        <f>[1]data!AG151-'Urban population'!AJ150</f>
        <v>0.20505190367999981</v>
      </c>
      <c r="AK150">
        <f>[1]data!AH151-'Urban population'!AK150</f>
        <v>0.19160944151999992</v>
      </c>
      <c r="AL150">
        <f>[1]data!AI151-'Urban population'!AL150</f>
        <v>0.1791948003299999</v>
      </c>
      <c r="AM150">
        <f>[1]data!AJ151-'Urban population'!AM150</f>
        <v>0.16770726764999999</v>
      </c>
    </row>
    <row r="151" spans="1:39" x14ac:dyDescent="0.25">
      <c r="A151" t="s">
        <v>30</v>
      </c>
      <c r="B151" t="s">
        <v>31</v>
      </c>
      <c r="C151" t="s">
        <v>182</v>
      </c>
      <c r="D151" t="str">
        <f>_xlfn.XLOOKUP(C151,'[5]Country Codes'!$A$2:$A$267,'[5]Country Codes'!$B$2:$B$267)</f>
        <v>QAT</v>
      </c>
      <c r="E151" t="str">
        <f>_xlfn.XLOOKUP(D151,[6]Feuil1!$C$2:$C$248,[6]Feuil1!$B$2:$B$248)</f>
        <v>QA</v>
      </c>
      <c r="F151" t="s">
        <v>33</v>
      </c>
      <c r="G151" t="str">
        <f>_xlfn.XLOOKUP(C151,'Urban population'!C151:C350,'Urban population'!G151:G350)</f>
        <v>Middle East</v>
      </c>
      <c r="H151" t="s">
        <v>34</v>
      </c>
      <c r="I151">
        <f>[1]data!F152-'Urban population'!I151</f>
        <v>4.660499999999998E-3</v>
      </c>
      <c r="J151">
        <f>[1]data!G152-'Urban population'!J151</f>
        <v>4.7894100000000009E-3</v>
      </c>
      <c r="K151">
        <f>[1]data!H152-'Urban population'!K151</f>
        <v>5.1379440000000019E-3</v>
      </c>
      <c r="L151">
        <f>[1]data!I152-'Urban population'!L151</f>
        <v>7.869257999999997E-3</v>
      </c>
      <c r="M151">
        <f>[1]data!J152-'Urban population'!M151</f>
        <v>1.2818347999999993E-2</v>
      </c>
      <c r="N151">
        <f>[1]data!K152-'Urban population'!N151</f>
        <v>2.0770874999999994E-2</v>
      </c>
      <c r="O151">
        <f>[1]data!L152-'Urban population'!O151</f>
        <v>2.8495132000000006E-2</v>
      </c>
      <c r="P151">
        <f>[1]data!M152-'Urban population'!P151</f>
        <v>3.5352405000000031E-2</v>
      </c>
      <c r="Q151">
        <f>[1]data!N152-'Urban population'!Q151</f>
        <v>3.126772800000005E-2</v>
      </c>
      <c r="R151">
        <f>[1]data!O152-'Urban population'!R151</f>
        <v>2.5398650000000023E-2</v>
      </c>
      <c r="S151">
        <f>[1]data!P152-'Urban population'!S151</f>
        <v>2.3293424000000007E-2</v>
      </c>
      <c r="T151">
        <f>[1]data!Q152-'Urban population'!T151</f>
        <v>2.053654199999988E-2</v>
      </c>
      <c r="U151">
        <f>[1]data!R152-'Urban population'!U151</f>
        <v>2.5098210000000121E-2</v>
      </c>
      <c r="V151">
        <f>[1]data!S152-'Urban population'!V151</f>
        <v>2.5461677999999655E-2</v>
      </c>
      <c r="W151">
        <f>[1]data!T152-'Urban population'!W151</f>
        <v>2.2629032000000215E-2</v>
      </c>
      <c r="X151">
        <f>[1]data!U152-'Urban population'!X151</f>
        <v>2.4961766740000169E-2</v>
      </c>
      <c r="Y151">
        <f>[1]data!V152-'Urban population'!Y151</f>
        <v>2.7132406489999816E-2</v>
      </c>
      <c r="Z151">
        <f>[1]data!W152-'Urban population'!Z151</f>
        <v>2.9258412800000411E-2</v>
      </c>
      <c r="AA151">
        <f>[1]data!X152-'Urban population'!AA151</f>
        <v>3.1364880599999978E-2</v>
      </c>
      <c r="AB151">
        <f>[1]data!Y152-'Urban population'!AB151</f>
        <v>3.3384411840000183E-2</v>
      </c>
      <c r="AC151">
        <f>[1]data!Z152-'Urban population'!AC151</f>
        <v>3.5284344479999952E-2</v>
      </c>
      <c r="AD151">
        <f>[1]data!AA152-'Urban population'!AD151</f>
        <v>3.6936148409999703E-2</v>
      </c>
      <c r="AE151">
        <f>[1]data!AB152-'Urban population'!AE151</f>
        <v>3.8218544580000291E-2</v>
      </c>
      <c r="AF151">
        <f>[1]data!AC152-'Urban population'!AF151</f>
        <v>3.9001232600000435E-2</v>
      </c>
      <c r="AG151">
        <f>[1]data!AD152-'Urban population'!AG151</f>
        <v>3.9236679870000124E-2</v>
      </c>
      <c r="AH151">
        <f>[1]data!AE152-'Urban population'!AH151</f>
        <v>3.8896891299999403E-2</v>
      </c>
      <c r="AI151">
        <f>[1]data!AF152-'Urban population'!AI151</f>
        <v>3.8156660640000339E-2</v>
      </c>
      <c r="AJ151">
        <f>[1]data!AG152-'Urban population'!AJ151</f>
        <v>3.7069459379999614E-2</v>
      </c>
      <c r="AK151">
        <f>[1]data!AH152-'Urban population'!AK151</f>
        <v>3.579683822000046E-2</v>
      </c>
      <c r="AL151">
        <f>[1]data!AI152-'Urban population'!AL151</f>
        <v>3.4592282400000229E-2</v>
      </c>
      <c r="AM151">
        <f>[1]data!AJ152-'Urban population'!AM151</f>
        <v>3.3418211939999942E-2</v>
      </c>
    </row>
    <row r="152" spans="1:39" x14ac:dyDescent="0.25">
      <c r="A152" t="s">
        <v>30</v>
      </c>
      <c r="B152" t="s">
        <v>31</v>
      </c>
      <c r="C152" t="s">
        <v>183</v>
      </c>
      <c r="D152" t="e">
        <f>_xlfn.XLOOKUP(C152,'[5]Country Codes'!$A$2:$A$267,'[5]Country Codes'!$B$2:$B$267)</f>
        <v>#N/A</v>
      </c>
      <c r="E152" t="e">
        <f>_xlfn.XLOOKUP(D152,[6]Feuil1!$C$2:$C$248,[6]Feuil1!$B$2:$B$248)</f>
        <v>#N/A</v>
      </c>
      <c r="F152" t="s">
        <v>33</v>
      </c>
      <c r="G152" t="e">
        <f>_xlfn.XLOOKUP(C152,'Urban population'!C152:C351,'Urban population'!G152:G351)</f>
        <v>#N/A</v>
      </c>
      <c r="H152" t="s">
        <v>34</v>
      </c>
      <c r="I152">
        <f>[1]data!F153-'Urban population'!I152</f>
        <v>0.18706239000000002</v>
      </c>
      <c r="J152">
        <f>[1]data!G153-'Urban population'!J152</f>
        <v>0.21293292999999999</v>
      </c>
      <c r="K152">
        <f>[1]data!H153-'Urban population'!K152</f>
        <v>0.24124934400000003</v>
      </c>
      <c r="L152">
        <f>[1]data!I153-'Urban population'!L152</f>
        <v>0.26133242400000001</v>
      </c>
      <c r="M152">
        <f>[1]data!J153-'Urban population'!M152</f>
        <v>0.27355176199999998</v>
      </c>
      <c r="N152">
        <f>[1]data!K153-'Urban population'!N152</f>
        <v>0.28406731499999999</v>
      </c>
      <c r="O152">
        <f>[1]data!L153-'Urban population'!O152</f>
        <v>0.254815815</v>
      </c>
      <c r="P152">
        <f>[1]data!M153-'Urban population'!P152</f>
        <v>0.19049905499999997</v>
      </c>
      <c r="Q152">
        <f>[1]data!N153-'Urban population'!Q152</f>
        <v>0.12263804</v>
      </c>
      <c r="R152">
        <f>[1]data!O153-'Urban population'!R152</f>
        <v>0.10003232299999998</v>
      </c>
      <c r="S152">
        <f>[1]data!P153-'Urban population'!S152</f>
        <v>6.8664288000000018E-2</v>
      </c>
      <c r="T152">
        <f>[1]data!Q153-'Urban population'!T152</f>
        <v>3.0677402999999992E-2</v>
      </c>
      <c r="U152">
        <f>[1]data!R153-'Urban population'!U152</f>
        <v>1.3303814999999997E-2</v>
      </c>
      <c r="V152">
        <f>[1]data!S153-'Urban population'!V152</f>
        <v>6.4411199999999669E-3</v>
      </c>
      <c r="W152">
        <f>[1]data!T153-'Urban population'!W152</f>
        <v>2.860560000000012E-3</v>
      </c>
      <c r="X152">
        <f>[1]data!U153-'Urban population'!X152</f>
        <v>2.982285660000028E-3</v>
      </c>
      <c r="Y152">
        <f>[1]data!V153-'Urban population'!Y152</f>
        <v>3.076866720000071E-3</v>
      </c>
      <c r="Z152">
        <f>[1]data!W153-'Urban population'!Z152</f>
        <v>3.1527648600000457E-3</v>
      </c>
      <c r="AA152">
        <f>[1]data!X153-'Urban population'!AA152</f>
        <v>3.2195102400001119E-3</v>
      </c>
      <c r="AB152">
        <f>[1]data!Y153-'Urban population'!AB152</f>
        <v>3.272623900000049E-3</v>
      </c>
      <c r="AC152">
        <f>[1]data!Z153-'Urban population'!AC152</f>
        <v>3.2986976400000145E-3</v>
      </c>
      <c r="AD152">
        <f>[1]data!AA153-'Urban population'!AD152</f>
        <v>3.3119057600001778E-3</v>
      </c>
      <c r="AE152">
        <f>[1]data!AB153-'Urban population'!AE152</f>
        <v>3.3149766700000249E-3</v>
      </c>
      <c r="AF152">
        <f>[1]data!AC153-'Urban population'!AF152</f>
        <v>3.3006405900000146E-3</v>
      </c>
      <c r="AG152">
        <f>[1]data!AD153-'Urban population'!AG152</f>
        <v>3.2849516699999803E-3</v>
      </c>
      <c r="AH152">
        <f>[1]data!AE153-'Urban population'!AH152</f>
        <v>3.2696869300001818E-3</v>
      </c>
      <c r="AI152">
        <f>[1]data!AF153-'Urban population'!AI152</f>
        <v>3.2527981500001246E-3</v>
      </c>
      <c r="AJ152">
        <f>[1]data!AG153-'Urban population'!AJ152</f>
        <v>3.2200064000000861E-3</v>
      </c>
      <c r="AK152">
        <f>[1]data!AH153-'Urban population'!AK152</f>
        <v>3.1809210000000032E-3</v>
      </c>
      <c r="AL152">
        <f>[1]data!AI153-'Urban population'!AL152</f>
        <v>3.1217329199999533E-3</v>
      </c>
      <c r="AM152">
        <f>[1]data!AJ153-'Urban population'!AM152</f>
        <v>3.0539753999998531E-3</v>
      </c>
    </row>
    <row r="153" spans="1:39" x14ac:dyDescent="0.25">
      <c r="A153" t="s">
        <v>30</v>
      </c>
      <c r="B153" t="s">
        <v>31</v>
      </c>
      <c r="C153" t="s">
        <v>184</v>
      </c>
      <c r="D153" t="str">
        <f>_xlfn.XLOOKUP(C153,'[5]Country Codes'!$A$2:$A$267,'[5]Country Codes'!$B$2:$B$267)</f>
        <v>ROU</v>
      </c>
      <c r="E153" t="str">
        <f>_xlfn.XLOOKUP(D153,[6]Feuil1!$C$2:$C$248,[6]Feuil1!$B$2:$B$248)</f>
        <v>RO</v>
      </c>
      <c r="F153" t="s">
        <v>33</v>
      </c>
      <c r="G153" t="str">
        <f>_xlfn.XLOOKUP(C153,'Urban population'!C153:C352,'Urban population'!G153:G352)</f>
        <v>Central Europe</v>
      </c>
      <c r="H153" t="s">
        <v>34</v>
      </c>
      <c r="I153">
        <f>[1]data!F154-'Urban population'!I153</f>
        <v>12.113775264000001</v>
      </c>
      <c r="J153">
        <f>[1]data!G154-'Urban population'!J153</f>
        <v>12.044669808</v>
      </c>
      <c r="K153">
        <f>[1]data!H154-'Urban population'!K153</f>
        <v>12.090152536</v>
      </c>
      <c r="L153">
        <f>[1]data!I154-'Urban population'!L153</f>
        <v>11.878478717</v>
      </c>
      <c r="M153">
        <f>[1]data!J154-'Urban population'!M153</f>
        <v>11.829267843</v>
      </c>
      <c r="N153">
        <f>[1]data!K154-'Urban population'!N153</f>
        <v>12.027663647999999</v>
      </c>
      <c r="O153">
        <f>[1]data!L154-'Urban population'!O153</f>
        <v>11.892610268</v>
      </c>
      <c r="P153">
        <f>[1]data!M154-'Urban population'!P153</f>
        <v>11.337970392000001</v>
      </c>
      <c r="Q153">
        <f>[1]data!N154-'Urban population'!Q153</f>
        <v>10.682389224</v>
      </c>
      <c r="R153">
        <f>[1]data!O154-'Urban population'!R153</f>
        <v>10.434755562000003</v>
      </c>
      <c r="S153">
        <f>[1]data!P154-'Urban population'!S153</f>
        <v>10.330168069999997</v>
      </c>
      <c r="T153">
        <f>[1]data!Q154-'Urban population'!T153</f>
        <v>9.916211916</v>
      </c>
      <c r="U153">
        <f>[1]data!R154-'Urban population'!U153</f>
        <v>9.4263324540000024</v>
      </c>
      <c r="V153">
        <f>[1]data!S154-'Urban population'!V153</f>
        <v>9.2012603500000001</v>
      </c>
      <c r="W153">
        <f>[1]data!T154-'Urban population'!W153</f>
        <v>8.9262940499999992</v>
      </c>
      <c r="X153">
        <f>[1]data!U154-'Urban population'!X153</f>
        <v>8.2555808044599992</v>
      </c>
      <c r="Y153">
        <f>[1]data!V154-'Urban population'!Y153</f>
        <v>7.6400593909399994</v>
      </c>
      <c r="Z153">
        <f>[1]data!W154-'Urban population'!Z153</f>
        <v>7.0520153048399976</v>
      </c>
      <c r="AA153">
        <f>[1]data!X154-'Urban population'!AA153</f>
        <v>6.50793852332</v>
      </c>
      <c r="AB153">
        <f>[1]data!Y154-'Urban population'!AB153</f>
        <v>6.0030079020000002</v>
      </c>
      <c r="AC153">
        <f>[1]data!Z154-'Urban population'!AC153</f>
        <v>5.53545754608</v>
      </c>
      <c r="AD153">
        <f>[1]data!AA154-'Urban population'!AD153</f>
        <v>5.1012904657200018</v>
      </c>
      <c r="AE153">
        <f>[1]data!AB154-'Urban population'!AE153</f>
        <v>4.6919896869199995</v>
      </c>
      <c r="AF153">
        <f>[1]data!AC154-'Urban population'!AF153</f>
        <v>4.3098355732799991</v>
      </c>
      <c r="AG153">
        <f>[1]data!AD154-'Urban population'!AG153</f>
        <v>3.962107519109999</v>
      </c>
      <c r="AH153">
        <f>[1]data!AE154-'Urban population'!AH153</f>
        <v>3.6539517467100016</v>
      </c>
      <c r="AI153">
        <f>[1]data!AF154-'Urban population'!AI153</f>
        <v>3.3823275097500005</v>
      </c>
      <c r="AJ153">
        <f>[1]data!AG154-'Urban population'!AJ153</f>
        <v>3.1431444193800004</v>
      </c>
      <c r="AK153">
        <f>[1]data!AH154-'Urban population'!AK153</f>
        <v>2.9312158834000002</v>
      </c>
      <c r="AL153">
        <f>[1]data!AI154-'Urban population'!AL153</f>
        <v>2.7406655782799998</v>
      </c>
      <c r="AM153">
        <f>[1]data!AJ154-'Urban population'!AM153</f>
        <v>2.5644697380999997</v>
      </c>
    </row>
    <row r="154" spans="1:39" x14ac:dyDescent="0.25">
      <c r="A154" t="s">
        <v>30</v>
      </c>
      <c r="B154" t="s">
        <v>31</v>
      </c>
      <c r="C154" t="s">
        <v>185</v>
      </c>
      <c r="D154" t="str">
        <f>_xlfn.XLOOKUP(C154,'[5]Country Codes'!$A$2:$A$267,'[5]Country Codes'!$B$2:$B$267)</f>
        <v>RUS</v>
      </c>
      <c r="E154" t="str">
        <f>_xlfn.XLOOKUP(D154,[6]Feuil1!$C$2:$C$248,[6]Feuil1!$B$2:$B$248)</f>
        <v>RU</v>
      </c>
      <c r="F154" t="s">
        <v>33</v>
      </c>
      <c r="G154" t="s">
        <v>254</v>
      </c>
      <c r="H154" t="s">
        <v>34</v>
      </c>
      <c r="I154">
        <f>[1]data!F155-'Urban population'!I154</f>
        <v>56.906547139000004</v>
      </c>
      <c r="J154">
        <f>[1]data!G155-'Urban population'!J154</f>
        <v>56.147023019999999</v>
      </c>
      <c r="K154">
        <f>[1]data!H155-'Urban population'!K154</f>
        <v>55.038297618999998</v>
      </c>
      <c r="L154">
        <f>[1]data!I155-'Urban population'!L154</f>
        <v>52.643442499999992</v>
      </c>
      <c r="M154">
        <f>[1]data!J155-'Urban population'!M154</f>
        <v>48.686131125000003</v>
      </c>
      <c r="N154">
        <f>[1]data!K155-'Urban population'!N154</f>
        <v>44.818201680000001</v>
      </c>
      <c r="O154">
        <f>[1]data!L155-'Urban population'!O154</f>
        <v>41.643909782000009</v>
      </c>
      <c r="P154">
        <f>[1]data!M155-'Urban population'!P154</f>
        <v>40.011085885999989</v>
      </c>
      <c r="Q154">
        <f>[1]data!N155-'Urban population'!Q154</f>
        <v>39.28551685799998</v>
      </c>
      <c r="R154">
        <f>[1]data!O155-'Urban population'!R154</f>
        <v>39.56100374799999</v>
      </c>
      <c r="S154">
        <f>[1]data!P155-'Urban population'!S154</f>
        <v>39.136517489999989</v>
      </c>
      <c r="T154">
        <f>[1]data!Q155-'Urban population'!T154</f>
        <v>38.181982544999997</v>
      </c>
      <c r="U154">
        <f>[1]data!R155-'Urban population'!U154</f>
        <v>37.669327465999999</v>
      </c>
      <c r="V154">
        <f>[1]data!S155-'Urban population'!V154</f>
        <v>37.410442517000007</v>
      </c>
      <c r="W154">
        <f>[1]data!T155-'Urban population'!W154</f>
        <v>36.731938572000004</v>
      </c>
      <c r="X154">
        <f>[1]data!U155-'Urban population'!X154</f>
        <v>34.563289128959994</v>
      </c>
      <c r="Y154">
        <f>[1]data!V155-'Urban population'!Y154</f>
        <v>32.155955679440012</v>
      </c>
      <c r="Z154">
        <f>[1]data!W155-'Urban population'!Z154</f>
        <v>29.931662405310007</v>
      </c>
      <c r="AA154">
        <f>[1]data!X155-'Urban population'!AA154</f>
        <v>27.938493399180004</v>
      </c>
      <c r="AB154">
        <f>[1]data!Y155-'Urban population'!AB154</f>
        <v>26.167949868970013</v>
      </c>
      <c r="AC154">
        <f>[1]data!Z155-'Urban population'!AC154</f>
        <v>24.552948165099991</v>
      </c>
      <c r="AD154">
        <f>[1]data!AA155-'Urban population'!AD154</f>
        <v>22.996615582079997</v>
      </c>
      <c r="AE154">
        <f>[1]data!AB155-'Urban population'!AE154</f>
        <v>21.498572932919998</v>
      </c>
      <c r="AF154">
        <f>[1]data!AC155-'Urban population'!AF154</f>
        <v>20.050512451200007</v>
      </c>
      <c r="AG154">
        <f>[1]data!AD155-'Urban population'!AG154</f>
        <v>18.677631887999993</v>
      </c>
      <c r="AH154">
        <f>[1]data!AE155-'Urban population'!AH154</f>
        <v>17.395977019439997</v>
      </c>
      <c r="AI154">
        <f>[1]data!AF155-'Urban population'!AI154</f>
        <v>16.201821873679989</v>
      </c>
      <c r="AJ154">
        <f>[1]data!AG155-'Urban population'!AJ154</f>
        <v>15.09058969422</v>
      </c>
      <c r="AK154">
        <f>[1]data!AH155-'Urban population'!AK154</f>
        <v>14.053685672910007</v>
      </c>
      <c r="AL154">
        <f>[1]data!AI155-'Urban population'!AL154</f>
        <v>13.072904877900015</v>
      </c>
      <c r="AM154">
        <f>[1]data!AJ155-'Urban population'!AM154</f>
        <v>12.132598817299993</v>
      </c>
    </row>
    <row r="155" spans="1:39" x14ac:dyDescent="0.25">
      <c r="A155" t="s">
        <v>30</v>
      </c>
      <c r="B155" t="s">
        <v>31</v>
      </c>
      <c r="C155" t="s">
        <v>186</v>
      </c>
      <c r="D155" t="str">
        <f>_xlfn.XLOOKUP(C155,'[5]Country Codes'!$A$2:$A$267,'[5]Country Codes'!$B$2:$B$267)</f>
        <v>RWA</v>
      </c>
      <c r="E155" t="str">
        <f>_xlfn.XLOOKUP(D155,[6]Feuil1!$C$2:$C$248,[6]Feuil1!$B$2:$B$248)</f>
        <v>RW</v>
      </c>
      <c r="F155" t="s">
        <v>33</v>
      </c>
      <c r="G155" t="str">
        <f>_xlfn.XLOOKUP(C155,'Urban population'!C155:C354,'Urban population'!G155:G354)</f>
        <v>Eastern Africa</v>
      </c>
      <c r="H155" t="s">
        <v>34</v>
      </c>
      <c r="I155">
        <f>[1]data!F156-'Urban population'!I155</f>
        <v>2.0735200420000002</v>
      </c>
      <c r="J155">
        <f>[1]data!G156-'Urban population'!J155</f>
        <v>2.4396325050000001</v>
      </c>
      <c r="K155">
        <f>[1]data!H156-'Urban population'!K155</f>
        <v>2.8484678700000003</v>
      </c>
      <c r="L155">
        <f>[1]data!I156-'Urban population'!L155</f>
        <v>3.2076169360000004</v>
      </c>
      <c r="M155">
        <f>[1]data!J156-'Urban population'!M155</f>
        <v>3.7136981200000001</v>
      </c>
      <c r="N155">
        <f>[1]data!K156-'Urban population'!N155</f>
        <v>4.2723753599999998</v>
      </c>
      <c r="O155">
        <f>[1]data!L156-'Urban population'!O155</f>
        <v>4.9137194620000004</v>
      </c>
      <c r="P155">
        <f>[1]data!M156-'Urban population'!P155</f>
        <v>5.841608409</v>
      </c>
      <c r="Q155">
        <f>[1]data!N156-'Urban population'!Q155</f>
        <v>6.8395913519999993</v>
      </c>
      <c r="R155">
        <f>[1]data!O156-'Urban population'!R155</f>
        <v>4.8787520319999995</v>
      </c>
      <c r="S155">
        <f>[1]data!P156-'Urban population'!S155</f>
        <v>6.8567674060000003</v>
      </c>
      <c r="T155">
        <f>[1]data!Q156-'Urban population'!T155</f>
        <v>7.4018192130000005</v>
      </c>
      <c r="U155">
        <f>[1]data!R156-'Urban population'!U155</f>
        <v>8.4555604530000004</v>
      </c>
      <c r="V155">
        <f>[1]data!S156-'Urban population'!V155</f>
        <v>9.5482428099999996</v>
      </c>
      <c r="W155">
        <f>[1]data!T156-'Urban population'!W155</f>
        <v>10.727533754</v>
      </c>
      <c r="X155">
        <f>[1]data!U156-'Urban population'!X155</f>
        <v>11.714357005230001</v>
      </c>
      <c r="Y155">
        <f>[1]data!V156-'Urban population'!Y155</f>
        <v>12.642489342729998</v>
      </c>
      <c r="Z155">
        <f>[1]data!W156-'Urban population'!Z155</f>
        <v>13.471513092289999</v>
      </c>
      <c r="AA155">
        <f>[1]data!X156-'Urban population'!AA155</f>
        <v>14.177122171680001</v>
      </c>
      <c r="AB155">
        <f>[1]data!Y156-'Urban population'!AB155</f>
        <v>14.739666237</v>
      </c>
      <c r="AC155">
        <f>[1]data!Z156-'Urban population'!AC155</f>
        <v>15.155814391090001</v>
      </c>
      <c r="AD155">
        <f>[1]data!AA156-'Urban population'!AD155</f>
        <v>15.409331546270002</v>
      </c>
      <c r="AE155">
        <f>[1]data!AB156-'Urban population'!AE155</f>
        <v>15.506120466310001</v>
      </c>
      <c r="AF155">
        <f>[1]data!AC156-'Urban population'!AF155</f>
        <v>15.431410158240002</v>
      </c>
      <c r="AG155">
        <f>[1]data!AD156-'Urban population'!AG155</f>
        <v>15.210602776170001</v>
      </c>
      <c r="AH155">
        <f>[1]data!AE156-'Urban population'!AH155</f>
        <v>14.852465850419998</v>
      </c>
      <c r="AI155">
        <f>[1]data!AF156-'Urban population'!AI155</f>
        <v>14.3856056184</v>
      </c>
      <c r="AJ155">
        <f>[1]data!AG156-'Urban population'!AJ155</f>
        <v>13.854962714399999</v>
      </c>
      <c r="AK155">
        <f>[1]data!AH156-'Urban population'!AK155</f>
        <v>13.28414929875</v>
      </c>
      <c r="AL155">
        <f>[1]data!AI156-'Urban population'!AL155</f>
        <v>12.680659992000002</v>
      </c>
      <c r="AM155">
        <f>[1]data!AJ156-'Urban population'!AM155</f>
        <v>12.056241411799999</v>
      </c>
    </row>
    <row r="156" spans="1:39" x14ac:dyDescent="0.25">
      <c r="A156" t="s">
        <v>30</v>
      </c>
      <c r="B156" t="s">
        <v>31</v>
      </c>
      <c r="C156" t="s">
        <v>187</v>
      </c>
      <c r="D156" t="str">
        <f>_xlfn.XLOOKUP(C156,'[5]Country Codes'!$A$2:$A$267,'[5]Country Codes'!$B$2:$B$267)</f>
        <v>SAU</v>
      </c>
      <c r="E156" t="str">
        <f>_xlfn.XLOOKUP(D156,[6]Feuil1!$C$2:$C$248,[6]Feuil1!$B$2:$B$248)</f>
        <v>SA</v>
      </c>
      <c r="F156" t="s">
        <v>33</v>
      </c>
      <c r="G156" t="str">
        <f>_xlfn.XLOOKUP(C156,'Urban population'!C156:C355,'Urban population'!G156:G355)</f>
        <v>Middle East</v>
      </c>
      <c r="H156" t="s">
        <v>34</v>
      </c>
      <c r="I156">
        <f>[1]data!F157-'Urban population'!I156</f>
        <v>2.3949590500000002</v>
      </c>
      <c r="J156">
        <f>[1]data!G157-'Urban population'!J156</f>
        <v>2.6113053400000004</v>
      </c>
      <c r="K156">
        <f>[1]data!H157-'Urban population'!K156</f>
        <v>2.8157162160000002</v>
      </c>
      <c r="L156">
        <f>[1]data!I157-'Urban population'!L156</f>
        <v>2.9892797280000005</v>
      </c>
      <c r="M156">
        <f>[1]data!J157-'Urban population'!M156</f>
        <v>3.0623540129999998</v>
      </c>
      <c r="N156">
        <f>[1]data!K157-'Urban population'!N156</f>
        <v>3.2057200260000007</v>
      </c>
      <c r="O156">
        <f>[1]data!L157-'Urban population'!O156</f>
        <v>3.3833041330000002</v>
      </c>
      <c r="P156">
        <f>[1]data!M157-'Urban population'!P156</f>
        <v>3.4513793499999998</v>
      </c>
      <c r="Q156">
        <f>[1]data!N157-'Urban population'!Q156</f>
        <v>3.6682160580000023</v>
      </c>
      <c r="R156">
        <f>[1]data!O157-'Urban population'!R156</f>
        <v>3.9681192840000001</v>
      </c>
      <c r="S156">
        <f>[1]data!P157-'Urban population'!S156</f>
        <v>4.2982370020000005</v>
      </c>
      <c r="T156">
        <f>[1]data!Q157-'Urban population'!T156</f>
        <v>4.5435212999999983</v>
      </c>
      <c r="U156">
        <f>[1]data!R157-'Urban population'!U156</f>
        <v>5.1926650580000029</v>
      </c>
      <c r="V156">
        <f>[1]data!S157-'Urban population'!V156</f>
        <v>5.4502368479999959</v>
      </c>
      <c r="W156">
        <f>[1]data!T157-'Urban population'!W156</f>
        <v>5.6881051330000005</v>
      </c>
      <c r="X156">
        <f>[1]data!U157-'Urban population'!X156</f>
        <v>5.7379111653700008</v>
      </c>
      <c r="Y156">
        <f>[1]data!V157-'Urban population'!Y156</f>
        <v>5.7154852193599979</v>
      </c>
      <c r="Z156">
        <f>[1]data!W157-'Urban population'!Z156</f>
        <v>5.6355408914999998</v>
      </c>
      <c r="AA156">
        <f>[1]data!X157-'Urban population'!AA156</f>
        <v>5.5072569844800014</v>
      </c>
      <c r="AB156">
        <f>[1]data!Y157-'Urban population'!AB156</f>
        <v>5.3333579944499974</v>
      </c>
      <c r="AC156">
        <f>[1]data!Z157-'Urban population'!AC156</f>
        <v>5.1190118516799998</v>
      </c>
      <c r="AD156">
        <f>[1]data!AA157-'Urban population'!AD156</f>
        <v>4.8731889871800007</v>
      </c>
      <c r="AE156">
        <f>[1]data!AB157-'Urban population'!AE156</f>
        <v>4.60356518615</v>
      </c>
      <c r="AF156">
        <f>[1]data!AC157-'Urban population'!AF156</f>
        <v>4.3165719061499885</v>
      </c>
      <c r="AG156">
        <f>[1]data!AD157-'Urban population'!AG156</f>
        <v>4.0253738755999962</v>
      </c>
      <c r="AH156">
        <f>[1]data!AE157-'Urban population'!AH156</f>
        <v>3.7403385151600048</v>
      </c>
      <c r="AI156">
        <f>[1]data!AF157-'Urban population'!AI156</f>
        <v>3.4691381485699964</v>
      </c>
      <c r="AJ156">
        <f>[1]data!AG157-'Urban population'!AJ156</f>
        <v>3.2138935182499964</v>
      </c>
      <c r="AK156">
        <f>[1]data!AH157-'Urban population'!AK156</f>
        <v>2.9739881139299982</v>
      </c>
      <c r="AL156">
        <f>[1]data!AI157-'Urban population'!AL156</f>
        <v>2.7444087995999951</v>
      </c>
      <c r="AM156">
        <f>[1]data!AJ157-'Urban population'!AM156</f>
        <v>2.5254353925600057</v>
      </c>
    </row>
    <row r="157" spans="1:39" x14ac:dyDescent="0.25">
      <c r="A157" t="s">
        <v>30</v>
      </c>
      <c r="B157" t="s">
        <v>31</v>
      </c>
      <c r="C157" t="s">
        <v>188</v>
      </c>
      <c r="D157" t="str">
        <f>_xlfn.XLOOKUP(C157,'[5]Country Codes'!$A$2:$A$267,'[5]Country Codes'!$B$2:$B$267)</f>
        <v>SDN</v>
      </c>
      <c r="E157" t="str">
        <f>_xlfn.XLOOKUP(D157,[6]Feuil1!$C$2:$C$248,[6]Feuil1!$B$2:$B$248)</f>
        <v>SD</v>
      </c>
      <c r="F157" t="s">
        <v>33</v>
      </c>
      <c r="G157" t="str">
        <f>_xlfn.XLOOKUP(C157,'Urban population'!C157:C356,'Urban population'!G157:G356)</f>
        <v>Eastern Africa</v>
      </c>
      <c r="H157" t="s">
        <v>34</v>
      </c>
      <c r="I157">
        <f>[1]data!F158-'Urban population'!I157</f>
        <v>5.6839455280000006</v>
      </c>
      <c r="J157">
        <f>[1]data!G158-'Urban population'!J157</f>
        <v>6.4749286380000006</v>
      </c>
      <c r="K157">
        <f>[1]data!H158-'Urban population'!K157</f>
        <v>7.3258121210000002</v>
      </c>
      <c r="L157">
        <f>[1]data!I158-'Urban population'!L157</f>
        <v>8.279174767999999</v>
      </c>
      <c r="M157">
        <f>[1]data!J158-'Urban population'!M157</f>
        <v>9.2950555050000006</v>
      </c>
      <c r="N157">
        <f>[1]data!K158-'Urban population'!N157</f>
        <v>10.719821519000002</v>
      </c>
      <c r="O157">
        <f>[1]data!L158-'Urban population'!O157</f>
        <v>13.051149599999999</v>
      </c>
      <c r="P157">
        <f>[1]data!M158-'Urban population'!P157</f>
        <v>14.915388981</v>
      </c>
      <c r="Q157">
        <f>[1]data!N158-'Urban population'!Q157</f>
        <v>14.926040766</v>
      </c>
      <c r="R157">
        <f>[1]data!O158-'Urban population'!R157</f>
        <v>15.60105798</v>
      </c>
      <c r="S157">
        <f>[1]data!P158-'Urban population'!S157</f>
        <v>17.526413474999998</v>
      </c>
      <c r="T157">
        <f>[1]data!Q158-'Urban population'!T157</f>
        <v>19.598048736000003</v>
      </c>
      <c r="U157">
        <f>[1]data!R158-'Urban population'!U157</f>
        <v>22.344338420999996</v>
      </c>
      <c r="V157">
        <f>[1]data!S158-'Urban population'!V157</f>
        <v>24.844130514</v>
      </c>
      <c r="W157">
        <f>[1]data!T158-'Urban population'!W157</f>
        <v>28.356754819999999</v>
      </c>
      <c r="X157">
        <f>[1]data!U158-'Urban population'!X157</f>
        <v>30.345465082899935</v>
      </c>
      <c r="Y157">
        <f>[1]data!V158-'Urban population'!Y157</f>
        <v>31.998015161280001</v>
      </c>
      <c r="Z157">
        <f>[1]data!W158-'Urban population'!Z157</f>
        <v>33.288993993749948</v>
      </c>
      <c r="AA157">
        <f>[1]data!X158-'Urban population'!AA157</f>
        <v>34.250323415990003</v>
      </c>
      <c r="AB157">
        <f>[1]data!Y158-'Urban population'!AB157</f>
        <v>34.992789012220051</v>
      </c>
      <c r="AC157">
        <f>[1]data!Z158-'Urban population'!AC157</f>
        <v>35.517440561590007</v>
      </c>
      <c r="AD157">
        <f>[1]data!AA158-'Urban population'!AD157</f>
        <v>35.788791268079997</v>
      </c>
      <c r="AE157">
        <f>[1]data!AB158-'Urban population'!AE157</f>
        <v>35.816849840220002</v>
      </c>
      <c r="AF157">
        <f>[1]data!AC158-'Urban population'!AF157</f>
        <v>35.621177828880001</v>
      </c>
      <c r="AG157">
        <f>[1]data!AD158-'Urban population'!AG157</f>
        <v>35.220873560599998</v>
      </c>
      <c r="AH157">
        <f>[1]data!AE158-'Urban population'!AH157</f>
        <v>34.611414763249996</v>
      </c>
      <c r="AI157">
        <f>[1]data!AF158-'Urban population'!AI157</f>
        <v>33.870241678959999</v>
      </c>
      <c r="AJ157">
        <f>[1]data!AG158-'Urban population'!AJ157</f>
        <v>32.993276782680013</v>
      </c>
      <c r="AK157">
        <f>[1]data!AH158-'Urban population'!AK157</f>
        <v>32.052970511999987</v>
      </c>
      <c r="AL157">
        <f>[1]data!AI158-'Urban population'!AL157</f>
        <v>31.067488596299995</v>
      </c>
      <c r="AM157">
        <f>[1]data!AJ158-'Urban population'!AM157</f>
        <v>30.046326467219998</v>
      </c>
    </row>
    <row r="158" spans="1:39" x14ac:dyDescent="0.25">
      <c r="A158" t="s">
        <v>30</v>
      </c>
      <c r="B158" t="s">
        <v>31</v>
      </c>
      <c r="C158" t="s">
        <v>189</v>
      </c>
      <c r="D158" t="str">
        <f>_xlfn.XLOOKUP(C158,'[5]Country Codes'!$A$2:$A$267,'[5]Country Codes'!$B$2:$B$267)</f>
        <v>SEN</v>
      </c>
      <c r="E158" t="str">
        <f>_xlfn.XLOOKUP(D158,[6]Feuil1!$C$2:$C$248,[6]Feuil1!$B$2:$B$248)</f>
        <v>SN</v>
      </c>
      <c r="F158" t="s">
        <v>33</v>
      </c>
      <c r="G158" t="str">
        <f>_xlfn.XLOOKUP(C158,'Urban population'!C158:C357,'Urban population'!G158:G357)</f>
        <v>Western Africa</v>
      </c>
      <c r="H158" t="s">
        <v>34</v>
      </c>
      <c r="I158">
        <f>[1]data!F159-'Urban population'!I158</f>
        <v>2.0402607239999999</v>
      </c>
      <c r="J158">
        <f>[1]data!G159-'Urban population'!J158</f>
        <v>2.2467408</v>
      </c>
      <c r="K158">
        <f>[1]data!H159-'Urban population'!K158</f>
        <v>2.4847199299999998</v>
      </c>
      <c r="L158">
        <f>[1]data!I159-'Urban population'!L158</f>
        <v>2.7354109759999998</v>
      </c>
      <c r="M158">
        <f>[1]data!J159-'Urban population'!M158</f>
        <v>3.0123120999999999</v>
      </c>
      <c r="N158">
        <f>[1]data!K159-'Urban population'!N158</f>
        <v>3.3021517229999997</v>
      </c>
      <c r="O158">
        <f>[1]data!L159-'Urban population'!O158</f>
        <v>3.6156939239999999</v>
      </c>
      <c r="P158">
        <f>[1]data!M159-'Urban population'!P158</f>
        <v>4.0177481250000007</v>
      </c>
      <c r="Q158">
        <f>[1]data!N159-'Urban population'!Q158</f>
        <v>4.5380857990000001</v>
      </c>
      <c r="R158">
        <f>[1]data!O159-'Urban population'!R158</f>
        <v>5.1497233279999985</v>
      </c>
      <c r="S158">
        <f>[1]data!P159-'Urban population'!S158</f>
        <v>5.7250120950000012</v>
      </c>
      <c r="T158">
        <f>[1]data!Q159-'Urban population'!T158</f>
        <v>6.3157305309999998</v>
      </c>
      <c r="U158">
        <f>[1]data!R159-'Urban population'!U158</f>
        <v>6.946388002</v>
      </c>
      <c r="V158">
        <f>[1]data!S159-'Urban population'!V158</f>
        <v>7.6613779920000002</v>
      </c>
      <c r="W158">
        <f>[1]data!T159-'Urban population'!W158</f>
        <v>8.4158278919999994</v>
      </c>
      <c r="X158">
        <f>[1]data!U159-'Urban population'!X158</f>
        <v>9.106133916400001</v>
      </c>
      <c r="Y158">
        <f>[1]data!V159-'Urban population'!Y158</f>
        <v>9.7655998815000018</v>
      </c>
      <c r="Z158">
        <f>[1]data!W159-'Urban population'!Z158</f>
        <v>10.379027541699999</v>
      </c>
      <c r="AA158">
        <f>[1]data!X159-'Urban population'!AA158</f>
        <v>10.929703303800002</v>
      </c>
      <c r="AB158">
        <f>[1]data!Y159-'Urban population'!AB158</f>
        <v>11.410959684150001</v>
      </c>
      <c r="AC158">
        <f>[1]data!Z159-'Urban population'!AC158</f>
        <v>11.798182114749999</v>
      </c>
      <c r="AD158">
        <f>[1]data!AA159-'Urban population'!AD158</f>
        <v>12.074872994800003</v>
      </c>
      <c r="AE158">
        <f>[1]data!AB159-'Urban population'!AE158</f>
        <v>12.250494937619997</v>
      </c>
      <c r="AF158">
        <f>[1]data!AC159-'Urban population'!AF158</f>
        <v>12.336983725680003</v>
      </c>
      <c r="AG158">
        <f>[1]data!AD159-'Urban population'!AG158</f>
        <v>12.342544348160033</v>
      </c>
      <c r="AH158">
        <f>[1]data!AE159-'Urban population'!AH158</f>
        <v>12.271083570190001</v>
      </c>
      <c r="AI158">
        <f>[1]data!AF159-'Urban population'!AI158</f>
        <v>12.118274272560001</v>
      </c>
      <c r="AJ158">
        <f>[1]data!AG159-'Urban population'!AJ158</f>
        <v>11.893149574669966</v>
      </c>
      <c r="AK158">
        <f>[1]data!AH159-'Urban population'!AK158</f>
        <v>11.621355268639999</v>
      </c>
      <c r="AL158">
        <f>[1]data!AI159-'Urban population'!AL158</f>
        <v>11.315780902469999</v>
      </c>
      <c r="AM158">
        <f>[1]data!AJ159-'Urban population'!AM158</f>
        <v>10.981564135710002</v>
      </c>
    </row>
    <row r="159" spans="1:39" x14ac:dyDescent="0.25">
      <c r="A159" t="s">
        <v>30</v>
      </c>
      <c r="B159" t="s">
        <v>31</v>
      </c>
      <c r="C159" t="s">
        <v>190</v>
      </c>
      <c r="D159" t="str">
        <f>_xlfn.XLOOKUP(C159,'[5]Country Codes'!$A$2:$A$267,'[5]Country Codes'!$B$2:$B$267)</f>
        <v>SGP</v>
      </c>
      <c r="E159" t="str">
        <f>_xlfn.XLOOKUP(D159,[6]Feuil1!$C$2:$C$248,[6]Feuil1!$B$2:$B$248)</f>
        <v>SG</v>
      </c>
      <c r="F159" t="s">
        <v>33</v>
      </c>
      <c r="G159" t="str">
        <f>_xlfn.XLOOKUP(C159,'Urban population'!C159:C358,'Urban population'!G159:G358)</f>
        <v>Southeastern Asia</v>
      </c>
      <c r="H159" t="s">
        <v>34</v>
      </c>
      <c r="I159" t="e">
        <f>[1]data!F160-'Urban population'!I159</f>
        <v>#N/A</v>
      </c>
      <c r="J159" t="e">
        <f>[1]data!G160-'Urban population'!J159</f>
        <v>#N/A</v>
      </c>
      <c r="K159" t="e">
        <f>[1]data!H160-'Urban population'!K159</f>
        <v>#N/A</v>
      </c>
      <c r="L159" t="e">
        <f>[1]data!I160-'Urban population'!L159</f>
        <v>#N/A</v>
      </c>
      <c r="M159" t="e">
        <f>[1]data!J160-'Urban population'!M159</f>
        <v>#N/A</v>
      </c>
      <c r="N159" t="e">
        <f>[1]data!K160-'Urban population'!N159</f>
        <v>#N/A</v>
      </c>
      <c r="O159" t="e">
        <f>[1]data!L160-'Urban population'!O159</f>
        <v>#N/A</v>
      </c>
      <c r="P159" t="e">
        <f>[1]data!M160-'Urban population'!P159</f>
        <v>#N/A</v>
      </c>
      <c r="Q159" t="e">
        <f>[1]data!N160-'Urban population'!Q159</f>
        <v>#N/A</v>
      </c>
      <c r="R159" t="e">
        <f>[1]data!O160-'Urban population'!R159</f>
        <v>#N/A</v>
      </c>
      <c r="S159" t="e">
        <f>[1]data!P160-'Urban population'!S159</f>
        <v>#N/A</v>
      </c>
      <c r="T159" t="e">
        <f>[1]data!Q160-'Urban population'!T159</f>
        <v>#N/A</v>
      </c>
      <c r="U159" t="e">
        <f>[1]data!R160-'Urban population'!U159</f>
        <v>#N/A</v>
      </c>
      <c r="V159" t="e">
        <f>[1]data!S160-'Urban population'!V159</f>
        <v>#N/A</v>
      </c>
      <c r="W159" t="e">
        <f>[1]data!T160-'Urban population'!W159</f>
        <v>#N/A</v>
      </c>
      <c r="X159" t="e">
        <f>[1]data!U160-'Urban population'!X159</f>
        <v>#N/A</v>
      </c>
      <c r="Y159" t="e">
        <f>[1]data!V160-'Urban population'!Y159</f>
        <v>#N/A</v>
      </c>
      <c r="Z159" t="e">
        <f>[1]data!W160-'Urban population'!Z159</f>
        <v>#N/A</v>
      </c>
      <c r="AA159" t="e">
        <f>[1]data!X160-'Urban population'!AA159</f>
        <v>#N/A</v>
      </c>
      <c r="AB159" t="e">
        <f>[1]data!Y160-'Urban population'!AB159</f>
        <v>#N/A</v>
      </c>
      <c r="AC159" t="e">
        <f>[1]data!Z160-'Urban population'!AC159</f>
        <v>#N/A</v>
      </c>
      <c r="AD159" t="e">
        <f>[1]data!AA160-'Urban population'!AD159</f>
        <v>#N/A</v>
      </c>
      <c r="AE159" t="e">
        <f>[1]data!AB160-'Urban population'!AE159</f>
        <v>#N/A</v>
      </c>
      <c r="AF159" t="e">
        <f>[1]data!AC160-'Urban population'!AF159</f>
        <v>#N/A</v>
      </c>
      <c r="AG159" t="e">
        <f>[1]data!AD160-'Urban population'!AG159</f>
        <v>#N/A</v>
      </c>
      <c r="AH159" t="e">
        <f>[1]data!AE160-'Urban population'!AH159</f>
        <v>#N/A</v>
      </c>
      <c r="AI159" t="e">
        <f>[1]data!AF160-'Urban population'!AI159</f>
        <v>#N/A</v>
      </c>
      <c r="AJ159" t="e">
        <f>[1]data!AG160-'Urban population'!AJ159</f>
        <v>#N/A</v>
      </c>
      <c r="AK159" t="e">
        <f>[1]data!AH160-'Urban population'!AK159</f>
        <v>#N/A</v>
      </c>
      <c r="AL159" t="e">
        <f>[1]data!AI160-'Urban population'!AL159</f>
        <v>#N/A</v>
      </c>
      <c r="AM159" t="e">
        <f>[1]data!AJ160-'Urban population'!AM159</f>
        <v>#N/A</v>
      </c>
    </row>
    <row r="160" spans="1:39" x14ac:dyDescent="0.25">
      <c r="A160" t="s">
        <v>30</v>
      </c>
      <c r="B160" t="s">
        <v>31</v>
      </c>
      <c r="C160" t="s">
        <v>191</v>
      </c>
      <c r="D160" t="str">
        <f>_xlfn.XLOOKUP(C160,'[5]Country Codes'!$A$2:$A$267,'[5]Country Codes'!$B$2:$B$267)</f>
        <v>SLB</v>
      </c>
      <c r="E160" t="str">
        <f>_xlfn.XLOOKUP(D160,[6]Feuil1!$C$2:$C$248,[6]Feuil1!$B$2:$B$248)</f>
        <v>SB</v>
      </c>
      <c r="F160" t="s">
        <v>33</v>
      </c>
      <c r="G160" t="str">
        <f>_xlfn.XLOOKUP(C160,'Urban population'!C160:C359,'Urban population'!G160:G359)</f>
        <v>Oceania</v>
      </c>
      <c r="H160" t="s">
        <v>34</v>
      </c>
      <c r="I160">
        <f>[1]data!F161-'Urban population'!I160</f>
        <v>0.10036642200000001</v>
      </c>
      <c r="J160">
        <f>[1]data!G161-'Urban population'!J160</f>
        <v>0.11039742600000001</v>
      </c>
      <c r="K160">
        <f>[1]data!H161-'Urban population'!K160</f>
        <v>0.12415654200000001</v>
      </c>
      <c r="L160">
        <f>[1]data!I161-'Urban population'!L160</f>
        <v>0.13875177600000002</v>
      </c>
      <c r="M160">
        <f>[1]data!J161-'Urban population'!M160</f>
        <v>0.15544393000000001</v>
      </c>
      <c r="N160">
        <f>[1]data!K161-'Urban population'!N160</f>
        <v>0.17719864199999999</v>
      </c>
      <c r="O160">
        <f>[1]data!L161-'Urban population'!O160</f>
        <v>0.205310676</v>
      </c>
      <c r="P160">
        <f>[1]data!M161-'Urban population'!P160</f>
        <v>0.23867846399999998</v>
      </c>
      <c r="Q160">
        <f>[1]data!N161-'Urban population'!Q160</f>
        <v>0.27557488600000002</v>
      </c>
      <c r="R160">
        <f>[1]data!O161-'Urban population'!R160</f>
        <v>0.31542489900000004</v>
      </c>
      <c r="S160">
        <f>[1]data!P161-'Urban population'!S160</f>
        <v>0.35761845000000003</v>
      </c>
      <c r="T160">
        <f>[1]data!Q161-'Urban population'!T160</f>
        <v>0.39217620000000003</v>
      </c>
      <c r="U160">
        <f>[1]data!R161-'Urban population'!U160</f>
        <v>0.42713280000000003</v>
      </c>
      <c r="V160">
        <f>[1]data!S161-'Urban population'!V160</f>
        <v>0.46946060000000001</v>
      </c>
      <c r="W160">
        <f>[1]data!T161-'Urban population'!W160</f>
        <v>0.51422144100000011</v>
      </c>
      <c r="X160">
        <f>[1]data!U161-'Urban population'!X160</f>
        <v>0.55956164835999933</v>
      </c>
      <c r="Y160">
        <f>[1]data!V161-'Urban population'!Y160</f>
        <v>0.60069419172999927</v>
      </c>
      <c r="Z160">
        <f>[1]data!W161-'Urban population'!Z160</f>
        <v>0.63653178752999995</v>
      </c>
      <c r="AA160">
        <f>[1]data!X161-'Urban population'!AA160</f>
        <v>0.66699430559999928</v>
      </c>
      <c r="AB160">
        <f>[1]data!Y161-'Urban population'!AB160</f>
        <v>0.69073372424000001</v>
      </c>
      <c r="AC160">
        <f>[1]data!Z161-'Urban population'!AC160</f>
        <v>0.70712084628000005</v>
      </c>
      <c r="AD160">
        <f>[1]data!AA161-'Urban population'!AD160</f>
        <v>0.71608644473999994</v>
      </c>
      <c r="AE160">
        <f>[1]data!AB161-'Urban population'!AE160</f>
        <v>0.71746301583000005</v>
      </c>
      <c r="AF160">
        <f>[1]data!AC161-'Urban population'!AF160</f>
        <v>0.71266950748000002</v>
      </c>
      <c r="AG160">
        <f>[1]data!AD161-'Urban population'!AG160</f>
        <v>0.70119440295999991</v>
      </c>
      <c r="AH160">
        <f>[1]data!AE161-'Urban population'!AH160</f>
        <v>0.6845643992799999</v>
      </c>
      <c r="AI160">
        <f>[1]data!AF161-'Urban population'!AI160</f>
        <v>0.66305628480000001</v>
      </c>
      <c r="AJ160">
        <f>[1]data!AG161-'Urban population'!AJ160</f>
        <v>0.63850767500000016</v>
      </c>
      <c r="AK160">
        <f>[1]data!AH161-'Urban population'!AK160</f>
        <v>0.61176684500000011</v>
      </c>
      <c r="AL160">
        <f>[1]data!AI161-'Urban population'!AL160</f>
        <v>0.58337802665999994</v>
      </c>
      <c r="AM160">
        <f>[1]data!AJ161-'Urban population'!AM160</f>
        <v>0.55337422079999987</v>
      </c>
    </row>
    <row r="161" spans="1:39" x14ac:dyDescent="0.25">
      <c r="A161" t="s">
        <v>30</v>
      </c>
      <c r="B161" t="s">
        <v>31</v>
      </c>
      <c r="C161" t="s">
        <v>192</v>
      </c>
      <c r="D161" t="str">
        <f>_xlfn.XLOOKUP(C161,'[5]Country Codes'!$A$2:$A$267,'[5]Country Codes'!$B$2:$B$267)</f>
        <v>SLE</v>
      </c>
      <c r="E161" t="str">
        <f>_xlfn.XLOOKUP(D161,[6]Feuil1!$C$2:$C$248,[6]Feuil1!$B$2:$B$248)</f>
        <v>SL</v>
      </c>
      <c r="F161" t="s">
        <v>33</v>
      </c>
      <c r="G161" t="str">
        <f>_xlfn.XLOOKUP(C161,'Urban population'!C161:C360,'Urban population'!G161:G360)</f>
        <v>Western Africa</v>
      </c>
      <c r="H161" t="s">
        <v>34</v>
      </c>
      <c r="I161">
        <f>[1]data!F162-'Urban population'!I161</f>
        <v>1.7374578120000002</v>
      </c>
      <c r="J161">
        <f>[1]data!G162-'Urban population'!J161</f>
        <v>1.8068747399999998</v>
      </c>
      <c r="K161">
        <f>[1]data!H162-'Urban population'!K161</f>
        <v>1.8849460419999997</v>
      </c>
      <c r="L161">
        <f>[1]data!I162-'Urban population'!L161</f>
        <v>1.9869545039999998</v>
      </c>
      <c r="M161">
        <f>[1]data!J162-'Urban population'!M161</f>
        <v>2.0910313199999999</v>
      </c>
      <c r="N161">
        <f>[1]data!K162-'Urban population'!N161</f>
        <v>2.188718379</v>
      </c>
      <c r="O161">
        <f>[1]data!L162-'Urban population'!O161</f>
        <v>2.3397280920000001</v>
      </c>
      <c r="P161">
        <f>[1]data!M162-'Urban population'!P161</f>
        <v>2.5208721999999999</v>
      </c>
      <c r="Q161">
        <f>[1]data!N162-'Urban population'!Q161</f>
        <v>2.8063804889999995</v>
      </c>
      <c r="R161">
        <f>[1]data!O162-'Urban population'!R161</f>
        <v>2.8395806240000003</v>
      </c>
      <c r="S161">
        <f>[1]data!P162-'Urban population'!S161</f>
        <v>2.8885486559999993</v>
      </c>
      <c r="T161">
        <f>[1]data!Q162-'Urban population'!T161</f>
        <v>3.5422364969999998</v>
      </c>
      <c r="U161">
        <f>[1]data!R162-'Urban population'!U161</f>
        <v>3.8796813640000001</v>
      </c>
      <c r="V161">
        <f>[1]data!S162-'Urban population'!V161</f>
        <v>4.2788203039999999</v>
      </c>
      <c r="W161">
        <f>[1]data!T162-'Urban population'!W161</f>
        <v>4.6480581970000001</v>
      </c>
      <c r="X161">
        <f>[1]data!U162-'Urban population'!X161</f>
        <v>4.9243955803400059</v>
      </c>
      <c r="Y161">
        <f>[1]data!V162-'Urban population'!Y161</f>
        <v>5.1523970608400003</v>
      </c>
      <c r="Z161">
        <f>[1]data!W162-'Urban population'!Z161</f>
        <v>5.325963956399999</v>
      </c>
      <c r="AA161">
        <f>[1]data!X162-'Urban population'!AA161</f>
        <v>5.4437548472399993</v>
      </c>
      <c r="AB161">
        <f>[1]data!Y162-'Urban population'!AB161</f>
        <v>5.501683936640001</v>
      </c>
      <c r="AC161">
        <f>[1]data!Z162-'Urban population'!AC161</f>
        <v>5.5043533258999995</v>
      </c>
      <c r="AD161">
        <f>[1]data!AA162-'Urban population'!AD161</f>
        <v>5.4544699609399991</v>
      </c>
      <c r="AE161">
        <f>[1]data!AB162-'Urban population'!AE161</f>
        <v>5.3548433313000015</v>
      </c>
      <c r="AF161">
        <f>[1]data!AC162-'Urban population'!AF161</f>
        <v>5.2113513125199997</v>
      </c>
      <c r="AG161">
        <f>[1]data!AD162-'Urban population'!AG161</f>
        <v>5.0280129900000006</v>
      </c>
      <c r="AH161">
        <f>[1]data!AE162-'Urban population'!AH161</f>
        <v>4.8108869074000005</v>
      </c>
      <c r="AI161">
        <f>[1]data!AF162-'Urban population'!AI161</f>
        <v>4.5757885398599996</v>
      </c>
      <c r="AJ161">
        <f>[1]data!AG162-'Urban population'!AJ161</f>
        <v>4.3316261711999999</v>
      </c>
      <c r="AK161">
        <f>[1]data!AH162-'Urban population'!AK161</f>
        <v>4.082844596000001</v>
      </c>
      <c r="AL161">
        <f>[1]data!AI162-'Urban population'!AL161</f>
        <v>3.8345618057999982</v>
      </c>
      <c r="AM161">
        <f>[1]data!AJ162-'Urban population'!AM161</f>
        <v>3.5890327195800023</v>
      </c>
    </row>
    <row r="162" spans="1:39" x14ac:dyDescent="0.25">
      <c r="A162" t="s">
        <v>30</v>
      </c>
      <c r="B162" t="s">
        <v>31</v>
      </c>
      <c r="C162" t="s">
        <v>193</v>
      </c>
      <c r="D162" t="str">
        <f>_xlfn.XLOOKUP(C162,'[5]Country Codes'!$A$2:$A$267,'[5]Country Codes'!$B$2:$B$267)</f>
        <v>SLV</v>
      </c>
      <c r="E162" t="str">
        <f>_xlfn.XLOOKUP(D162,[6]Feuil1!$C$2:$C$248,[6]Feuil1!$B$2:$B$248)</f>
        <v>SV</v>
      </c>
      <c r="F162" t="s">
        <v>33</v>
      </c>
      <c r="G162" t="str">
        <f>_xlfn.XLOOKUP(C162,'Urban population'!C162:C361,'Urban population'!G162:G361)</f>
        <v>Central America</v>
      </c>
      <c r="H162" t="s">
        <v>34</v>
      </c>
      <c r="I162">
        <f>[1]data!F163-'Urban population'!I162</f>
        <v>1.37000996</v>
      </c>
      <c r="J162">
        <f>[1]data!G163-'Urban population'!J162</f>
        <v>1.5143259260000002</v>
      </c>
      <c r="K162">
        <f>[1]data!H163-'Urban population'!K162</f>
        <v>1.68831124</v>
      </c>
      <c r="L162">
        <f>[1]data!I163-'Urban population'!L162</f>
        <v>1.9162841880000001</v>
      </c>
      <c r="M162">
        <f>[1]data!J163-'Urban population'!M162</f>
        <v>2.1661270020000005</v>
      </c>
      <c r="N162">
        <f>[1]data!K163-'Urban population'!N162</f>
        <v>2.3539469039999998</v>
      </c>
      <c r="O162">
        <f>[1]data!L163-'Urban population'!O162</f>
        <v>2.5017648110000001</v>
      </c>
      <c r="P162">
        <f>[1]data!M163-'Urban population'!P162</f>
        <v>2.5739076350000003</v>
      </c>
      <c r="Q162">
        <f>[1]data!N163-'Urban population'!Q162</f>
        <v>2.6962310700000001</v>
      </c>
      <c r="R162">
        <f>[1]data!O163-'Urban population'!R162</f>
        <v>2.6324512000000002</v>
      </c>
      <c r="S162">
        <f>[1]data!P163-'Urban population'!S162</f>
        <v>2.4422470770000007</v>
      </c>
      <c r="T162">
        <f>[1]data!Q163-'Urban population'!T162</f>
        <v>2.3188727040000003</v>
      </c>
      <c r="U162">
        <f>[1]data!R163-'Urban population'!U162</f>
        <v>2.1053521499999999</v>
      </c>
      <c r="V162">
        <f>[1]data!S163-'Urban population'!V162</f>
        <v>1.8850381439999992</v>
      </c>
      <c r="W162">
        <f>[1]data!T163-'Urban population'!W162</f>
        <v>1.6707236559999998</v>
      </c>
      <c r="X162">
        <f>[1]data!U163-'Urban population'!X162</f>
        <v>1.57436590976</v>
      </c>
      <c r="Y162">
        <f>[1]data!V163-'Urban population'!Y162</f>
        <v>1.4823970451199999</v>
      </c>
      <c r="Z162">
        <f>[1]data!W163-'Urban population'!Z162</f>
        <v>1.3880870070900002</v>
      </c>
      <c r="AA162">
        <f>[1]data!X163-'Urban population'!AA162</f>
        <v>1.2934249446299999</v>
      </c>
      <c r="AB162">
        <f>[1]data!Y163-'Urban population'!AB162</f>
        <v>1.2007136374400025</v>
      </c>
      <c r="AC162">
        <f>[1]data!Z163-'Urban population'!AC162</f>
        <v>1.1107196037000007</v>
      </c>
      <c r="AD162">
        <f>[1]data!AA163-'Urban population'!AD162</f>
        <v>1.0241944031999992</v>
      </c>
      <c r="AE162">
        <f>[1]data!AB163-'Urban population'!AE162</f>
        <v>0.94161585600000031</v>
      </c>
      <c r="AF162">
        <f>[1]data!AC163-'Urban population'!AF162</f>
        <v>0.86557954773000034</v>
      </c>
      <c r="AG162">
        <f>[1]data!AD163-'Urban population'!AG162</f>
        <v>0.79542784931999932</v>
      </c>
      <c r="AH162">
        <f>[1]data!AE163-'Urban population'!AH162</f>
        <v>0.73082841503999951</v>
      </c>
      <c r="AI162">
        <f>[1]data!AF163-'Urban population'!AI162</f>
        <v>0.67124726784000011</v>
      </c>
      <c r="AJ162">
        <f>[1]data!AG163-'Urban population'!AJ162</f>
        <v>0.61654923263999972</v>
      </c>
      <c r="AK162">
        <f>[1]data!AH163-'Urban population'!AK162</f>
        <v>0.56684205459999948</v>
      </c>
      <c r="AL162">
        <f>[1]data!AI163-'Urban population'!AL162</f>
        <v>0.52210788898000082</v>
      </c>
      <c r="AM162">
        <f>[1]data!AJ163-'Urban population'!AM162</f>
        <v>0.48283755966000097</v>
      </c>
    </row>
    <row r="163" spans="1:39" x14ac:dyDescent="0.25">
      <c r="A163" t="s">
        <v>30</v>
      </c>
      <c r="B163" t="s">
        <v>31</v>
      </c>
      <c r="C163" t="s">
        <v>194</v>
      </c>
      <c r="D163" t="str">
        <f>_xlfn.XLOOKUP(C163,'[5]Country Codes'!$A$2:$A$267,'[5]Country Codes'!$B$2:$B$267)</f>
        <v>SOM</v>
      </c>
      <c r="E163" t="str">
        <f>_xlfn.XLOOKUP(D163,[6]Feuil1!$C$2:$C$248,[6]Feuil1!$B$2:$B$248)</f>
        <v>SO</v>
      </c>
      <c r="F163" t="s">
        <v>33</v>
      </c>
      <c r="G163" t="str">
        <f>_xlfn.XLOOKUP(C163,'Urban population'!C163:C362,'Urban population'!G163:G362)</f>
        <v>Eastern Africa</v>
      </c>
      <c r="H163" t="s">
        <v>34</v>
      </c>
      <c r="I163">
        <f>[1]data!F164-'Urban population'!I163</f>
        <v>1.9043333910000002</v>
      </c>
      <c r="J163">
        <f>[1]data!G164-'Urban population'!J163</f>
        <v>2.1253512250000002</v>
      </c>
      <c r="K163">
        <f>[1]data!H164-'Urban population'!K163</f>
        <v>2.3435443299999998</v>
      </c>
      <c r="L163">
        <f>[1]data!I164-'Urban population'!L163</f>
        <v>2.5798744</v>
      </c>
      <c r="M163">
        <f>[1]data!J164-'Urban population'!M163</f>
        <v>2.8387041330000002</v>
      </c>
      <c r="N163">
        <f>[1]data!K164-'Urban population'!N163</f>
        <v>3.1113211500000002</v>
      </c>
      <c r="O163">
        <f>[1]data!L164-'Urban population'!O163</f>
        <v>4.2265540919999998</v>
      </c>
      <c r="P163">
        <f>[1]data!M164-'Urban population'!P163</f>
        <v>4.6714961469999992</v>
      </c>
      <c r="Q163">
        <f>[1]data!N164-'Urban population'!Q163</f>
        <v>4.9299597349999997</v>
      </c>
      <c r="R163">
        <f>[1]data!O164-'Urban population'!R163</f>
        <v>4.83940415</v>
      </c>
      <c r="S163">
        <f>[1]data!P164-'Urban population'!S163</f>
        <v>5.7089250600000003</v>
      </c>
      <c r="T163">
        <f>[1]data!Q164-'Urban population'!T163</f>
        <v>6.5582296780000009</v>
      </c>
      <c r="U163">
        <f>[1]data!R164-'Urban population'!U163</f>
        <v>7.2085274410000011</v>
      </c>
      <c r="V163">
        <f>[1]data!S164-'Urban population'!V163</f>
        <v>7.6896487519999992</v>
      </c>
      <c r="W163">
        <f>[1]data!T164-'Urban population'!W163</f>
        <v>8.771073157</v>
      </c>
      <c r="X163">
        <f>[1]data!U164-'Urban population'!X163</f>
        <v>9.8718703801600007</v>
      </c>
      <c r="Y163">
        <f>[1]data!V164-'Urban population'!Y163</f>
        <v>11.058363465520001</v>
      </c>
      <c r="Z163">
        <f>[1]data!W164-'Urban population'!Z163</f>
        <v>12.24974253864</v>
      </c>
      <c r="AA163">
        <f>[1]data!X164-'Urban population'!AA163</f>
        <v>13.411304511990002</v>
      </c>
      <c r="AB163">
        <f>[1]data!Y164-'Urban population'!AB163</f>
        <v>14.5211630634</v>
      </c>
      <c r="AC163">
        <f>[1]data!Z164-'Urban population'!AC163</f>
        <v>15.544176649280001</v>
      </c>
      <c r="AD163">
        <f>[1]data!AA164-'Urban population'!AD163</f>
        <v>16.44196926207</v>
      </c>
      <c r="AE163">
        <f>[1]data!AB164-'Urban population'!AE163</f>
        <v>17.176343859119999</v>
      </c>
      <c r="AF163">
        <f>[1]data!AC164-'Urban population'!AF163</f>
        <v>17.758303760010001</v>
      </c>
      <c r="AG163">
        <f>[1]data!AD164-'Urban population'!AG163</f>
        <v>18.182497826759999</v>
      </c>
      <c r="AH163">
        <f>[1]data!AE164-'Urban population'!AH163</f>
        <v>18.4474109103</v>
      </c>
      <c r="AI163">
        <f>[1]data!AF164-'Urban population'!AI163</f>
        <v>18.559272465749999</v>
      </c>
      <c r="AJ163">
        <f>[1]data!AG164-'Urban population'!AJ163</f>
        <v>18.519937207679973</v>
      </c>
      <c r="AK163">
        <f>[1]data!AH164-'Urban population'!AK163</f>
        <v>18.337172092739998</v>
      </c>
      <c r="AL163">
        <f>[1]data!AI164-'Urban population'!AL163</f>
        <v>17.998490021309998</v>
      </c>
      <c r="AM163">
        <f>[1]data!AJ164-'Urban population'!AM163</f>
        <v>17.54432261603997</v>
      </c>
    </row>
    <row r="164" spans="1:39" x14ac:dyDescent="0.25">
      <c r="A164" t="s">
        <v>30</v>
      </c>
      <c r="B164" t="s">
        <v>31</v>
      </c>
      <c r="C164" t="s">
        <v>195</v>
      </c>
      <c r="D164" t="str">
        <f>_xlfn.XLOOKUP(C164,'[5]Country Codes'!$A$2:$A$267,'[5]Country Codes'!$B$2:$B$267)</f>
        <v>SRB</v>
      </c>
      <c r="E164" t="str">
        <f>_xlfn.XLOOKUP(D164,[6]Feuil1!$C$2:$C$248,[6]Feuil1!$B$2:$B$248)</f>
        <v>RS</v>
      </c>
      <c r="F164" t="s">
        <v>33</v>
      </c>
      <c r="G164" t="str">
        <f>_xlfn.XLOOKUP(C164,'Urban population'!C164:C363,'Urban population'!G164:G363)</f>
        <v>Central Europe</v>
      </c>
      <c r="H164" t="s">
        <v>34</v>
      </c>
      <c r="I164">
        <f>[1]data!F165-'Urban population'!I164</f>
        <v>4.766430605</v>
      </c>
      <c r="J164">
        <f>[1]data!G165-'Urban population'!J164</f>
        <v>4.7793805920000008</v>
      </c>
      <c r="K164">
        <f>[1]data!H165-'Urban population'!K164</f>
        <v>4.6452481789999993</v>
      </c>
      <c r="L164">
        <f>[1]data!I165-'Urban population'!L164</f>
        <v>4.5209653440000004</v>
      </c>
      <c r="M164">
        <f>[1]data!J165-'Urban population'!M164</f>
        <v>4.3224233939999994</v>
      </c>
      <c r="N164">
        <f>[1]data!K165-'Urban population'!N164</f>
        <v>4.2378141320000005</v>
      </c>
      <c r="O164">
        <f>[1]data!L165-'Urban population'!O164</f>
        <v>4.1793278449999995</v>
      </c>
      <c r="P164">
        <f>[1]data!M165-'Urban population'!P164</f>
        <v>4.0850134600000008</v>
      </c>
      <c r="Q164">
        <f>[1]data!N165-'Urban population'!Q164</f>
        <v>3.9597738399999995</v>
      </c>
      <c r="R164">
        <f>[1]data!O165-'Urban population'!R164</f>
        <v>3.8521636019999992</v>
      </c>
      <c r="S164">
        <f>[1]data!P165-'Urban population'!S164</f>
        <v>3.7505417359999997</v>
      </c>
      <c r="T164">
        <f>[1]data!Q165-'Urban population'!T164</f>
        <v>3.6182940339999998</v>
      </c>
      <c r="U164">
        <f>[1]data!R165-'Urban population'!U164</f>
        <v>3.4516529999999994</v>
      </c>
      <c r="V164">
        <f>[1]data!S165-'Urban population'!V164</f>
        <v>3.3369364839999998</v>
      </c>
      <c r="W164">
        <f>[1]data!T165-'Urban population'!W164</f>
        <v>3.2194514680000008</v>
      </c>
      <c r="X164">
        <f>[1]data!U165-'Urban population'!X164</f>
        <v>2.9400181979699997</v>
      </c>
      <c r="Y164">
        <f>[1]data!V165-'Urban population'!Y164</f>
        <v>2.7301284819000005</v>
      </c>
      <c r="Z164">
        <f>[1]data!W165-'Urban population'!Z164</f>
        <v>2.53604749398</v>
      </c>
      <c r="AA164">
        <f>[1]data!X165-'Urban population'!AA164</f>
        <v>2.3560456520999997</v>
      </c>
      <c r="AB164">
        <f>[1]data!Y165-'Urban population'!AB164</f>
        <v>2.1927375296800005</v>
      </c>
      <c r="AC164">
        <f>[1]data!Z165-'Urban population'!AC164</f>
        <v>2.0462753766000006</v>
      </c>
      <c r="AD164">
        <f>[1]data!AA165-'Urban population'!AD164</f>
        <v>1.9142637072399999</v>
      </c>
      <c r="AE164">
        <f>[1]data!AB165-'Urban population'!AE164</f>
        <v>1.7935460116200002</v>
      </c>
      <c r="AF164">
        <f>[1]data!AC165-'Urban population'!AF164</f>
        <v>1.6797155471999998</v>
      </c>
      <c r="AG164">
        <f>[1]data!AD165-'Urban population'!AG164</f>
        <v>1.5723773043999998</v>
      </c>
      <c r="AH164">
        <f>[1]data!AE165-'Urban population'!AH164</f>
        <v>1.4720028952100002</v>
      </c>
      <c r="AI164">
        <f>[1]data!AF165-'Urban population'!AI164</f>
        <v>1.3787708929400022</v>
      </c>
      <c r="AJ164">
        <f>[1]data!AG165-'Urban population'!AJ164</f>
        <v>1.29230393912</v>
      </c>
      <c r="AK164">
        <f>[1]data!AH165-'Urban population'!AK164</f>
        <v>1.2120658149599999</v>
      </c>
      <c r="AL164">
        <f>[1]data!AI165-'Urban population'!AL164</f>
        <v>1.1368214625599995</v>
      </c>
      <c r="AM164">
        <f>[1]data!AJ165-'Urban population'!AM164</f>
        <v>1.0653257590700003</v>
      </c>
    </row>
    <row r="165" spans="1:39" x14ac:dyDescent="0.25">
      <c r="A165" t="s">
        <v>30</v>
      </c>
      <c r="B165" t="s">
        <v>31</v>
      </c>
      <c r="C165" t="s">
        <v>196</v>
      </c>
      <c r="D165" t="str">
        <f>_xlfn.XLOOKUP(C165,'[5]Country Codes'!$A$2:$A$267,'[5]Country Codes'!$B$2:$B$267)</f>
        <v>SSD</v>
      </c>
      <c r="E165" t="str">
        <f>_xlfn.XLOOKUP(D165,[6]Feuil1!$C$2:$C$248,[6]Feuil1!$B$2:$B$248)</f>
        <v>SS</v>
      </c>
      <c r="F165" t="s">
        <v>33</v>
      </c>
      <c r="G165" t="str">
        <f>_xlfn.XLOOKUP(C165,'Urban population'!C165:C364,'Urban population'!G165:G364)</f>
        <v>Eastern Africa</v>
      </c>
      <c r="H165" t="s">
        <v>34</v>
      </c>
      <c r="I165">
        <f>[1]data!F166-'Urban population'!I165</f>
        <v>2.255649665</v>
      </c>
      <c r="J165">
        <f>[1]data!G166-'Urban population'!J165</f>
        <v>2.4363797279999999</v>
      </c>
      <c r="K165">
        <f>[1]data!H166-'Urban population'!K165</f>
        <v>2.6363559749999999</v>
      </c>
      <c r="L165">
        <f>[1]data!I166-'Urban population'!L165</f>
        <v>2.848040503</v>
      </c>
      <c r="M165">
        <f>[1]data!J166-'Urban population'!M165</f>
        <v>3.0358062139999999</v>
      </c>
      <c r="N165">
        <f>[1]data!K166-'Urban population'!N165</f>
        <v>3.357548838</v>
      </c>
      <c r="O165">
        <f>[1]data!L166-'Urban population'!O165</f>
        <v>3.7896646499999997</v>
      </c>
      <c r="P165">
        <f>[1]data!M166-'Urban population'!P165</f>
        <v>4.196260045999999</v>
      </c>
      <c r="Q165">
        <f>[1]data!N166-'Urban population'!Q165</f>
        <v>4.0693104509999998</v>
      </c>
      <c r="R165">
        <f>[1]data!O166-'Urban population'!R165</f>
        <v>4.4043422300000001</v>
      </c>
      <c r="S165">
        <f>[1]data!P166-'Urban population'!S165</f>
        <v>4.9912175100000002</v>
      </c>
      <c r="T165">
        <f>[1]data!Q166-'Urban population'!T165</f>
        <v>6.1969283639999997</v>
      </c>
      <c r="U165">
        <f>[1]data!R166-'Urban population'!U165</f>
        <v>7.740702443</v>
      </c>
      <c r="V165">
        <f>[1]data!S166-'Urban population'!V165</f>
        <v>9.0281103920000021</v>
      </c>
      <c r="W165">
        <f>[1]data!T166-'Urban population'!W165</f>
        <v>8.415260322</v>
      </c>
      <c r="X165">
        <f>[1]data!U166-'Urban population'!X165</f>
        <v>8.6079480784799998</v>
      </c>
      <c r="Y165">
        <f>[1]data!V166-'Urban population'!Y165</f>
        <v>8.8361044535600008</v>
      </c>
      <c r="Z165">
        <f>[1]data!W166-'Urban population'!Z165</f>
        <v>9.0682846988799994</v>
      </c>
      <c r="AA165">
        <f>[1]data!X166-'Urban population'!AA165</f>
        <v>9.2247130196100002</v>
      </c>
      <c r="AB165">
        <f>[1]data!Y166-'Urban population'!AB165</f>
        <v>9.2140700464300007</v>
      </c>
      <c r="AC165">
        <f>[1]data!Z166-'Urban population'!AC165</f>
        <v>9.0227529434800005</v>
      </c>
      <c r="AD165">
        <f>[1]data!AA166-'Urban population'!AD165</f>
        <v>8.7255844418399988</v>
      </c>
      <c r="AE165">
        <f>[1]data!AB166-'Urban population'!AE165</f>
        <v>8.3842557778</v>
      </c>
      <c r="AF165">
        <f>[1]data!AC166-'Urban population'!AF165</f>
        <v>8.0453763955200017</v>
      </c>
      <c r="AG165">
        <f>[1]data!AD166-'Urban population'!AG165</f>
        <v>7.692380173440001</v>
      </c>
      <c r="AH165">
        <f>[1]data!AE166-'Urban population'!AH165</f>
        <v>7.3079627446800011</v>
      </c>
      <c r="AI165">
        <f>[1]data!AF166-'Urban population'!AI165</f>
        <v>6.8981586324599995</v>
      </c>
      <c r="AJ165">
        <f>[1]data!AG166-'Urban population'!AJ165</f>
        <v>6.4907763479499989</v>
      </c>
      <c r="AK165">
        <f>[1]data!AH166-'Urban population'!AK165</f>
        <v>6.1048521687500008</v>
      </c>
      <c r="AL165">
        <f>[1]data!AI166-'Urban population'!AL165</f>
        <v>5.7458313549</v>
      </c>
      <c r="AM165">
        <f>[1]data!AJ166-'Urban population'!AM165</f>
        <v>5.4159851919599991</v>
      </c>
    </row>
    <row r="166" spans="1:39" x14ac:dyDescent="0.25">
      <c r="A166" t="s">
        <v>30</v>
      </c>
      <c r="B166" t="s">
        <v>31</v>
      </c>
      <c r="C166" t="s">
        <v>197</v>
      </c>
      <c r="D166" t="str">
        <f>_xlfn.XLOOKUP(C166,'[5]Country Codes'!$A$2:$A$267,'[5]Country Codes'!$B$2:$B$267)</f>
        <v>STP</v>
      </c>
      <c r="E166" t="str">
        <f>_xlfn.XLOOKUP(D166,[6]Feuil1!$C$2:$C$248,[6]Feuil1!$B$2:$B$248)</f>
        <v>ST</v>
      </c>
      <c r="F166" t="s">
        <v>33</v>
      </c>
      <c r="G166" t="str">
        <f>_xlfn.XLOOKUP(C166,'Urban population'!C166:C365,'Urban population'!G166:G365)</f>
        <v>Western Africa</v>
      </c>
      <c r="H166" t="s">
        <v>34</v>
      </c>
      <c r="I166">
        <f>[1]data!F167-'Urban population'!I166</f>
        <v>5.2268490000000001E-2</v>
      </c>
      <c r="J166">
        <f>[1]data!G167-'Urban population'!J166</f>
        <v>5.5418557E-2</v>
      </c>
      <c r="K166">
        <f>[1]data!H167-'Urban population'!K166</f>
        <v>5.6885038999999998E-2</v>
      </c>
      <c r="L166">
        <f>[1]data!I167-'Urban population'!L166</f>
        <v>5.5791790000000008E-2</v>
      </c>
      <c r="M166">
        <f>[1]data!J167-'Urban population'!M166</f>
        <v>5.4108749999999997E-2</v>
      </c>
      <c r="N166">
        <f>[1]data!K167-'Urban population'!N166</f>
        <v>5.8186512000000003E-2</v>
      </c>
      <c r="O166">
        <f>[1]data!L167-'Urban population'!O166</f>
        <v>6.3951055000000007E-2</v>
      </c>
      <c r="P166">
        <f>[1]data!M167-'Urban population'!P166</f>
        <v>6.5392019999999995E-2</v>
      </c>
      <c r="Q166">
        <f>[1]data!N167-'Urban population'!Q166</f>
        <v>6.7055651999999993E-2</v>
      </c>
      <c r="R166">
        <f>[1]data!O167-'Urban population'!R166</f>
        <v>6.7790946000000005E-2</v>
      </c>
      <c r="S166">
        <f>[1]data!P167-'Urban population'!S166</f>
        <v>6.6539673999999993E-2</v>
      </c>
      <c r="T166">
        <f>[1]data!Q167-'Urban population'!T166</f>
        <v>6.5147807999999974E-2</v>
      </c>
      <c r="U166">
        <f>[1]data!R167-'Urban population'!U166</f>
        <v>6.3060900000000003E-2</v>
      </c>
      <c r="V166">
        <f>[1]data!S167-'Urban population'!V166</f>
        <v>5.9404213999999983E-2</v>
      </c>
      <c r="W166">
        <f>[1]data!T167-'Urban population'!W166</f>
        <v>5.5352319999999983E-2</v>
      </c>
      <c r="X166">
        <f>[1]data!U167-'Urban population'!X166</f>
        <v>5.6145268530000014E-2</v>
      </c>
      <c r="Y166">
        <f>[1]data!V167-'Urban population'!Y166</f>
        <v>5.6688030420000035E-2</v>
      </c>
      <c r="Z166">
        <f>[1]data!W167-'Urban population'!Z166</f>
        <v>5.6894572670000004E-2</v>
      </c>
      <c r="AA166">
        <f>[1]data!X167-'Urban population'!AA166</f>
        <v>5.6669885449999985E-2</v>
      </c>
      <c r="AB166">
        <f>[1]data!Y167-'Urban population'!AB166</f>
        <v>5.6065928230000006E-2</v>
      </c>
      <c r="AC166">
        <f>[1]data!Z167-'Urban population'!AC166</f>
        <v>5.5055404440000011E-2</v>
      </c>
      <c r="AD166">
        <f>[1]data!AA167-'Urban population'!AD166</f>
        <v>5.3642251599999968E-2</v>
      </c>
      <c r="AE166">
        <f>[1]data!AB167-'Urban population'!AE166</f>
        <v>5.1940355160000062E-2</v>
      </c>
      <c r="AF166">
        <f>[1]data!AC167-'Urban population'!AF166</f>
        <v>5.0048134109999864E-2</v>
      </c>
      <c r="AG166">
        <f>[1]data!AD167-'Urban population'!AG166</f>
        <v>4.7999013719999983E-2</v>
      </c>
      <c r="AH166">
        <f>[1]data!AE167-'Urban population'!AH166</f>
        <v>4.5856661500000007E-2</v>
      </c>
      <c r="AI166">
        <f>[1]data!AF167-'Urban population'!AI166</f>
        <v>4.3726719649999968E-2</v>
      </c>
      <c r="AJ166">
        <f>[1]data!AG167-'Urban population'!AJ166</f>
        <v>4.1634805869999902E-2</v>
      </c>
      <c r="AK166">
        <f>[1]data!AH167-'Urban population'!AK166</f>
        <v>3.9558175459999956E-2</v>
      </c>
      <c r="AL166">
        <f>[1]data!AI167-'Urban population'!AL166</f>
        <v>3.7507754020000006E-2</v>
      </c>
      <c r="AM166">
        <f>[1]data!AJ167-'Urban population'!AM166</f>
        <v>3.5514341519999937E-2</v>
      </c>
    </row>
    <row r="167" spans="1:39" x14ac:dyDescent="0.25">
      <c r="A167" t="s">
        <v>30</v>
      </c>
      <c r="B167" t="s">
        <v>31</v>
      </c>
      <c r="C167" t="s">
        <v>198</v>
      </c>
      <c r="D167" t="str">
        <f>_xlfn.XLOOKUP(C167,'[5]Country Codes'!$A$2:$A$267,'[5]Country Codes'!$B$2:$B$267)</f>
        <v>SUR</v>
      </c>
      <c r="E167" t="str">
        <f>_xlfn.XLOOKUP(D167,[6]Feuil1!$C$2:$C$248,[6]Feuil1!$B$2:$B$248)</f>
        <v>SR</v>
      </c>
      <c r="F167" t="s">
        <v>33</v>
      </c>
      <c r="G167" t="str">
        <f>_xlfn.XLOOKUP(C167,'Urban population'!C167:C366,'Urban population'!G167:G366)</f>
        <v>Rest of South America</v>
      </c>
      <c r="H167" t="s">
        <v>34</v>
      </c>
      <c r="I167">
        <f>[1]data!F168-'Urban population'!I167</f>
        <v>0.10276177500000001</v>
      </c>
      <c r="J167">
        <f>[1]data!G168-'Urban population'!J167</f>
        <v>0.118260595</v>
      </c>
      <c r="K167">
        <f>[1]data!H168-'Urban population'!K167</f>
        <v>0.13897833200000001</v>
      </c>
      <c r="L167">
        <f>[1]data!I168-'Urban population'!L167</f>
        <v>0.166970386</v>
      </c>
      <c r="M167">
        <f>[1]data!J168-'Urban population'!M167</f>
        <v>0.20220253700000002</v>
      </c>
      <c r="N167">
        <f>[1]data!K168-'Urban population'!N167</f>
        <v>0.18217244299999999</v>
      </c>
      <c r="O167">
        <f>[1]data!L168-'Urban population'!O167</f>
        <v>0.13122514999999998</v>
      </c>
      <c r="P167">
        <f>[1]data!M168-'Urban population'!P167</f>
        <v>0.133445443</v>
      </c>
      <c r="Q167">
        <f>[1]data!N168-'Urban population'!Q167</f>
        <v>0.14104297199999999</v>
      </c>
      <c r="R167">
        <f>[1]data!O168-'Urban population'!R167</f>
        <v>0.14567914800000004</v>
      </c>
      <c r="S167">
        <f>[1]data!P168-'Urban population'!S167</f>
        <v>0.15952271999999995</v>
      </c>
      <c r="T167">
        <f>[1]data!Q168-'Urban population'!T167</f>
        <v>0.170947548</v>
      </c>
      <c r="U167">
        <f>[1]data!R168-'Urban population'!U167</f>
        <v>0.18300043600000004</v>
      </c>
      <c r="V167">
        <f>[1]data!S168-'Urban population'!V167</f>
        <v>0.19408767000000005</v>
      </c>
      <c r="W167">
        <f>[1]data!T168-'Urban population'!W167</f>
        <v>0.20469057300000004</v>
      </c>
      <c r="X167">
        <f>[1]data!U168-'Urban population'!X167</f>
        <v>0.20198561284999994</v>
      </c>
      <c r="Y167">
        <f>[1]data!V168-'Urban population'!Y167</f>
        <v>0.1987790589399997</v>
      </c>
      <c r="Z167">
        <f>[1]data!W168-'Urban population'!Z167</f>
        <v>0.19435317768000004</v>
      </c>
      <c r="AA167">
        <f>[1]data!X168-'Urban population'!AA167</f>
        <v>0.18882239251999988</v>
      </c>
      <c r="AB167">
        <f>[1]data!Y168-'Urban population'!AB167</f>
        <v>0.18241056868000005</v>
      </c>
      <c r="AC167">
        <f>[1]data!Z168-'Urban population'!AC167</f>
        <v>0.17535683349999964</v>
      </c>
      <c r="AD167">
        <f>[1]data!AA168-'Urban population'!AD167</f>
        <v>0.16783474927999975</v>
      </c>
      <c r="AE167">
        <f>[1]data!AB168-'Urban population'!AE167</f>
        <v>0.16001300864999979</v>
      </c>
      <c r="AF167">
        <f>[1]data!AC168-'Urban population'!AF167</f>
        <v>0.1520867469599998</v>
      </c>
      <c r="AG167">
        <f>[1]data!AD168-'Urban population'!AG167</f>
        <v>0.14425159550000011</v>
      </c>
      <c r="AH167">
        <f>[1]data!AE168-'Urban population'!AH167</f>
        <v>0.13655601845999998</v>
      </c>
      <c r="AI167">
        <f>[1]data!AF168-'Urban population'!AI167</f>
        <v>0.12899065412999999</v>
      </c>
      <c r="AJ167">
        <f>[1]data!AG168-'Urban population'!AJ167</f>
        <v>0.12165240295000002</v>
      </c>
      <c r="AK167">
        <f>[1]data!AH168-'Urban population'!AK167</f>
        <v>0.11448007508000002</v>
      </c>
      <c r="AL167">
        <f>[1]data!AI168-'Urban population'!AL167</f>
        <v>0.10756848607999991</v>
      </c>
      <c r="AM167">
        <f>[1]data!AJ168-'Urban population'!AM167</f>
        <v>0.10092175284000016</v>
      </c>
    </row>
    <row r="168" spans="1:39" x14ac:dyDescent="0.25">
      <c r="A168" t="s">
        <v>30</v>
      </c>
      <c r="B168" t="s">
        <v>31</v>
      </c>
      <c r="C168" t="s">
        <v>199</v>
      </c>
      <c r="D168" t="s">
        <v>267</v>
      </c>
      <c r="E168" t="str">
        <f>_xlfn.XLOOKUP(D168,[6]Feuil1!$C$2:$C$248,[6]Feuil1!$B$2:$B$248)</f>
        <v>SK</v>
      </c>
      <c r="F168" t="s">
        <v>33</v>
      </c>
      <c r="G168" t="str">
        <f>_xlfn.XLOOKUP(C168,'Urban population'!C168:C367,'Urban population'!G168:G367)</f>
        <v>Central Europe</v>
      </c>
      <c r="H168" t="s">
        <v>34</v>
      </c>
      <c r="I168">
        <f>[1]data!F169-'Urban population'!I168</f>
        <v>2.4068702000000002</v>
      </c>
      <c r="J168">
        <f>[1]data!G169-'Urban population'!J168</f>
        <v>2.5689398969999999</v>
      </c>
      <c r="K168">
        <f>[1]data!H169-'Urban population'!K168</f>
        <v>2.72228257</v>
      </c>
      <c r="L168">
        <f>[1]data!I169-'Urban population'!L168</f>
        <v>2.7368812800000004</v>
      </c>
      <c r="M168">
        <f>[1]data!J169-'Urban population'!M168</f>
        <v>2.6543573609999997</v>
      </c>
      <c r="N168">
        <f>[1]data!K169-'Urban population'!N168</f>
        <v>2.5308138750000002</v>
      </c>
      <c r="O168">
        <f>[1]data!L169-'Urban population'!O168</f>
        <v>2.3980559239999999</v>
      </c>
      <c r="P168">
        <f>[1]data!M169-'Urban population'!P168</f>
        <v>2.3500754019999999</v>
      </c>
      <c r="Q168">
        <f>[1]data!N169-'Urban population'!Q168</f>
        <v>2.2854552000000004</v>
      </c>
      <c r="R168">
        <f>[1]data!O169-'Urban population'!R168</f>
        <v>2.3254773750000002</v>
      </c>
      <c r="S168">
        <f>[1]data!P169-'Urban population'!S168</f>
        <v>2.354787864</v>
      </c>
      <c r="T168">
        <f>[1]data!Q169-'Urban population'!T168</f>
        <v>2.3868383279999996</v>
      </c>
      <c r="U168">
        <f>[1]data!R169-'Urban population'!U168</f>
        <v>2.4432989879999996</v>
      </c>
      <c r="V168">
        <f>[1]data!S169-'Urban population'!V168</f>
        <v>2.4995973199999995</v>
      </c>
      <c r="W168">
        <f>[1]data!T169-'Urban population'!W168</f>
        <v>2.5213844040000004</v>
      </c>
      <c r="X168">
        <f>[1]data!U169-'Urban population'!X168</f>
        <v>2.4180300309999998</v>
      </c>
      <c r="Y168">
        <f>[1]data!V169-'Urban population'!Y168</f>
        <v>2.2828078106000005</v>
      </c>
      <c r="Z168">
        <f>[1]data!W169-'Urban population'!Z168</f>
        <v>2.1449776766500039</v>
      </c>
      <c r="AA168">
        <f>[1]data!X169-'Urban population'!AA168</f>
        <v>2.0091156639600003</v>
      </c>
      <c r="AB168">
        <f>[1]data!Y169-'Urban population'!AB168</f>
        <v>1.8801328065000007</v>
      </c>
      <c r="AC168">
        <f>[1]data!Z169-'Urban population'!AC168</f>
        <v>1.7593255052100032</v>
      </c>
      <c r="AD168">
        <f>[1]data!AA169-'Urban population'!AD168</f>
        <v>1.6452877238800006</v>
      </c>
      <c r="AE168">
        <f>[1]data!AB169-'Urban population'!AE168</f>
        <v>1.5358779724599998</v>
      </c>
      <c r="AF168">
        <f>[1]data!AC169-'Urban population'!AF168</f>
        <v>1.4295213045000028</v>
      </c>
      <c r="AG168">
        <f>[1]data!AD169-'Urban population'!AG168</f>
        <v>1.3269391504999999</v>
      </c>
      <c r="AH168">
        <f>[1]data!AE169-'Urban population'!AH168</f>
        <v>1.2298164005000003</v>
      </c>
      <c r="AI168">
        <f>[1]data!AF169-'Urban population'!AI168</f>
        <v>1.14079697784</v>
      </c>
      <c r="AJ168">
        <f>[1]data!AG169-'Urban population'!AJ168</f>
        <v>1.0604892555400003</v>
      </c>
      <c r="AK168">
        <f>[1]data!AH169-'Urban population'!AK168</f>
        <v>0.98852239649999962</v>
      </c>
      <c r="AL168">
        <f>[1]data!AI169-'Urban population'!AL168</f>
        <v>0.92363129240000008</v>
      </c>
      <c r="AM168">
        <f>[1]data!AJ169-'Urban population'!AM168</f>
        <v>0.86409045605999957</v>
      </c>
    </row>
    <row r="169" spans="1:39" x14ac:dyDescent="0.25">
      <c r="A169" t="s">
        <v>30</v>
      </c>
      <c r="B169" t="s">
        <v>31</v>
      </c>
      <c r="C169" t="s">
        <v>200</v>
      </c>
      <c r="D169" t="str">
        <f>_xlfn.XLOOKUP(C169,'[5]Country Codes'!$A$2:$A$267,'[5]Country Codes'!$B$2:$B$267)</f>
        <v>SVN</v>
      </c>
      <c r="E169" t="str">
        <f>_xlfn.XLOOKUP(D169,[6]Feuil1!$C$2:$C$248,[6]Feuil1!$B$2:$B$248)</f>
        <v>SI</v>
      </c>
      <c r="F169" t="s">
        <v>33</v>
      </c>
      <c r="G169" t="str">
        <f>_xlfn.XLOOKUP(C169,'Urban population'!C169:C368,'Urban population'!G169:G368)</f>
        <v>Central Europe</v>
      </c>
      <c r="H169" t="s">
        <v>34</v>
      </c>
      <c r="I169">
        <f>[1]data!F170-'Urban population'!I169</f>
        <v>1.1520462600000001</v>
      </c>
      <c r="J169">
        <f>[1]data!G170-'Urban population'!J169</f>
        <v>1.1533639620000002</v>
      </c>
      <c r="K169">
        <f>[1]data!H170-'Urban population'!K169</f>
        <v>1.14336474</v>
      </c>
      <c r="L169">
        <f>[1]data!I170-'Urban population'!L169</f>
        <v>1.1219330250000001</v>
      </c>
      <c r="M169">
        <f>[1]data!J170-'Urban population'!M169</f>
        <v>1.0929441600000001</v>
      </c>
      <c r="N169">
        <f>[1]data!K170-'Urban population'!N169</f>
        <v>1.041927552</v>
      </c>
      <c r="O169">
        <f>[1]data!L170-'Urban population'!O169</f>
        <v>0.98450247999999996</v>
      </c>
      <c r="P169">
        <f>[1]data!M170-'Urban population'!P169</f>
        <v>0.98227231199999998</v>
      </c>
      <c r="Q169">
        <f>[1]data!N170-'Urban population'!Q169</f>
        <v>0.98373961600000004</v>
      </c>
      <c r="R169">
        <f>[1]data!O170-'Urban population'!R169</f>
        <v>0.98371010400000003</v>
      </c>
      <c r="S169">
        <f>[1]data!P170-'Urban population'!S169</f>
        <v>0.97671003600000006</v>
      </c>
      <c r="T169">
        <f>[1]data!Q170-'Urban population'!T169</f>
        <v>0.9703273750000001</v>
      </c>
      <c r="U169">
        <f>[1]data!R170-'Urban population'!U169</f>
        <v>0.97026064300000026</v>
      </c>
      <c r="V169">
        <f>[1]data!S170-'Urban population'!V169</f>
        <v>0.95919100200000007</v>
      </c>
      <c r="W169">
        <f>[1]data!T170-'Urban population'!W169</f>
        <v>0.95019894399999982</v>
      </c>
      <c r="X169">
        <f>[1]data!U170-'Urban population'!X169</f>
        <v>0.90189104167999989</v>
      </c>
      <c r="Y169">
        <f>[1]data!V170-'Urban population'!Y169</f>
        <v>0.85154116437999994</v>
      </c>
      <c r="Z169">
        <f>[1]data!W170-'Urban population'!Z169</f>
        <v>0.8023504294399999</v>
      </c>
      <c r="AA169">
        <f>[1]data!X170-'Urban population'!AA169</f>
        <v>0.75552566421999989</v>
      </c>
      <c r="AB169">
        <f>[1]data!Y170-'Urban population'!AB169</f>
        <v>0.71122620736999975</v>
      </c>
      <c r="AC169">
        <f>[1]data!Z170-'Urban population'!AC169</f>
        <v>0.66875796936000009</v>
      </c>
      <c r="AD169">
        <f>[1]data!AA170-'Urban population'!AD169</f>
        <v>0.6276668297900001</v>
      </c>
      <c r="AE169">
        <f>[1]data!AB170-'Urban population'!AE169</f>
        <v>0.58830909024999989</v>
      </c>
      <c r="AF169">
        <f>[1]data!AC170-'Urban population'!AF169</f>
        <v>0.55055745087000019</v>
      </c>
      <c r="AG169">
        <f>[1]data!AD170-'Urban population'!AG169</f>
        <v>0.51495727779</v>
      </c>
      <c r="AH169">
        <f>[1]data!AE170-'Urban population'!AH169</f>
        <v>0.48155273568000001</v>
      </c>
      <c r="AI169">
        <f>[1]data!AF170-'Urban population'!AI169</f>
        <v>0.45035363631999981</v>
      </c>
      <c r="AJ169">
        <f>[1]data!AG170-'Urban population'!AJ169</f>
        <v>0.42119461799999991</v>
      </c>
      <c r="AK169">
        <f>[1]data!AH170-'Urban population'!AK169</f>
        <v>0.39399282006000025</v>
      </c>
      <c r="AL169">
        <f>[1]data!AI170-'Urban population'!AL169</f>
        <v>0.36847914359999989</v>
      </c>
      <c r="AM169">
        <f>[1]data!AJ170-'Urban population'!AM169</f>
        <v>0.34429599543000022</v>
      </c>
    </row>
    <row r="170" spans="1:39" x14ac:dyDescent="0.25">
      <c r="A170" t="s">
        <v>30</v>
      </c>
      <c r="B170" t="s">
        <v>31</v>
      </c>
      <c r="C170" t="s">
        <v>201</v>
      </c>
      <c r="D170" t="str">
        <f>_xlfn.XLOOKUP(C170,'[5]Country Codes'!$A$2:$A$267,'[5]Country Codes'!$B$2:$B$267)</f>
        <v>SWE</v>
      </c>
      <c r="E170" t="str">
        <f>_xlfn.XLOOKUP(D170,[6]Feuil1!$C$2:$C$248,[6]Feuil1!$B$2:$B$248)</f>
        <v>SE</v>
      </c>
      <c r="F170" t="s">
        <v>33</v>
      </c>
      <c r="G170" t="str">
        <f>_xlfn.XLOOKUP(C170,'Urban population'!C170:C369,'Urban population'!G170:G369)</f>
        <v>Western Europe</v>
      </c>
      <c r="H170" t="s">
        <v>34</v>
      </c>
      <c r="I170">
        <f>[1]data!F171-'Urban population'!I170</f>
        <v>2.396249793</v>
      </c>
      <c r="J170">
        <f>[1]data!G171-'Urban population'!J170</f>
        <v>2.2227908270000007</v>
      </c>
      <c r="K170">
        <f>[1]data!H171-'Urban population'!K170</f>
        <v>2.0549188000000003</v>
      </c>
      <c r="L170">
        <f>[1]data!I171-'Urban population'!L170</f>
        <v>1.7687481390000004</v>
      </c>
      <c r="M170">
        <f>[1]data!J171-'Urban population'!M170</f>
        <v>1.5208694399999994</v>
      </c>
      <c r="N170">
        <f>[1]data!K171-'Urban population'!N170</f>
        <v>1.4205114769999998</v>
      </c>
      <c r="O170">
        <f>[1]data!L171-'Urban population'!O170</f>
        <v>1.4033305390000006</v>
      </c>
      <c r="P170">
        <f>[1]data!M171-'Urban population'!P170</f>
        <v>1.4162590390000007</v>
      </c>
      <c r="Q170">
        <f>[1]data!N171-'Urban population'!Q170</f>
        <v>1.4408417790000003</v>
      </c>
      <c r="R170">
        <f>[1]data!O171-'Urban population'!R170</f>
        <v>1.4164364699999998</v>
      </c>
      <c r="S170">
        <f>[1]data!P171-'Urban population'!S170</f>
        <v>1.4174068800000006</v>
      </c>
      <c r="T170">
        <f>[1]data!Q171-'Urban population'!T170</f>
        <v>1.4172912810000007</v>
      </c>
      <c r="U170">
        <f>[1]data!R171-'Urban population'!U170</f>
        <v>1.3915905660000005</v>
      </c>
      <c r="V170">
        <f>[1]data!S171-'Urban population'!V170</f>
        <v>1.3129689839999994</v>
      </c>
      <c r="W170">
        <f>[1]data!T171-'Urban population'!W170</f>
        <v>1.2385696799999995</v>
      </c>
      <c r="X170">
        <f>[1]data!U171-'Urban population'!X170</f>
        <v>1.1945295540000007</v>
      </c>
      <c r="Y170">
        <f>[1]data!V171-'Urban population'!Y170</f>
        <v>1.1430178463999994</v>
      </c>
      <c r="Z170">
        <f>[1]data!W171-'Urban population'!Z170</f>
        <v>1.0894199412500001</v>
      </c>
      <c r="AA170">
        <f>[1]data!X171-'Urban population'!AA170</f>
        <v>1.0367095740399996</v>
      </c>
      <c r="AB170">
        <f>[1]data!Y171-'Urban population'!AB170</f>
        <v>0.98647065663999989</v>
      </c>
      <c r="AC170">
        <f>[1]data!Z171-'Urban population'!AC170</f>
        <v>0.93880984680000168</v>
      </c>
      <c r="AD170">
        <f>[1]data!AA171-'Urban population'!AD170</f>
        <v>0.88917395640000052</v>
      </c>
      <c r="AE170">
        <f>[1]data!AB171-'Urban population'!AE170</f>
        <v>0.83804006949999987</v>
      </c>
      <c r="AF170">
        <f>[1]data!AC171-'Urban population'!AF170</f>
        <v>0.78568875809999916</v>
      </c>
      <c r="AG170">
        <f>[1]data!AD171-'Urban population'!AG170</f>
        <v>0.73396678088999856</v>
      </c>
      <c r="AH170">
        <f>[1]data!AE171-'Urban population'!AH170</f>
        <v>0.68355830167999976</v>
      </c>
      <c r="AI170">
        <f>[1]data!AF171-'Urban population'!AI170</f>
        <v>0.63406992245000104</v>
      </c>
      <c r="AJ170">
        <f>[1]data!AG171-'Urban population'!AJ170</f>
        <v>0.58468285510000051</v>
      </c>
      <c r="AK170">
        <f>[1]data!AH171-'Urban population'!AK170</f>
        <v>0.5362521672299998</v>
      </c>
      <c r="AL170">
        <f>[1]data!AI171-'Urban population'!AL170</f>
        <v>0.48987053653999979</v>
      </c>
      <c r="AM170">
        <f>[1]data!AJ171-'Urban population'!AM170</f>
        <v>0.44661242389999956</v>
      </c>
    </row>
    <row r="171" spans="1:39" x14ac:dyDescent="0.25">
      <c r="A171" t="s">
        <v>30</v>
      </c>
      <c r="B171" t="s">
        <v>31</v>
      </c>
      <c r="C171" t="s">
        <v>202</v>
      </c>
      <c r="D171" t="str">
        <f>_xlfn.XLOOKUP(C171,'[5]Country Codes'!$A$2:$A$267,'[5]Country Codes'!$B$2:$B$267)</f>
        <v>SWZ</v>
      </c>
      <c r="E171" t="str">
        <f>_xlfn.XLOOKUP(D171,[6]Feuil1!$C$2:$C$248,[6]Feuil1!$B$2:$B$248)</f>
        <v>SZ</v>
      </c>
      <c r="F171" t="s">
        <v>33</v>
      </c>
      <c r="G171" t="s">
        <v>253</v>
      </c>
      <c r="H171" t="s">
        <v>34</v>
      </c>
      <c r="I171">
        <f>[1]data!F172-'Urban population'!I171</f>
        <v>0.26230057800000001</v>
      </c>
      <c r="J171">
        <f>[1]data!G172-'Urban population'!J171</f>
        <v>0.29583547500000001</v>
      </c>
      <c r="K171">
        <f>[1]data!H172-'Urban population'!K171</f>
        <v>0.32784226699999997</v>
      </c>
      <c r="L171">
        <f>[1]data!I172-'Urban population'!L171</f>
        <v>0.35827984499999999</v>
      </c>
      <c r="M171">
        <f>[1]data!J172-'Urban population'!M171</f>
        <v>0.39459926100000003</v>
      </c>
      <c r="N171">
        <f>[1]data!K172-'Urban population'!N171</f>
        <v>0.43159444000000002</v>
      </c>
      <c r="O171">
        <f>[1]data!L172-'Urban population'!O171</f>
        <v>0.49153861500000001</v>
      </c>
      <c r="P171">
        <f>[1]data!M172-'Urban population'!P171</f>
        <v>0.56251512100000001</v>
      </c>
      <c r="Q171">
        <f>[1]data!N172-'Urban population'!Q171</f>
        <v>0.66741527999999994</v>
      </c>
      <c r="R171">
        <f>[1]data!O172-'Urban population'!R171</f>
        <v>0.73282133400000005</v>
      </c>
      <c r="S171">
        <f>[1]data!P172-'Urban population'!S171</f>
        <v>0.79211010599999998</v>
      </c>
      <c r="T171">
        <f>[1]data!Q172-'Urban population'!T171</f>
        <v>0.83384261999999998</v>
      </c>
      <c r="U171">
        <f>[1]data!R172-'Urban population'!U171</f>
        <v>0.85042532500000001</v>
      </c>
      <c r="V171">
        <f>[1]data!S172-'Urban population'!V171</f>
        <v>0.86652131799999998</v>
      </c>
      <c r="W171">
        <f>[1]data!T172-'Urban population'!W171</f>
        <v>0.89005876000000006</v>
      </c>
      <c r="X171">
        <f>[1]data!U172-'Urban population'!X171</f>
        <v>0.90483569980000012</v>
      </c>
      <c r="Y171">
        <f>[1]data!V172-'Urban population'!Y171</f>
        <v>0.91489361663999991</v>
      </c>
      <c r="Z171">
        <f>[1]data!W172-'Urban population'!Z171</f>
        <v>0.91582453507999984</v>
      </c>
      <c r="AA171">
        <f>[1]data!X172-'Urban population'!AA171</f>
        <v>0.90709480028</v>
      </c>
      <c r="AB171">
        <f>[1]data!Y172-'Urban population'!AB171</f>
        <v>0.88940980464999997</v>
      </c>
      <c r="AC171">
        <f>[1]data!Z172-'Urban population'!AC171</f>
        <v>0.86230954220000011</v>
      </c>
      <c r="AD171">
        <f>[1]data!AA172-'Urban population'!AD171</f>
        <v>0.82654660700000004</v>
      </c>
      <c r="AE171">
        <f>[1]data!AB172-'Urban population'!AE171</f>
        <v>0.78402686395999999</v>
      </c>
      <c r="AF171">
        <f>[1]data!AC172-'Urban population'!AF171</f>
        <v>0.73977299616000003</v>
      </c>
      <c r="AG171">
        <f>[1]data!AD172-'Urban population'!AG171</f>
        <v>0.69475241447999936</v>
      </c>
      <c r="AH171">
        <f>[1]data!AE172-'Urban population'!AH171</f>
        <v>0.64971085305000009</v>
      </c>
      <c r="AI171">
        <f>[1]data!AF172-'Urban population'!AI171</f>
        <v>0.60525492827999994</v>
      </c>
      <c r="AJ171">
        <f>[1]data!AG172-'Urban population'!AJ171</f>
        <v>0.56193017645999987</v>
      </c>
      <c r="AK171">
        <f>[1]data!AH172-'Urban population'!AK171</f>
        <v>0.52040174784000015</v>
      </c>
      <c r="AL171">
        <f>[1]data!AI172-'Urban population'!AL171</f>
        <v>0.48105209006000005</v>
      </c>
      <c r="AM171">
        <f>[1]data!AJ172-'Urban population'!AM171</f>
        <v>0.44450358209999996</v>
      </c>
    </row>
    <row r="172" spans="1:39" x14ac:dyDescent="0.25">
      <c r="A172" t="s">
        <v>30</v>
      </c>
      <c r="B172" t="s">
        <v>31</v>
      </c>
      <c r="C172" t="s">
        <v>203</v>
      </c>
      <c r="D172" t="str">
        <f>_xlfn.XLOOKUP(C172,'[5]Country Codes'!$A$2:$A$267,'[5]Country Codes'!$B$2:$B$267)</f>
        <v>SYC</v>
      </c>
      <c r="E172" t="str">
        <f>_xlfn.XLOOKUP(D172,[6]Feuil1!$C$2:$C$248,[6]Feuil1!$B$2:$B$248)</f>
        <v>SC</v>
      </c>
      <c r="F172" t="s">
        <v>33</v>
      </c>
      <c r="G172" t="str">
        <f>_xlfn.XLOOKUP(C172,'Urban population'!C172:C371,'Urban population'!G172:G371)</f>
        <v>Eastern Africa</v>
      </c>
      <c r="H172" t="s">
        <v>34</v>
      </c>
      <c r="I172">
        <f>[1]data!F173-'Urban population'!I172</f>
        <v>2.7615587999999996E-2</v>
      </c>
      <c r="J172">
        <f>[1]data!G173-'Urban population'!J172</f>
        <v>2.8661424999999997E-2</v>
      </c>
      <c r="K172">
        <f>[1]data!H173-'Urban population'!K172</f>
        <v>3.0901743000000002E-2</v>
      </c>
      <c r="L172">
        <f>[1]data!I173-'Urban population'!L172</f>
        <v>3.1822323E-2</v>
      </c>
      <c r="M172">
        <f>[1]data!J173-'Urban population'!M172</f>
        <v>3.2725832999999996E-2</v>
      </c>
      <c r="N172">
        <f>[1]data!K173-'Urban population'!N172</f>
        <v>3.2360157000000001E-2</v>
      </c>
      <c r="O172">
        <f>[1]data!L173-'Urban population'!O172</f>
        <v>3.2870266000000002E-2</v>
      </c>
      <c r="P172">
        <f>[1]data!M173-'Urban population'!P172</f>
        <v>3.4274721000000001E-2</v>
      </c>
      <c r="Q172">
        <f>[1]data!N173-'Urban population'!Q172</f>
        <v>3.5855547000000002E-2</v>
      </c>
      <c r="R172">
        <f>[1]data!O173-'Urban population'!R172</f>
        <v>3.746232E-2</v>
      </c>
      <c r="S172">
        <f>[1]data!P173-'Urban population'!S172</f>
        <v>3.9402736000000001E-2</v>
      </c>
      <c r="T172">
        <f>[1]data!Q173-'Urban population'!T172</f>
        <v>4.1183960999999998E-2</v>
      </c>
      <c r="U172">
        <f>[1]data!R173-'Urban population'!U172</f>
        <v>4.2839778000000009E-2</v>
      </c>
      <c r="V172">
        <f>[1]data!S173-'Urban population'!V172</f>
        <v>4.3984966000000007E-2</v>
      </c>
      <c r="W172">
        <f>[1]data!T173-'Urban population'!W172</f>
        <v>4.4629675000000001E-2</v>
      </c>
      <c r="X172">
        <f>[1]data!U173-'Urban population'!X172</f>
        <v>4.3842461999999999E-2</v>
      </c>
      <c r="Y172">
        <f>[1]data!V173-'Urban population'!Y172</f>
        <v>4.2882041300000007E-2</v>
      </c>
      <c r="Z172">
        <f>[1]data!W173-'Urban population'!Z172</f>
        <v>4.1701640400000003E-2</v>
      </c>
      <c r="AA172">
        <f>[1]data!X173-'Urban population'!AA172</f>
        <v>4.0320627600000006E-2</v>
      </c>
      <c r="AB172">
        <f>[1]data!Y173-'Urban population'!AB172</f>
        <v>3.8740121969999999E-2</v>
      </c>
      <c r="AC172">
        <f>[1]data!Z173-'Urban population'!AC172</f>
        <v>3.7034708099999994E-2</v>
      </c>
      <c r="AD172">
        <f>[1]data!AA173-'Urban population'!AD172</f>
        <v>3.5267645460000011E-2</v>
      </c>
      <c r="AE172">
        <f>[1]data!AB173-'Urban population'!AE172</f>
        <v>3.3483357830000005E-2</v>
      </c>
      <c r="AF172">
        <f>[1]data!AC173-'Urban population'!AF172</f>
        <v>3.1714020799999978E-2</v>
      </c>
      <c r="AG172">
        <f>[1]data!AD173-'Urban population'!AG172</f>
        <v>2.9983792410000001E-2</v>
      </c>
      <c r="AH172">
        <f>[1]data!AE173-'Urban population'!AH172</f>
        <v>2.8313449500000004E-2</v>
      </c>
      <c r="AI172">
        <f>[1]data!AF173-'Urban population'!AI172</f>
        <v>2.6711039060000011E-2</v>
      </c>
      <c r="AJ172">
        <f>[1]data!AG173-'Urban population'!AJ172</f>
        <v>2.5183308360000004E-2</v>
      </c>
      <c r="AK172">
        <f>[1]data!AH173-'Urban population'!AK172</f>
        <v>2.3710981079999999E-2</v>
      </c>
      <c r="AL172">
        <f>[1]data!AI173-'Urban population'!AL172</f>
        <v>2.2275691360000002E-2</v>
      </c>
      <c r="AM172">
        <f>[1]data!AJ173-'Urban population'!AM172</f>
        <v>2.0871648079999999E-2</v>
      </c>
    </row>
    <row r="173" spans="1:39" x14ac:dyDescent="0.25">
      <c r="A173" t="s">
        <v>30</v>
      </c>
      <c r="B173" t="s">
        <v>31</v>
      </c>
      <c r="C173" t="s">
        <v>204</v>
      </c>
      <c r="D173" t="s">
        <v>268</v>
      </c>
      <c r="E173" t="str">
        <f>_xlfn.XLOOKUP(D173,[6]Feuil1!$C$2:$C$248,[6]Feuil1!$B$2:$B$248)</f>
        <v>SY</v>
      </c>
      <c r="F173" t="s">
        <v>33</v>
      </c>
      <c r="G173" t="str">
        <f>_xlfn.XLOOKUP(C173,'Urban population'!C173:C372,'Urban population'!G173:G372)</f>
        <v>Middle East</v>
      </c>
      <c r="H173" t="s">
        <v>34</v>
      </c>
      <c r="I173">
        <f>[1]data!F174-'Urban population'!I173</f>
        <v>2.3596046270000004</v>
      </c>
      <c r="J173">
        <f>[1]data!G174-'Urban population'!J173</f>
        <v>2.5699193739999995</v>
      </c>
      <c r="K173">
        <f>[1]data!H174-'Urban population'!K173</f>
        <v>2.8692376560000001</v>
      </c>
      <c r="L173">
        <f>[1]data!I174-'Urban population'!L173</f>
        <v>3.1701671999999999</v>
      </c>
      <c r="M173">
        <f>[1]data!J174-'Urban population'!M173</f>
        <v>3.5228821319999999</v>
      </c>
      <c r="N173">
        <f>[1]data!K174-'Urban population'!N173</f>
        <v>4.0454783370000005</v>
      </c>
      <c r="O173">
        <f>[1]data!L174-'Urban population'!O173</f>
        <v>4.662565141</v>
      </c>
      <c r="P173">
        <f>[1]data!M174-'Urban population'!P173</f>
        <v>5.3974162039999998</v>
      </c>
      <c r="Q173">
        <f>[1]data!N174-'Urban population'!Q173</f>
        <v>6.2453168049999999</v>
      </c>
      <c r="R173">
        <f>[1]data!O174-'Urban population'!R173</f>
        <v>7.0436938810000003</v>
      </c>
      <c r="S173">
        <f>[1]data!P174-'Urban population'!S173</f>
        <v>7.7454626730000005</v>
      </c>
      <c r="T173">
        <f>[1]data!Q174-'Urban population'!T173</f>
        <v>8.4684248880000013</v>
      </c>
      <c r="U173">
        <f>[1]data!R174-'Urban population'!U173</f>
        <v>9.8059646639999993</v>
      </c>
      <c r="V173">
        <f>[1]data!S174-'Urban population'!V173</f>
        <v>9.3172386179999993</v>
      </c>
      <c r="W173">
        <f>[1]data!T174-'Urban population'!W173</f>
        <v>9.1162855749999991</v>
      </c>
      <c r="X173">
        <f>[1]data!U174-'Urban population'!X173</f>
        <v>9.3211707731999986</v>
      </c>
      <c r="Y173">
        <f>[1]data!V174-'Urban population'!Y173</f>
        <v>9.5497330203399997</v>
      </c>
      <c r="Z173">
        <f>[1]data!W174-'Urban population'!Z173</f>
        <v>9.7877856680000015</v>
      </c>
      <c r="AA173">
        <f>[1]data!X174-'Urban population'!AA173</f>
        <v>9.9431589357000014</v>
      </c>
      <c r="AB173">
        <f>[1]data!Y174-'Urban population'!AB173</f>
        <v>9.9763787040700045</v>
      </c>
      <c r="AC173">
        <f>[1]data!Z174-'Urban population'!AC173</f>
        <v>9.887661167040001</v>
      </c>
      <c r="AD173">
        <f>[1]data!AA174-'Urban population'!AD173</f>
        <v>9.7332157267199975</v>
      </c>
      <c r="AE173">
        <f>[1]data!AB174-'Urban population'!AE173</f>
        <v>9.5460002198399998</v>
      </c>
      <c r="AF173">
        <f>[1]data!AC174-'Urban population'!AF173</f>
        <v>9.3480777194999725</v>
      </c>
      <c r="AG173">
        <f>[1]data!AD174-'Urban population'!AG173</f>
        <v>9.131571968400003</v>
      </c>
      <c r="AH173">
        <f>[1]data!AE174-'Urban population'!AH173</f>
        <v>8.8886749219199999</v>
      </c>
      <c r="AI173">
        <f>[1]data!AF174-'Urban population'!AI173</f>
        <v>8.6165569337699957</v>
      </c>
      <c r="AJ173">
        <f>[1]data!AG174-'Urban population'!AJ173</f>
        <v>8.3161957367400028</v>
      </c>
      <c r="AK173">
        <f>[1]data!AH174-'Urban population'!AK173</f>
        <v>7.9978480070999964</v>
      </c>
      <c r="AL173">
        <f>[1]data!AI174-'Urban population'!AL173</f>
        <v>7.6612323915000005</v>
      </c>
      <c r="AM173">
        <f>[1]data!AJ174-'Urban population'!AM173</f>
        <v>7.3162099964800014</v>
      </c>
    </row>
    <row r="174" spans="1:39" x14ac:dyDescent="0.25">
      <c r="A174" t="s">
        <v>30</v>
      </c>
      <c r="B174" t="s">
        <v>31</v>
      </c>
      <c r="C174" t="s">
        <v>205</v>
      </c>
      <c r="D174" t="str">
        <f>_xlfn.XLOOKUP(C174,'[5]Country Codes'!$A$2:$A$267,'[5]Country Codes'!$B$2:$B$267)</f>
        <v>TCD</v>
      </c>
      <c r="E174" t="str">
        <f>_xlfn.XLOOKUP(D174,[6]Feuil1!$C$2:$C$248,[6]Feuil1!$B$2:$B$248)</f>
        <v>TD</v>
      </c>
      <c r="F174" t="s">
        <v>33</v>
      </c>
      <c r="G174" t="str">
        <f>_xlfn.XLOOKUP(C174,'Urban population'!C174:C373,'Urban population'!G174:G373)</f>
        <v>Western Africa</v>
      </c>
      <c r="H174" t="s">
        <v>34</v>
      </c>
      <c r="I174">
        <f>[1]data!F175-'Urban population'!I174</f>
        <v>2.3768307399999999</v>
      </c>
      <c r="J174">
        <f>[1]data!G175-'Urban population'!J174</f>
        <v>2.5804481850000003</v>
      </c>
      <c r="K174">
        <f>[1]data!H175-'Urban population'!K174</f>
        <v>2.7986491920000001</v>
      </c>
      <c r="L174">
        <f>[1]data!I175-'Urban population'!L174</f>
        <v>3.0275329719999999</v>
      </c>
      <c r="M174">
        <f>[1]data!J175-'Urban population'!M174</f>
        <v>3.2091622160000002</v>
      </c>
      <c r="N174">
        <f>[1]data!K175-'Urban population'!N174</f>
        <v>3.4127612639999998</v>
      </c>
      <c r="O174">
        <f>[1]data!L175-'Urban population'!O174</f>
        <v>3.6171270800000004</v>
      </c>
      <c r="P174">
        <f>[1]data!M175-'Urban population'!P174</f>
        <v>3.9392964820000005</v>
      </c>
      <c r="Q174">
        <f>[1]data!N175-'Urban population'!Q174</f>
        <v>4.5649961279999998</v>
      </c>
      <c r="R174">
        <f>[1]data!O175-'Urban population'!R174</f>
        <v>5.2600385100000002</v>
      </c>
      <c r="S174">
        <f>[1]data!P175-'Urban population'!S174</f>
        <v>6.3690129440000005</v>
      </c>
      <c r="T174">
        <f>[1]data!Q175-'Urban population'!T174</f>
        <v>7.6854459519999994</v>
      </c>
      <c r="U174">
        <f>[1]data!R175-'Urban population'!U174</f>
        <v>9.1191750000000003</v>
      </c>
      <c r="V174">
        <f>[1]data!S175-'Urban population'!V174</f>
        <v>10.798286574999999</v>
      </c>
      <c r="W174">
        <f>[1]data!T175-'Urban population'!W174</f>
        <v>12.530080350000002</v>
      </c>
      <c r="X174">
        <f>[1]data!U175-'Urban population'!X174</f>
        <v>14.276127586500001</v>
      </c>
      <c r="Y174">
        <f>[1]data!V175-'Urban population'!Y174</f>
        <v>16.064014229199998</v>
      </c>
      <c r="Z174">
        <f>[1]data!W175-'Urban population'!Z174</f>
        <v>17.8745898771</v>
      </c>
      <c r="AA174">
        <f>[1]data!X175-'Urban population'!AA174</f>
        <v>19.654615971960002</v>
      </c>
      <c r="AB174">
        <f>[1]data!Y175-'Urban population'!AB174</f>
        <v>21.318794804669999</v>
      </c>
      <c r="AC174">
        <f>[1]data!Z175-'Urban population'!AC174</f>
        <v>22.831229004080001</v>
      </c>
      <c r="AD174">
        <f>[1]data!AA175-'Urban population'!AD174</f>
        <v>24.149643950659939</v>
      </c>
      <c r="AE174">
        <f>[1]data!AB175-'Urban population'!AE174</f>
        <v>25.235300887439944</v>
      </c>
      <c r="AF174">
        <f>[1]data!AC175-'Urban population'!AF174</f>
        <v>26.087875966199999</v>
      </c>
      <c r="AG174">
        <f>[1]data!AD175-'Urban population'!AG174</f>
        <v>26.694496151069945</v>
      </c>
      <c r="AH174">
        <f>[1]data!AE175-'Urban population'!AH174</f>
        <v>27.07821024295</v>
      </c>
      <c r="AI174">
        <f>[1]data!AF175-'Urban population'!AI174</f>
        <v>27.206621465519955</v>
      </c>
      <c r="AJ174">
        <f>[1]data!AG175-'Urban population'!AJ174</f>
        <v>27.134076942070003</v>
      </c>
      <c r="AK174">
        <f>[1]data!AH175-'Urban population'!AK174</f>
        <v>26.827887620639999</v>
      </c>
      <c r="AL174">
        <f>[1]data!AI175-'Urban population'!AL174</f>
        <v>26.299471088719997</v>
      </c>
      <c r="AM174">
        <f>[1]data!AJ175-'Urban population'!AM174</f>
        <v>25.587669431520006</v>
      </c>
    </row>
    <row r="175" spans="1:39" x14ac:dyDescent="0.25">
      <c r="A175" t="s">
        <v>30</v>
      </c>
      <c r="B175" t="s">
        <v>31</v>
      </c>
      <c r="C175" t="s">
        <v>206</v>
      </c>
      <c r="D175" t="str">
        <f>_xlfn.XLOOKUP(C175,'[5]Country Codes'!$A$2:$A$267,'[5]Country Codes'!$B$2:$B$267)</f>
        <v>TGO</v>
      </c>
      <c r="E175" t="str">
        <f>_xlfn.XLOOKUP(D175,[6]Feuil1!$C$2:$C$248,[6]Feuil1!$B$2:$B$248)</f>
        <v>TG</v>
      </c>
      <c r="F175" t="s">
        <v>33</v>
      </c>
      <c r="G175" t="str">
        <f>_xlfn.XLOOKUP(C175,'Urban population'!C175:C374,'Urban population'!G175:G374)</f>
        <v>Western Africa</v>
      </c>
      <c r="H175" t="s">
        <v>34</v>
      </c>
      <c r="I175">
        <f>[1]data!F176-'Urban population'!I175</f>
        <v>1.326348664</v>
      </c>
      <c r="J175">
        <f>[1]data!G176-'Urban population'!J175</f>
        <v>1.4052901979999999</v>
      </c>
      <c r="K175">
        <f>[1]data!H176-'Urban population'!K175</f>
        <v>1.4723192700000001</v>
      </c>
      <c r="L175">
        <f>[1]data!I176-'Urban population'!L175</f>
        <v>1.5240670000000001</v>
      </c>
      <c r="M175">
        <f>[1]data!J176-'Urban population'!M175</f>
        <v>1.7004118749999999</v>
      </c>
      <c r="N175">
        <f>[1]data!K176-'Urban population'!N175</f>
        <v>1.9120630380000001</v>
      </c>
      <c r="O175">
        <f>[1]data!L176-'Urban population'!O175</f>
        <v>2.1061703670000003</v>
      </c>
      <c r="P175">
        <f>[1]data!M176-'Urban population'!P175</f>
        <v>2.4114491020000002</v>
      </c>
      <c r="Q175">
        <f>[1]data!N176-'Urban population'!Q175</f>
        <v>2.7269459280000001</v>
      </c>
      <c r="R175">
        <f>[1]data!O176-'Urban population'!R175</f>
        <v>2.9058106769999998</v>
      </c>
      <c r="S175">
        <f>[1]data!P176-'Urban population'!S175</f>
        <v>3.313843544</v>
      </c>
      <c r="T175">
        <f>[1]data!Q176-'Urban population'!T175</f>
        <v>3.65346612</v>
      </c>
      <c r="U175">
        <f>[1]data!R176-'Urban population'!U175</f>
        <v>4.0525043749999998</v>
      </c>
      <c r="V175">
        <f>[1]data!S176-'Urban population'!V175</f>
        <v>4.4205810650000004</v>
      </c>
      <c r="W175">
        <f>[1]data!T176-'Urban population'!W175</f>
        <v>4.7717578480000054</v>
      </c>
      <c r="X175">
        <f>[1]data!U176-'Urban population'!X175</f>
        <v>5.0816106759599995</v>
      </c>
      <c r="Y175">
        <f>[1]data!V176-'Urban population'!Y175</f>
        <v>5.3532500046000004</v>
      </c>
      <c r="Z175">
        <f>[1]data!W176-'Urban population'!Z175</f>
        <v>5.5782217386199999</v>
      </c>
      <c r="AA175">
        <f>[1]data!X176-'Urban population'!AA175</f>
        <v>5.7520748806000004</v>
      </c>
      <c r="AB175">
        <f>[1]data!Y176-'Urban population'!AB175</f>
        <v>5.8715106594000011</v>
      </c>
      <c r="AC175">
        <f>[1]data!Z176-'Urban population'!AC175</f>
        <v>5.9333048771700003</v>
      </c>
      <c r="AD175">
        <f>[1]data!AA176-'Urban population'!AD175</f>
        <v>5.9423311021299998</v>
      </c>
      <c r="AE175">
        <f>[1]data!AB176-'Urban population'!AE175</f>
        <v>5.8966496038800003</v>
      </c>
      <c r="AF175">
        <f>[1]data!AC176-'Urban population'!AF175</f>
        <v>5.8094370633699999</v>
      </c>
      <c r="AG175">
        <f>[1]data!AD176-'Urban population'!AG175</f>
        <v>5.6770362985600009</v>
      </c>
      <c r="AH175">
        <f>[1]data!AE176-'Urban population'!AH175</f>
        <v>5.5114072339000018</v>
      </c>
      <c r="AI175">
        <f>[1]data!AF176-'Urban population'!AI175</f>
        <v>5.3146955740999999</v>
      </c>
      <c r="AJ175">
        <f>[1]data!AG176-'Urban population'!AJ175</f>
        <v>5.1004660537600017</v>
      </c>
      <c r="AK175">
        <f>[1]data!AH176-'Urban population'!AK175</f>
        <v>4.8745609132800016</v>
      </c>
      <c r="AL175">
        <f>[1]data!AI176-'Urban population'!AL175</f>
        <v>4.641315180000003</v>
      </c>
      <c r="AM175">
        <f>[1]data!AJ176-'Urban population'!AM175</f>
        <v>4.4036717838600001</v>
      </c>
    </row>
    <row r="176" spans="1:39" x14ac:dyDescent="0.25">
      <c r="A176" t="s">
        <v>30</v>
      </c>
      <c r="B176" t="s">
        <v>31</v>
      </c>
      <c r="C176" t="s">
        <v>207</v>
      </c>
      <c r="D176" t="str">
        <f>_xlfn.XLOOKUP(C176,'[5]Country Codes'!$A$2:$A$267,'[5]Country Codes'!$B$2:$B$267)</f>
        <v>THA</v>
      </c>
      <c r="E176" t="str">
        <f>_xlfn.XLOOKUP(D176,[6]Feuil1!$C$2:$C$248,[6]Feuil1!$B$2:$B$248)</f>
        <v>TH</v>
      </c>
      <c r="F176" t="s">
        <v>33</v>
      </c>
      <c r="G176" t="str">
        <f>_xlfn.XLOOKUP(C176,'Urban population'!C176:C375,'Urban population'!G176:G375)</f>
        <v>Southeastern Asia</v>
      </c>
      <c r="H176" t="s">
        <v>34</v>
      </c>
      <c r="I176">
        <f>[1]data!F177-'Urban population'!I176</f>
        <v>16.83971554</v>
      </c>
      <c r="J176">
        <f>[1]data!G177-'Urban population'!J176</f>
        <v>18.74921964</v>
      </c>
      <c r="K176">
        <f>[1]data!H177-'Urban population'!K176</f>
        <v>21.044108580000003</v>
      </c>
      <c r="L176">
        <f>[1]data!I177-'Urban population'!L176</f>
        <v>24.314763144</v>
      </c>
      <c r="M176">
        <f>[1]data!J177-'Urban population'!M176</f>
        <v>27.908487558000001</v>
      </c>
      <c r="N176">
        <f>[1]data!K177-'Urban population'!N176</f>
        <v>30.792033666000002</v>
      </c>
      <c r="O176">
        <f>[1]data!L177-'Urban population'!O176</f>
        <v>33.113885867999997</v>
      </c>
      <c r="P176">
        <f>[1]data!M177-'Urban population'!P176</f>
        <v>36.033672187000001</v>
      </c>
      <c r="Q176">
        <f>[1]data!N177-'Urban population'!Q176</f>
        <v>38.670274560000003</v>
      </c>
      <c r="R176">
        <f>[1]data!O177-'Urban population'!R176</f>
        <v>41.143371219000002</v>
      </c>
      <c r="S176">
        <f>[1]data!P177-'Urban population'!S176</f>
        <v>43.061135809999996</v>
      </c>
      <c r="T176">
        <f>[1]data!Q177-'Urban population'!T176</f>
        <v>41.050366289999999</v>
      </c>
      <c r="U176">
        <f>[1]data!R177-'Urban population'!U176</f>
        <v>38.177363301</v>
      </c>
      <c r="V176">
        <f>[1]data!S177-'Urban population'!V176</f>
        <v>36.684094978999994</v>
      </c>
      <c r="W176">
        <f>[1]data!T177-'Urban population'!W176</f>
        <v>34.695235278000006</v>
      </c>
      <c r="X176">
        <f>[1]data!U177-'Urban population'!X176</f>
        <v>33.757343094779998</v>
      </c>
      <c r="Y176">
        <f>[1]data!V177-'Urban population'!Y176</f>
        <v>32.591254512240049</v>
      </c>
      <c r="Z176">
        <f>[1]data!W177-'Urban population'!Z176</f>
        <v>31.220773597350004</v>
      </c>
      <c r="AA176">
        <f>[1]data!X177-'Urban population'!AA176</f>
        <v>29.664143813120006</v>
      </c>
      <c r="AB176">
        <f>[1]data!Y177-'Urban population'!AB176</f>
        <v>27.978787563210005</v>
      </c>
      <c r="AC176">
        <f>[1]data!Z177-'Urban population'!AC176</f>
        <v>26.200710236820001</v>
      </c>
      <c r="AD176">
        <f>[1]data!AA177-'Urban population'!AD176</f>
        <v>24.387793121729992</v>
      </c>
      <c r="AE176">
        <f>[1]data!AB177-'Urban population'!AE176</f>
        <v>22.603791655640002</v>
      </c>
      <c r="AF176">
        <f>[1]data!AC177-'Urban population'!AF176</f>
        <v>20.881471588199993</v>
      </c>
      <c r="AG176">
        <f>[1]data!AD177-'Urban population'!AG176</f>
        <v>19.245883093500005</v>
      </c>
      <c r="AH176">
        <f>[1]data!AE177-'Urban population'!AH176</f>
        <v>17.699652722500005</v>
      </c>
      <c r="AI176">
        <f>[1]data!AF177-'Urban population'!AI176</f>
        <v>16.247008211839997</v>
      </c>
      <c r="AJ176">
        <f>[1]data!AG177-'Urban population'!AJ176</f>
        <v>14.887637425619964</v>
      </c>
      <c r="AK176">
        <f>[1]data!AH177-'Urban population'!AK176</f>
        <v>13.622124065039976</v>
      </c>
      <c r="AL176">
        <f>[1]data!AI177-'Urban population'!AL176</f>
        <v>12.45491129797</v>
      </c>
      <c r="AM176">
        <f>[1]data!AJ177-'Urban population'!AM176</f>
        <v>11.383951935170003</v>
      </c>
    </row>
    <row r="177" spans="1:39" x14ac:dyDescent="0.25">
      <c r="A177" t="s">
        <v>30</v>
      </c>
      <c r="B177" t="s">
        <v>31</v>
      </c>
      <c r="C177" t="s">
        <v>208</v>
      </c>
      <c r="D177" t="str">
        <f>_xlfn.XLOOKUP(C177,'[5]Country Codes'!$A$2:$A$267,'[5]Country Codes'!$B$2:$B$267)</f>
        <v>TJK</v>
      </c>
      <c r="E177" t="str">
        <f>_xlfn.XLOOKUP(D177,[6]Feuil1!$C$2:$C$248,[6]Feuil1!$B$2:$B$248)</f>
        <v>TJ</v>
      </c>
      <c r="F177" t="s">
        <v>33</v>
      </c>
      <c r="G177" t="str">
        <f>_xlfn.XLOOKUP(C177,'Urban population'!C177:C376,'Urban population'!G177:G376)</f>
        <v>Central Asia</v>
      </c>
      <c r="H177" t="s">
        <v>34</v>
      </c>
      <c r="I177">
        <f>[1]data!F178-'Urban population'!I177</f>
        <v>1.057239942</v>
      </c>
      <c r="J177">
        <f>[1]data!G178-'Urban population'!J177</f>
        <v>1.222203792</v>
      </c>
      <c r="K177">
        <f>[1]data!H178-'Urban population'!K177</f>
        <v>1.3993544560000002</v>
      </c>
      <c r="L177">
        <f>[1]data!I178-'Urban population'!L177</f>
        <v>1.6167969359999996</v>
      </c>
      <c r="M177">
        <f>[1]data!J178-'Urban population'!M177</f>
        <v>1.8593809510000001</v>
      </c>
      <c r="N177">
        <f>[1]data!K178-'Urban population'!N177</f>
        <v>2.21161341</v>
      </c>
      <c r="O177">
        <f>[1]data!L178-'Urban population'!O177</f>
        <v>2.6209950660000008</v>
      </c>
      <c r="P177">
        <f>[1]data!M178-'Urban population'!P177</f>
        <v>3.0694038880000001</v>
      </c>
      <c r="Q177">
        <f>[1]data!N178-'Urban population'!Q177</f>
        <v>3.6546845069999998</v>
      </c>
      <c r="R177">
        <f>[1]data!O178-'Urban population'!R177</f>
        <v>4.164305670000001</v>
      </c>
      <c r="S177">
        <f>[1]data!P178-'Urban population'!S177</f>
        <v>4.5598179899999991</v>
      </c>
      <c r="T177">
        <f>[1]data!Q178-'Urban population'!T177</f>
        <v>5.0461255950000004</v>
      </c>
      <c r="U177">
        <f>[1]data!R178-'Urban population'!U177</f>
        <v>5.5438822950000004</v>
      </c>
      <c r="V177">
        <f>[1]data!S178-'Urban population'!V177</f>
        <v>6.1743976459999992</v>
      </c>
      <c r="W177">
        <f>[1]data!T178-'Urban population'!W177</f>
        <v>6.8460401500000065</v>
      </c>
      <c r="X177">
        <f>[1]data!U178-'Urban population'!X177</f>
        <v>7.2420337419000003</v>
      </c>
      <c r="Y177">
        <f>[1]data!V178-'Urban population'!Y177</f>
        <v>7.5305840181000008</v>
      </c>
      <c r="Z177">
        <f>[1]data!W178-'Urban population'!Z177</f>
        <v>7.7513677213500003</v>
      </c>
      <c r="AA177">
        <f>[1]data!X178-'Urban population'!AA177</f>
        <v>7.9161108848000001</v>
      </c>
      <c r="AB177">
        <f>[1]data!Y178-'Urban population'!AB177</f>
        <v>8.0057533892800006</v>
      </c>
      <c r="AC177">
        <f>[1]data!Z178-'Urban population'!AC177</f>
        <v>7.9927210989600006</v>
      </c>
      <c r="AD177">
        <f>[1]data!AA178-'Urban population'!AD177</f>
        <v>7.893974921489999</v>
      </c>
      <c r="AE177">
        <f>[1]data!AB178-'Urban population'!AE177</f>
        <v>7.7253400901599996</v>
      </c>
      <c r="AF177">
        <f>[1]data!AC178-'Urban population'!AF177</f>
        <v>7.5135185496799988</v>
      </c>
      <c r="AG177">
        <f>[1]data!AD178-'Urban population'!AG177</f>
        <v>7.2688362598499996</v>
      </c>
      <c r="AH177">
        <f>[1]data!AE178-'Urban population'!AH177</f>
        <v>6.9999349059</v>
      </c>
      <c r="AI177">
        <f>[1]data!AF178-'Urban population'!AI177</f>
        <v>6.7136359393399978</v>
      </c>
      <c r="AJ177">
        <f>[1]data!AG178-'Urban population'!AJ177</f>
        <v>6.4210904620200022</v>
      </c>
      <c r="AK177">
        <f>[1]data!AH178-'Urban population'!AK177</f>
        <v>6.1239219138899994</v>
      </c>
      <c r="AL177">
        <f>[1]data!AI178-'Urban population'!AL177</f>
        <v>5.8282276769500001</v>
      </c>
      <c r="AM177">
        <f>[1]data!AJ178-'Urban population'!AM177</f>
        <v>5.5357717018399981</v>
      </c>
    </row>
    <row r="178" spans="1:39" x14ac:dyDescent="0.25">
      <c r="A178" t="s">
        <v>30</v>
      </c>
      <c r="B178" t="s">
        <v>31</v>
      </c>
      <c r="C178" t="s">
        <v>209</v>
      </c>
      <c r="D178" t="str">
        <f>_xlfn.XLOOKUP(C178,'[5]Country Codes'!$A$2:$A$267,'[5]Country Codes'!$B$2:$B$267)</f>
        <v>TKM</v>
      </c>
      <c r="E178" t="str">
        <f>_xlfn.XLOOKUP(D178,[6]Feuil1!$C$2:$C$248,[6]Feuil1!$B$2:$B$248)</f>
        <v>TM</v>
      </c>
      <c r="F178" t="s">
        <v>33</v>
      </c>
      <c r="G178" t="str">
        <f>_xlfn.XLOOKUP(C178,'Urban population'!C178:C377,'Urban population'!G178:G377)</f>
        <v>Central Asia</v>
      </c>
      <c r="H178" t="s">
        <v>34</v>
      </c>
      <c r="I178">
        <f>[1]data!F179-'Urban population'!I178</f>
        <v>0.66172865000000003</v>
      </c>
      <c r="J178">
        <f>[1]data!G179-'Urban population'!J178</f>
        <v>0.72984955799999995</v>
      </c>
      <c r="K178">
        <f>[1]data!H179-'Urban population'!K178</f>
        <v>0.84383552000000006</v>
      </c>
      <c r="L178">
        <f>[1]data!I179-'Urban population'!L178</f>
        <v>0.98756312099999999</v>
      </c>
      <c r="M178">
        <f>[1]data!J179-'Urban population'!M178</f>
        <v>1.1328584940000002</v>
      </c>
      <c r="N178">
        <f>[1]data!K179-'Urban population'!N178</f>
        <v>1.306079432</v>
      </c>
      <c r="O178">
        <f>[1]data!L179-'Urban population'!O178</f>
        <v>1.4963357479999999</v>
      </c>
      <c r="P178">
        <f>[1]data!M179-'Urban population'!P178</f>
        <v>1.7297269199999998</v>
      </c>
      <c r="Q178">
        <f>[1]data!N179-'Urban population'!Q178</f>
        <v>2.0150605800000001</v>
      </c>
      <c r="R178">
        <f>[1]data!O179-'Urban population'!R178</f>
        <v>2.3084579280000002</v>
      </c>
      <c r="S178">
        <f>[1]data!P179-'Urban population'!S178</f>
        <v>2.4537271400000003</v>
      </c>
      <c r="T178">
        <f>[1]data!Q179-'Urban population'!T178</f>
        <v>2.5667513780000002</v>
      </c>
      <c r="U178">
        <f>[1]data!R179-'Urban population'!U178</f>
        <v>2.6898177050000003</v>
      </c>
      <c r="V178">
        <f>[1]data!S179-'Urban population'!V178</f>
        <v>2.8402794559999998</v>
      </c>
      <c r="W178">
        <f>[1]data!T179-'Urban population'!W178</f>
        <v>2.9470719499999949</v>
      </c>
      <c r="X178">
        <f>[1]data!U179-'Urban population'!X178</f>
        <v>3.0327916524899994</v>
      </c>
      <c r="Y178">
        <f>[1]data!V179-'Urban population'!Y178</f>
        <v>3.0661520409000005</v>
      </c>
      <c r="Z178">
        <f>[1]data!W179-'Urban population'!Z178</f>
        <v>3.0670596311299994</v>
      </c>
      <c r="AA178">
        <f>[1]data!X179-'Urban population'!AA178</f>
        <v>3.0512403851799998</v>
      </c>
      <c r="AB178">
        <f>[1]data!Y179-'Urban population'!AB178</f>
        <v>3.0221986334400039</v>
      </c>
      <c r="AC178">
        <f>[1]data!Z179-'Urban population'!AC178</f>
        <v>2.9759312593800002</v>
      </c>
      <c r="AD178">
        <f>[1]data!AA179-'Urban population'!AD178</f>
        <v>2.9040243277499993</v>
      </c>
      <c r="AE178">
        <f>[1]data!AB179-'Urban population'!AE178</f>
        <v>2.8109775315300034</v>
      </c>
      <c r="AF178">
        <f>[1]data!AC179-'Urban population'!AF178</f>
        <v>2.7034288896600005</v>
      </c>
      <c r="AG178">
        <f>[1]data!AD179-'Urban population'!AG178</f>
        <v>2.59073549928</v>
      </c>
      <c r="AH178">
        <f>[1]data!AE179-'Urban population'!AH178</f>
        <v>2.4777993738300008</v>
      </c>
      <c r="AI178">
        <f>[1]data!AF179-'Urban population'!AI178</f>
        <v>2.3649262079400017</v>
      </c>
      <c r="AJ178">
        <f>[1]data!AG179-'Urban population'!AJ178</f>
        <v>2.2514545354599997</v>
      </c>
      <c r="AK178">
        <f>[1]data!AH179-'Urban population'!AK178</f>
        <v>2.1374137101600006</v>
      </c>
      <c r="AL178">
        <f>[1]data!AI179-'Urban population'!AL178</f>
        <v>2.0233068347399996</v>
      </c>
      <c r="AM178">
        <f>[1]data!AJ179-'Urban population'!AM178</f>
        <v>1.9101253614400022</v>
      </c>
    </row>
    <row r="179" spans="1:39" x14ac:dyDescent="0.25">
      <c r="A179" t="s">
        <v>30</v>
      </c>
      <c r="B179" t="s">
        <v>31</v>
      </c>
      <c r="C179" t="s">
        <v>210</v>
      </c>
      <c r="D179" t="str">
        <f>_xlfn.XLOOKUP(C179,'[5]Country Codes'!$A$2:$A$267,'[5]Country Codes'!$B$2:$B$267)</f>
        <v>TLS</v>
      </c>
      <c r="E179" t="str">
        <f>_xlfn.XLOOKUP(D179,[6]Feuil1!$C$2:$C$248,[6]Feuil1!$B$2:$B$248)</f>
        <v>TL</v>
      </c>
      <c r="F179" t="s">
        <v>33</v>
      </c>
      <c r="G179" t="str">
        <f>_xlfn.XLOOKUP(C179,'Urban population'!C179:C378,'Urban population'!G179:G378)</f>
        <v>Indonesia region</v>
      </c>
      <c r="H179" t="s">
        <v>34</v>
      </c>
      <c r="I179">
        <f>[1]data!F180-'Urban population'!I179</f>
        <v>0.37232293300000002</v>
      </c>
      <c r="J179">
        <f>[1]data!G180-'Urban population'!J179</f>
        <v>0.3912291</v>
      </c>
      <c r="K179">
        <f>[1]data!H180-'Urban population'!K179</f>
        <v>0.418068263</v>
      </c>
      <c r="L179">
        <f>[1]data!I180-'Urban population'!L179</f>
        <v>0.44583697200000005</v>
      </c>
      <c r="M179">
        <f>[1]data!J180-'Urban population'!M179</f>
        <v>0.47826000299999993</v>
      </c>
      <c r="N179">
        <f>[1]data!K180-'Urban population'!N179</f>
        <v>0.50860226200000003</v>
      </c>
      <c r="O179">
        <f>[1]data!L180-'Urban population'!O179</f>
        <v>0.53253711500000001</v>
      </c>
      <c r="P179">
        <f>[1]data!M180-'Urban population'!P179</f>
        <v>0.55052773599999993</v>
      </c>
      <c r="Q179">
        <f>[1]data!N180-'Urban population'!Q179</f>
        <v>0.5932127519999999</v>
      </c>
      <c r="R179">
        <f>[1]data!O180-'Urban population'!R179</f>
        <v>0.63021062499999991</v>
      </c>
      <c r="S179">
        <f>[1]data!P180-'Urban population'!S179</f>
        <v>0.66002754299999999</v>
      </c>
      <c r="T179">
        <f>[1]data!Q180-'Urban population'!T179</f>
        <v>0.7079054600000001</v>
      </c>
      <c r="U179">
        <f>[1]data!R180-'Urban population'!U179</f>
        <v>0.77832396000000004</v>
      </c>
      <c r="V179">
        <f>[1]data!S180-'Urban population'!V179</f>
        <v>0.84346341000000002</v>
      </c>
      <c r="W179">
        <f>[1]data!T180-'Urban population'!W179</f>
        <v>0.88605618900000005</v>
      </c>
      <c r="X179">
        <f>[1]data!U180-'Urban population'!X179</f>
        <v>0.91720336993999996</v>
      </c>
      <c r="Y179">
        <f>[1]data!V180-'Urban population'!Y179</f>
        <v>0.94339466182999987</v>
      </c>
      <c r="Z179">
        <f>[1]data!W180-'Urban population'!Z179</f>
        <v>0.96113427929999995</v>
      </c>
      <c r="AA179">
        <f>[1]data!X180-'Urban population'!AA179</f>
        <v>0.96819420983999949</v>
      </c>
      <c r="AB179">
        <f>[1]data!Y180-'Urban population'!AB179</f>
        <v>0.96364440575999999</v>
      </c>
      <c r="AC179">
        <f>[1]data!Z180-'Urban population'!AC179</f>
        <v>0.94937393250000002</v>
      </c>
      <c r="AD179">
        <f>[1]data!AA180-'Urban population'!AD179</f>
        <v>0.92654548570000006</v>
      </c>
      <c r="AE179">
        <f>[1]data!AB180-'Urban population'!AE179</f>
        <v>0.89613206213999996</v>
      </c>
      <c r="AF179">
        <f>[1]data!AC180-'Urban population'!AF179</f>
        <v>0.86029399271999996</v>
      </c>
      <c r="AG179">
        <f>[1]data!AD180-'Urban population'!AG179</f>
        <v>0.82099695275999984</v>
      </c>
      <c r="AH179">
        <f>[1]data!AE180-'Urban population'!AH179</f>
        <v>0.77901509640000022</v>
      </c>
      <c r="AI179">
        <f>[1]data!AF180-'Urban population'!AI179</f>
        <v>0.73565801927999996</v>
      </c>
      <c r="AJ179">
        <f>[1]data!AG180-'Urban population'!AJ179</f>
        <v>0.69173321183999992</v>
      </c>
      <c r="AK179">
        <f>[1]data!AH180-'Urban population'!AK179</f>
        <v>0.64829990993999997</v>
      </c>
      <c r="AL179">
        <f>[1]data!AI180-'Urban population'!AL179</f>
        <v>0.60640054071999994</v>
      </c>
      <c r="AM179">
        <f>[1]data!AJ180-'Urban population'!AM179</f>
        <v>0.56692792860999996</v>
      </c>
    </row>
    <row r="180" spans="1:39" x14ac:dyDescent="0.25">
      <c r="A180" t="s">
        <v>30</v>
      </c>
      <c r="B180" t="s">
        <v>31</v>
      </c>
      <c r="C180" t="s">
        <v>211</v>
      </c>
      <c r="D180" t="str">
        <f>_xlfn.XLOOKUP(C180,'[5]Country Codes'!$A$2:$A$267,'[5]Country Codes'!$B$2:$B$267)</f>
        <v>TON</v>
      </c>
      <c r="E180" t="str">
        <f>_xlfn.XLOOKUP(D180,[6]Feuil1!$C$2:$C$248,[6]Feuil1!$B$2:$B$248)</f>
        <v>TO</v>
      </c>
      <c r="F180" t="s">
        <v>33</v>
      </c>
      <c r="G180" t="str">
        <f>_xlfn.XLOOKUP(C180,'Urban population'!C180:C379,'Urban population'!G180:G379)</f>
        <v>Oceania</v>
      </c>
      <c r="H180" t="s">
        <v>34</v>
      </c>
      <c r="I180">
        <f>[1]data!F181-'Urban population'!I180</f>
        <v>4.2784391000000005E-2</v>
      </c>
      <c r="J180">
        <f>[1]data!G181-'Urban population'!J180</f>
        <v>4.8239360000000002E-2</v>
      </c>
      <c r="K180">
        <f>[1]data!H181-'Urban population'!K180</f>
        <v>5.4757271999999996E-2</v>
      </c>
      <c r="L180">
        <f>[1]data!I181-'Urban population'!L180</f>
        <v>6.1667829999999993E-2</v>
      </c>
      <c r="M180">
        <f>[1]data!J181-'Urban population'!M180</f>
        <v>6.8438874000000011E-2</v>
      </c>
      <c r="N180">
        <f>[1]data!K181-'Urban population'!N180</f>
        <v>7.3914577000000009E-2</v>
      </c>
      <c r="O180">
        <f>[1]data!L181-'Urban population'!O180</f>
        <v>7.61405E-2</v>
      </c>
      <c r="P180">
        <f>[1]data!M181-'Urban population'!P180</f>
        <v>7.5403965000000003E-2</v>
      </c>
      <c r="Q180">
        <f>[1]data!N181-'Urban population'!Q180</f>
        <v>7.6198475000000016E-2</v>
      </c>
      <c r="R180">
        <f>[1]data!O181-'Urban population'!R180</f>
        <v>7.6992831000000012E-2</v>
      </c>
      <c r="S180">
        <f>[1]data!P181-'Urban population'!S180</f>
        <v>7.8767920000000005E-2</v>
      </c>
      <c r="T180">
        <f>[1]data!Q181-'Urban population'!T180</f>
        <v>8.0908032000000019E-2</v>
      </c>
      <c r="U180">
        <f>[1]data!R181-'Urban population'!U180</f>
        <v>8.2143542E-2</v>
      </c>
      <c r="V180">
        <f>[1]data!S181-'Urban population'!V180</f>
        <v>8.1598061999999999E-2</v>
      </c>
      <c r="W180">
        <f>[1]data!T181-'Urban population'!W180</f>
        <v>8.0649644000000006E-2</v>
      </c>
      <c r="X180">
        <f>[1]data!U181-'Urban population'!X180</f>
        <v>8.0569689479999998E-2</v>
      </c>
      <c r="Y180">
        <f>[1]data!V181-'Urban population'!Y180</f>
        <v>7.9844781689999283E-2</v>
      </c>
      <c r="Z180">
        <f>[1]data!W181-'Urban population'!Z180</f>
        <v>7.8529322459999995E-2</v>
      </c>
      <c r="AA180">
        <f>[1]data!X181-'Urban population'!AA180</f>
        <v>7.6714166100000009E-2</v>
      </c>
      <c r="AB180">
        <f>[1]data!Y181-'Urban population'!AB180</f>
        <v>7.4231004300000014E-2</v>
      </c>
      <c r="AC180">
        <f>[1]data!Z181-'Urban population'!AC180</f>
        <v>7.1154073649999997E-2</v>
      </c>
      <c r="AD180">
        <f>[1]data!AA181-'Urban population'!AD180</f>
        <v>6.7517746999999989E-2</v>
      </c>
      <c r="AE180">
        <f>[1]data!AB181-'Urban population'!AE180</f>
        <v>6.3470323650000007E-2</v>
      </c>
      <c r="AF180">
        <f>[1]data!AC181-'Urban population'!AF180</f>
        <v>5.9557683200000003E-2</v>
      </c>
      <c r="AG180">
        <f>[1]data!AD181-'Urban population'!AG180</f>
        <v>5.5914687700000007E-2</v>
      </c>
      <c r="AH180">
        <f>[1]data!AE181-'Urban population'!AH180</f>
        <v>5.2557159360000001E-2</v>
      </c>
      <c r="AI180">
        <f>[1]data!AF181-'Urban population'!AI180</f>
        <v>4.9458312500000004E-2</v>
      </c>
      <c r="AJ180">
        <f>[1]data!AG181-'Urban population'!AJ180</f>
        <v>4.6573146200000005E-2</v>
      </c>
      <c r="AK180">
        <f>[1]data!AH181-'Urban population'!AK180</f>
        <v>4.3866557640000005E-2</v>
      </c>
      <c r="AL180">
        <f>[1]data!AI181-'Urban population'!AL180</f>
        <v>4.135785170999999E-2</v>
      </c>
      <c r="AM180">
        <f>[1]data!AJ181-'Urban population'!AM180</f>
        <v>3.9064162549999989E-2</v>
      </c>
    </row>
    <row r="181" spans="1:39" x14ac:dyDescent="0.25">
      <c r="A181" t="s">
        <v>30</v>
      </c>
      <c r="B181" t="s">
        <v>31</v>
      </c>
      <c r="C181" t="s">
        <v>212</v>
      </c>
      <c r="D181" t="str">
        <f>_xlfn.XLOOKUP(C181,'[5]Country Codes'!$A$2:$A$267,'[5]Country Codes'!$B$2:$B$267)</f>
        <v>TTO</v>
      </c>
      <c r="E181" t="str">
        <f>_xlfn.XLOOKUP(D181,[6]Feuil1!$C$2:$C$248,[6]Feuil1!$B$2:$B$248)</f>
        <v>TT</v>
      </c>
      <c r="F181" t="s">
        <v>33</v>
      </c>
      <c r="G181" t="str">
        <f>_xlfn.XLOOKUP(C181,'Urban population'!C181:C380,'Urban population'!G181:G380)</f>
        <v>Central America</v>
      </c>
      <c r="H181" t="s">
        <v>34</v>
      </c>
      <c r="I181">
        <f>[1]data!F182-'Urban population'!I181</f>
        <v>0.47204260399999998</v>
      </c>
      <c r="J181">
        <f>[1]data!G182-'Urban population'!J181</f>
        <v>0.51164004000000007</v>
      </c>
      <c r="K181">
        <f>[1]data!H182-'Urban population'!K181</f>
        <v>0.55104802200000003</v>
      </c>
      <c r="L181">
        <f>[1]data!I182-'Urban population'!L181</f>
        <v>0.56649740999999998</v>
      </c>
      <c r="M181">
        <f>[1]data!J182-'Urban population'!M181</f>
        <v>0.56078880000000009</v>
      </c>
      <c r="N181">
        <f>[1]data!K182-'Urban population'!N181</f>
        <v>0.54768403099999996</v>
      </c>
      <c r="O181">
        <f>[1]data!L182-'Urban population'!O181</f>
        <v>0.53438834699999993</v>
      </c>
      <c r="P181">
        <f>[1]data!M182-'Urban population'!P181</f>
        <v>0.557497044</v>
      </c>
      <c r="Q181">
        <f>[1]data!N182-'Urban population'!Q181</f>
        <v>0.57909184199999997</v>
      </c>
      <c r="R181">
        <f>[1]data!O182-'Urban population'!R181</f>
        <v>0.58715729999999999</v>
      </c>
      <c r="S181">
        <f>[1]data!P182-'Urban population'!S181</f>
        <v>0.5862235050000002</v>
      </c>
      <c r="T181">
        <f>[1]data!Q182-'Urban population'!T181</f>
        <v>0.61431389999999997</v>
      </c>
      <c r="U181">
        <f>[1]data!R182-'Urban population'!U181</f>
        <v>0.6466072799999999</v>
      </c>
      <c r="V181">
        <f>[1]data!S182-'Urban population'!V181</f>
        <v>0.67971850000000011</v>
      </c>
      <c r="W181">
        <f>[1]data!T182-'Urban population'!W181</f>
        <v>0.70850566800000003</v>
      </c>
      <c r="X181">
        <f>[1]data!U182-'Urban population'!X181</f>
        <v>0.68573055294000007</v>
      </c>
      <c r="Y181">
        <f>[1]data!V182-'Urban population'!Y181</f>
        <v>0.65911739176000006</v>
      </c>
      <c r="Z181">
        <f>[1]data!W182-'Urban population'!Z181</f>
        <v>0.62988962641000001</v>
      </c>
      <c r="AA181">
        <f>[1]data!X182-'Urban population'!AA181</f>
        <v>0.59897705839999993</v>
      </c>
      <c r="AB181">
        <f>[1]data!Y182-'Urban population'!AB181</f>
        <v>0.56721480390000001</v>
      </c>
      <c r="AC181">
        <f>[1]data!Z182-'Urban population'!AC181</f>
        <v>0.53454319019999996</v>
      </c>
      <c r="AD181">
        <f>[1]data!AA182-'Urban population'!AD181</f>
        <v>0.50183775683999965</v>
      </c>
      <c r="AE181">
        <f>[1]data!AB182-'Urban population'!AE181</f>
        <v>0.46971552753000012</v>
      </c>
      <c r="AF181">
        <f>[1]data!AC182-'Urban population'!AF181</f>
        <v>0.43885705825999999</v>
      </c>
      <c r="AG181">
        <f>[1]data!AD182-'Urban population'!AG181</f>
        <v>0.40940905824000018</v>
      </c>
      <c r="AH181">
        <f>[1]data!AE182-'Urban population'!AH181</f>
        <v>0.38150091553999999</v>
      </c>
      <c r="AI181">
        <f>[1]data!AF182-'Urban population'!AI181</f>
        <v>0.35521085952000009</v>
      </c>
      <c r="AJ181">
        <f>[1]data!AG182-'Urban population'!AJ181</f>
        <v>0.33110182599999993</v>
      </c>
      <c r="AK181">
        <f>[1]data!AH182-'Urban population'!AK181</f>
        <v>0.30925683099999979</v>
      </c>
      <c r="AL181">
        <f>[1]data!AI182-'Urban population'!AL181</f>
        <v>0.28923092480000012</v>
      </c>
      <c r="AM181">
        <f>[1]data!AJ182-'Urban population'!AM181</f>
        <v>0.27069094572000008</v>
      </c>
    </row>
    <row r="182" spans="1:39" x14ac:dyDescent="0.25">
      <c r="A182" t="s">
        <v>30</v>
      </c>
      <c r="B182" t="s">
        <v>31</v>
      </c>
      <c r="C182" t="s">
        <v>213</v>
      </c>
      <c r="D182" t="str">
        <f>_xlfn.XLOOKUP(C182,'[5]Country Codes'!$A$2:$A$267,'[5]Country Codes'!$B$2:$B$267)</f>
        <v>TUN</v>
      </c>
      <c r="E182" t="str">
        <f>_xlfn.XLOOKUP(D182,[6]Feuil1!$C$2:$C$248,[6]Feuil1!$B$2:$B$248)</f>
        <v>TN</v>
      </c>
      <c r="F182" t="s">
        <v>33</v>
      </c>
      <c r="G182" t="str">
        <f>_xlfn.XLOOKUP(C182,'Urban population'!C182:C381,'Urban population'!G182:G381)</f>
        <v>Northern Africa</v>
      </c>
      <c r="H182" t="s">
        <v>34</v>
      </c>
      <c r="I182">
        <f>[1]data!F183-'Urban population'!I182</f>
        <v>2.4189832840000003</v>
      </c>
      <c r="J182">
        <f>[1]data!G183-'Urban population'!J182</f>
        <v>2.549187936</v>
      </c>
      <c r="K182">
        <f>[1]data!H183-'Urban population'!K182</f>
        <v>2.6098262499999998</v>
      </c>
      <c r="L182">
        <f>[1]data!I183-'Urban population'!L182</f>
        <v>2.6646021269999993</v>
      </c>
      <c r="M182">
        <f>[1]data!J183-'Urban population'!M182</f>
        <v>2.8140220500000002</v>
      </c>
      <c r="N182">
        <f>[1]data!K183-'Urban population'!N182</f>
        <v>2.9812372160000002</v>
      </c>
      <c r="O182">
        <f>[1]data!L183-'Urban population'!O182</f>
        <v>3.2094873719999999</v>
      </c>
      <c r="P182">
        <f>[1]data!M183-'Urban population'!P182</f>
        <v>3.4081615260000007</v>
      </c>
      <c r="Q182">
        <f>[1]data!N183-'Urban population'!Q182</f>
        <v>3.5145214720000002</v>
      </c>
      <c r="R182">
        <f>[1]data!O183-'Urban population'!R182</f>
        <v>3.5509805100000005</v>
      </c>
      <c r="S182">
        <f>[1]data!P183-'Urban population'!S182</f>
        <v>3.6019930259999997</v>
      </c>
      <c r="T182">
        <f>[1]data!Q183-'Urban population'!T182</f>
        <v>3.5986151039999994</v>
      </c>
      <c r="U182">
        <f>[1]data!R183-'Urban population'!U182</f>
        <v>3.6089747460000003</v>
      </c>
      <c r="V182">
        <f>[1]data!S183-'Urban population'!V182</f>
        <v>3.6663949190000009</v>
      </c>
      <c r="W182">
        <f>[1]data!T183-'Urban population'!W182</f>
        <v>3.6802984800000011</v>
      </c>
      <c r="X182">
        <f>[1]data!U183-'Urban population'!X182</f>
        <v>3.6755217328800001</v>
      </c>
      <c r="Y182">
        <f>[1]data!V183-'Urban population'!Y182</f>
        <v>3.6353435825800009</v>
      </c>
      <c r="Z182">
        <f>[1]data!W183-'Urban population'!Z182</f>
        <v>3.5539729770299999</v>
      </c>
      <c r="AA182">
        <f>[1]data!X183-'Urban population'!AA182</f>
        <v>3.4476857066399997</v>
      </c>
      <c r="AB182">
        <f>[1]data!Y183-'Urban population'!AB182</f>
        <v>3.3266682444800004</v>
      </c>
      <c r="AC182">
        <f>[1]data!Z183-'Urban population'!AC182</f>
        <v>3.1923588142600003</v>
      </c>
      <c r="AD182">
        <f>[1]data!AA183-'Urban population'!AD182</f>
        <v>3.0429828834000006</v>
      </c>
      <c r="AE182">
        <f>[1]data!AB183-'Urban population'!AE182</f>
        <v>2.8798163783999993</v>
      </c>
      <c r="AF182">
        <f>[1]data!AC183-'Urban population'!AF182</f>
        <v>2.7078569771499996</v>
      </c>
      <c r="AG182">
        <f>[1]data!AD183-'Urban population'!AG182</f>
        <v>2.5335633806000004</v>
      </c>
      <c r="AH182">
        <f>[1]data!AE183-'Urban population'!AH182</f>
        <v>2.3624492271799991</v>
      </c>
      <c r="AI182">
        <f>[1]data!AF183-'Urban population'!AI182</f>
        <v>2.1976680587500006</v>
      </c>
      <c r="AJ182">
        <f>[1]data!AG183-'Urban population'!AJ182</f>
        <v>2.0407339682999979</v>
      </c>
      <c r="AK182">
        <f>[1]data!AH183-'Urban population'!AK182</f>
        <v>1.8914371392799989</v>
      </c>
      <c r="AL182">
        <f>[1]data!AI183-'Urban population'!AL182</f>
        <v>1.7488582431400008</v>
      </c>
      <c r="AM182">
        <f>[1]data!AJ183-'Urban population'!AM182</f>
        <v>1.6122193764600006</v>
      </c>
    </row>
    <row r="183" spans="1:39" x14ac:dyDescent="0.25">
      <c r="A183" t="s">
        <v>30</v>
      </c>
      <c r="B183" t="s">
        <v>31</v>
      </c>
      <c r="C183" t="s">
        <v>214</v>
      </c>
      <c r="D183" t="s">
        <v>270</v>
      </c>
      <c r="E183" t="str">
        <f>_xlfn.XLOOKUP(D183,[6]Feuil1!$C$2:$C$248,[6]Feuil1!$B$2:$B$248)</f>
        <v>TR</v>
      </c>
      <c r="F183" t="s">
        <v>33</v>
      </c>
      <c r="G183" t="str">
        <f>_xlfn.XLOOKUP(C183,'Urban population'!C183:C382,'Urban population'!G183:G382)</f>
        <v>Turkey</v>
      </c>
      <c r="H183" t="s">
        <v>34</v>
      </c>
      <c r="I183">
        <f>[1]data!F184-'Urban population'!I183</f>
        <v>15.577933424000001</v>
      </c>
      <c r="J183">
        <f>[1]data!G184-'Urban population'!J183</f>
        <v>16.810853682000001</v>
      </c>
      <c r="K183">
        <f>[1]data!H184-'Urban population'!K183</f>
        <v>18.597200630000003</v>
      </c>
      <c r="L183">
        <f>[1]data!I184-'Urban population'!L183</f>
        <v>20.397960519999998</v>
      </c>
      <c r="M183">
        <f>[1]data!J184-'Urban population'!M183</f>
        <v>21.711806514000003</v>
      </c>
      <c r="N183">
        <f>[1]data!K184-'Urban population'!N183</f>
        <v>22.937261087999996</v>
      </c>
      <c r="O183">
        <f>[1]data!L184-'Urban population'!O183</f>
        <v>24.520569172000005</v>
      </c>
      <c r="P183">
        <f>[1]data!M184-'Urban population'!P183</f>
        <v>23.154609212</v>
      </c>
      <c r="Q183">
        <f>[1]data!N184-'Urban population'!Q183</f>
        <v>21.957920255999998</v>
      </c>
      <c r="R183">
        <f>[1]data!O184-'Urban population'!R183</f>
        <v>22.292801224000002</v>
      </c>
      <c r="S183">
        <f>[1]data!P184-'Urban population'!S183</f>
        <v>22.466693471999996</v>
      </c>
      <c r="T183">
        <f>[1]data!Q184-'Urban population'!T183</f>
        <v>21.976774988000003</v>
      </c>
      <c r="U183">
        <f>[1]data!R184-'Urban population'!U183</f>
        <v>21.229414116000001</v>
      </c>
      <c r="V183">
        <f>[1]data!S184-'Urban population'!V183</f>
        <v>20.847102936000006</v>
      </c>
      <c r="W183">
        <f>[1]data!T184-'Urban population'!W183</f>
        <v>20.030990803000009</v>
      </c>
      <c r="X183">
        <f>[1]data!U184-'Urban population'!X183</f>
        <v>19.620711736420006</v>
      </c>
      <c r="Y183">
        <f>[1]data!V184-'Urban population'!Y183</f>
        <v>19.098960136269994</v>
      </c>
      <c r="Z183">
        <f>[1]data!W184-'Urban population'!Z183</f>
        <v>18.456689288180002</v>
      </c>
      <c r="AA183">
        <f>[1]data!X184-'Urban population'!AA183</f>
        <v>17.736310188689998</v>
      </c>
      <c r="AB183">
        <f>[1]data!Y184-'Urban population'!AB183</f>
        <v>16.950732589170002</v>
      </c>
      <c r="AC183">
        <f>[1]data!Z184-'Urban population'!AC183</f>
        <v>16.090882093439973</v>
      </c>
      <c r="AD183">
        <f>[1]data!AA184-'Urban population'!AD183</f>
        <v>15.180736456839995</v>
      </c>
      <c r="AE183">
        <f>[1]data!AB184-'Urban population'!AE183</f>
        <v>14.232089295989994</v>
      </c>
      <c r="AF183">
        <f>[1]data!AC184-'Urban population'!AF183</f>
        <v>13.277922597500023</v>
      </c>
      <c r="AG183">
        <f>[1]data!AD184-'Urban population'!AG183</f>
        <v>12.343359751800008</v>
      </c>
      <c r="AH183">
        <f>[1]data!AE184-'Urban population'!AH183</f>
        <v>11.442511040380026</v>
      </c>
      <c r="AI183">
        <f>[1]data!AF184-'Urban population'!AI183</f>
        <v>10.581074340290002</v>
      </c>
      <c r="AJ183">
        <f>[1]data!AG184-'Urban population'!AJ183</f>
        <v>9.7628608837699886</v>
      </c>
      <c r="AK183">
        <f>[1]data!AH184-'Urban population'!AK183</f>
        <v>8.9932485540600027</v>
      </c>
      <c r="AL183">
        <f>[1]data!AI184-'Urban population'!AL183</f>
        <v>8.2728501668999996</v>
      </c>
      <c r="AM183">
        <f>[1]data!AJ184-'Urban population'!AM183</f>
        <v>7.6023514439000053</v>
      </c>
    </row>
    <row r="184" spans="1:39" x14ac:dyDescent="0.25">
      <c r="A184" t="s">
        <v>30</v>
      </c>
      <c r="B184" t="s">
        <v>31</v>
      </c>
      <c r="C184" t="s">
        <v>215</v>
      </c>
      <c r="D184" t="e">
        <f>_xlfn.XLOOKUP(C184,'[5]Country Codes'!$A$2:$A$267,'[5]Country Codes'!$B$2:$B$267)</f>
        <v>#N/A</v>
      </c>
      <c r="E184" t="e">
        <f>_xlfn.XLOOKUP(D184,[6]Feuil1!$C$2:$C$248,[6]Feuil1!$B$2:$B$248)</f>
        <v>#N/A</v>
      </c>
      <c r="F184" t="s">
        <v>33</v>
      </c>
      <c r="G184" t="str">
        <f>_xlfn.XLOOKUP(C184,'Urban population'!C184:C383,'Urban population'!G184:G383)</f>
        <v>China region</v>
      </c>
      <c r="H184" t="s">
        <v>34</v>
      </c>
      <c r="I184">
        <f>[1]data!F185-'Urban population'!I184</f>
        <v>5.4668995440000003</v>
      </c>
      <c r="J184">
        <f>[1]data!G185-'Urban population'!J184</f>
        <v>6.4248218720000008</v>
      </c>
      <c r="K184">
        <f>[1]data!H185-'Urban population'!K184</f>
        <v>7.4043704979999996</v>
      </c>
      <c r="L184">
        <f>[1]data!I185-'Urban population'!L184</f>
        <v>8.4930224279999997</v>
      </c>
      <c r="M184">
        <f>[1]data!J185-'Urban population'!M184</f>
        <v>9.3908740300000009</v>
      </c>
      <c r="N184">
        <f>[1]data!K185-'Urban population'!N184</f>
        <v>9.8714635600000022</v>
      </c>
      <c r="O184">
        <f>[1]data!L185-'Urban population'!O184</f>
        <v>9.207453275999999</v>
      </c>
      <c r="P184">
        <f>[1]data!M185-'Urban population'!P184</f>
        <v>8.1991100970000002</v>
      </c>
      <c r="Q184">
        <f>[1]data!N185-'Urban population'!Q184</f>
        <v>6.9067624280000022</v>
      </c>
      <c r="R184">
        <f>[1]data!O185-'Urban population'!R184</f>
        <v>6.7548627679999989</v>
      </c>
      <c r="S184">
        <f>[1]data!P185-'Urban population'!S184</f>
        <v>6.6603446909999988</v>
      </c>
      <c r="T184">
        <f>[1]data!Q185-'Urban population'!T184</f>
        <v>6.3028272530000002</v>
      </c>
      <c r="U184">
        <f>[1]data!R185-'Urban population'!U184</f>
        <v>5.835423242000001</v>
      </c>
      <c r="V184">
        <f>[1]data!S185-'Urban population'!V184</f>
        <v>5.421012134999998</v>
      </c>
      <c r="W184">
        <f>[1]data!T185-'Urban population'!W184</f>
        <v>5.0219888449999992</v>
      </c>
      <c r="X184">
        <f>[1]data!U185-'Urban population'!X184</f>
        <v>4.7041757786699989</v>
      </c>
      <c r="Y184">
        <f>[1]data!V185-'Urban population'!Y184</f>
        <v>4.3781772737299995</v>
      </c>
      <c r="Z184">
        <f>[1]data!W185-'Urban population'!Z184</f>
        <v>4.0415569077600004</v>
      </c>
      <c r="AA184">
        <f>[1]data!X185-'Urban population'!AA184</f>
        <v>3.6919750864799994</v>
      </c>
      <c r="AB184">
        <f>[1]data!Y185-'Urban population'!AB184</f>
        <v>3.3413407014400001</v>
      </c>
      <c r="AC184">
        <f>[1]data!Z185-'Urban population'!AC184</f>
        <v>3.0035647635499991</v>
      </c>
      <c r="AD184">
        <f>[1]data!AA185-'Urban population'!AD184</f>
        <v>2.677156654680001</v>
      </c>
      <c r="AE184">
        <f>[1]data!AB185-'Urban population'!AE184</f>
        <v>2.3721741855699996</v>
      </c>
      <c r="AF184">
        <f>[1]data!AC185-'Urban population'!AF184</f>
        <v>2.094759000389999</v>
      </c>
      <c r="AG184">
        <f>[1]data!AD185-'Urban population'!AG184</f>
        <v>1.8434593739499991</v>
      </c>
      <c r="AH184">
        <f>[1]data!AE185-'Urban population'!AH184</f>
        <v>1.6178658399199985</v>
      </c>
      <c r="AI184">
        <f>[1]data!AF185-'Urban population'!AI184</f>
        <v>1.4195550118</v>
      </c>
      <c r="AJ184">
        <f>[1]data!AG185-'Urban population'!AJ184</f>
        <v>1.2473656140599996</v>
      </c>
      <c r="AK184">
        <f>[1]data!AH185-'Urban population'!AK184</f>
        <v>1.0983174237700002</v>
      </c>
      <c r="AL184">
        <f>[1]data!AI185-'Urban population'!AL184</f>
        <v>0.96938563088999885</v>
      </c>
      <c r="AM184">
        <f>[1]data!AJ185-'Urban population'!AM184</f>
        <v>0.85725558680000091</v>
      </c>
    </row>
    <row r="185" spans="1:39" x14ac:dyDescent="0.25">
      <c r="A185" t="s">
        <v>30</v>
      </c>
      <c r="B185" t="s">
        <v>31</v>
      </c>
      <c r="C185" t="s">
        <v>216</v>
      </c>
      <c r="D185" t="str">
        <f>_xlfn.XLOOKUP(C185,'[5]Country Codes'!$A$2:$A$267,'[5]Country Codes'!$B$2:$B$267)</f>
        <v>TZA</v>
      </c>
      <c r="E185" t="str">
        <f>_xlfn.XLOOKUP(D185,[6]Feuil1!$C$2:$C$248,[6]Feuil1!$B$2:$B$248)</f>
        <v>TZ</v>
      </c>
      <c r="F185" t="s">
        <v>33</v>
      </c>
      <c r="G185" t="str">
        <f>_xlfn.XLOOKUP(C185,'Urban population'!C185:C384,'Urban population'!G185:G384)</f>
        <v>Rest of Southern Africa</v>
      </c>
      <c r="H185" t="s">
        <v>34</v>
      </c>
      <c r="I185">
        <f>[1]data!F186-'Urban population'!I185</f>
        <v>7.2696499399999999</v>
      </c>
      <c r="J185">
        <f>[1]data!G186-'Urban population'!J185</f>
        <v>8.2270061800000001</v>
      </c>
      <c r="K185">
        <f>[1]data!H186-'Urban population'!K185</f>
        <v>9.3841647840000011</v>
      </c>
      <c r="L185">
        <f>[1]data!I186-'Urban population'!L185</f>
        <v>10.77076346</v>
      </c>
      <c r="M185">
        <f>[1]data!J186-'Urban population'!M185</f>
        <v>12.329694090000002</v>
      </c>
      <c r="N185">
        <f>[1]data!K186-'Urban population'!N185</f>
        <v>14.181041742</v>
      </c>
      <c r="O185">
        <f>[1]data!L186-'Urban population'!O185</f>
        <v>16.229971954000003</v>
      </c>
      <c r="P185">
        <f>[1]data!M186-'Urban population'!P185</f>
        <v>18.455063744</v>
      </c>
      <c r="Q185">
        <f>[1]data!N186-'Urban population'!Q185</f>
        <v>20.976901847000001</v>
      </c>
      <c r="R185">
        <f>[1]data!O186-'Urban population'!R185</f>
        <v>23.996912025</v>
      </c>
      <c r="S185">
        <f>[1]data!P186-'Urban population'!S185</f>
        <v>26.396338794000005</v>
      </c>
      <c r="T185">
        <f>[1]data!Q186-'Urban population'!T185</f>
        <v>29.243273664</v>
      </c>
      <c r="U185">
        <f>[1]data!R186-'Urban population'!U185</f>
        <v>31.977287011000001</v>
      </c>
      <c r="V185">
        <f>[1]data!S186-'Urban population'!V185</f>
        <v>35.300155175999997</v>
      </c>
      <c r="W185">
        <f>[1]data!T186-'Urban population'!W185</f>
        <v>39.380234615999996</v>
      </c>
      <c r="X185">
        <f>[1]data!U186-'Urban population'!X185</f>
        <v>43.423150845029944</v>
      </c>
      <c r="Y185">
        <f>[1]data!V186-'Urban population'!Y185</f>
        <v>47.298600028129947</v>
      </c>
      <c r="Z185">
        <f>[1]data!W186-'Urban population'!Z185</f>
        <v>50.902938440420002</v>
      </c>
      <c r="AA185">
        <f>[1]data!X186-'Urban population'!AA185</f>
        <v>54.184026330720002</v>
      </c>
      <c r="AB185">
        <f>[1]data!Y186-'Urban population'!AB185</f>
        <v>57.09953067707</v>
      </c>
      <c r="AC185">
        <f>[1]data!Z186-'Urban population'!AC185</f>
        <v>59.574032684560009</v>
      </c>
      <c r="AD185">
        <f>[1]data!AA186-'Urban population'!AD185</f>
        <v>61.453946207040005</v>
      </c>
      <c r="AE185">
        <f>[1]data!AB186-'Urban population'!AE185</f>
        <v>62.8067628692</v>
      </c>
      <c r="AF185">
        <f>[1]data!AC186-'Urban population'!AF185</f>
        <v>63.637408689119994</v>
      </c>
      <c r="AG185">
        <f>[1]data!AD186-'Urban population'!AG185</f>
        <v>63.953962775869982</v>
      </c>
      <c r="AH185">
        <f>[1]data!AE186-'Urban population'!AH185</f>
        <v>63.881139770870007</v>
      </c>
      <c r="AI185">
        <f>[1]data!AF186-'Urban population'!AI185</f>
        <v>63.328568762079996</v>
      </c>
      <c r="AJ185">
        <f>[1]data!AG186-'Urban population'!AJ185</f>
        <v>62.2943582443</v>
      </c>
      <c r="AK185">
        <f>[1]data!AH186-'Urban population'!AK185</f>
        <v>60.86289899992002</v>
      </c>
      <c r="AL185">
        <f>[1]data!AI186-'Urban population'!AL185</f>
        <v>59.170454921840019</v>
      </c>
      <c r="AM185">
        <f>[1]data!AJ186-'Urban population'!AM185</f>
        <v>57.317378712090004</v>
      </c>
    </row>
    <row r="186" spans="1:39" x14ac:dyDescent="0.25">
      <c r="A186" t="s">
        <v>30</v>
      </c>
      <c r="B186" t="s">
        <v>31</v>
      </c>
      <c r="C186" t="s">
        <v>217</v>
      </c>
      <c r="D186" t="str">
        <f>_xlfn.XLOOKUP(C186,'[5]Country Codes'!$A$2:$A$267,'[5]Country Codes'!$B$2:$B$267)</f>
        <v>UGA</v>
      </c>
      <c r="E186" t="str">
        <f>_xlfn.XLOOKUP(D186,[6]Feuil1!$C$2:$C$248,[6]Feuil1!$B$2:$B$248)</f>
        <v>UG</v>
      </c>
      <c r="F186" t="s">
        <v>33</v>
      </c>
      <c r="G186" t="str">
        <f>_xlfn.XLOOKUP(C186,'Urban population'!C186:C385,'Urban population'!G186:G385)</f>
        <v>Eastern Africa</v>
      </c>
      <c r="H186" t="s">
        <v>34</v>
      </c>
      <c r="I186">
        <f>[1]data!F187-'Urban population'!I186</f>
        <v>5.5131490080000001</v>
      </c>
      <c r="J186">
        <f>[1]data!G187-'Urban population'!J186</f>
        <v>6.2815063449999995</v>
      </c>
      <c r="K186">
        <f>[1]data!H187-'Urban population'!K186</f>
        <v>7.1791192840000004</v>
      </c>
      <c r="L186">
        <f>[1]data!I187-'Urban population'!L186</f>
        <v>8.2160303399999997</v>
      </c>
      <c r="M186">
        <f>[1]data!J187-'Urban population'!M186</f>
        <v>9.4807634699999994</v>
      </c>
      <c r="N186">
        <f>[1]data!K187-'Urban population'!N186</f>
        <v>10.76608734</v>
      </c>
      <c r="O186">
        <f>[1]data!L187-'Urban population'!O186</f>
        <v>12.16611245</v>
      </c>
      <c r="P186">
        <f>[1]data!M187-'Urban population'!P186</f>
        <v>13.462473804</v>
      </c>
      <c r="Q186">
        <f>[1]data!N187-'Urban population'!Q186</f>
        <v>15.383768953000002</v>
      </c>
      <c r="R186">
        <f>[1]data!O187-'Urban population'!R186</f>
        <v>17.834904383999998</v>
      </c>
      <c r="S186">
        <f>[1]data!P187-'Urban population'!S186</f>
        <v>20.146982435999998</v>
      </c>
      <c r="T186">
        <f>[1]data!Q187-'Urban population'!T186</f>
        <v>22.85896941</v>
      </c>
      <c r="U186">
        <f>[1]data!R187-'Urban population'!U186</f>
        <v>25.687798708000003</v>
      </c>
      <c r="V186">
        <f>[1]data!S187-'Urban population'!V186</f>
        <v>28.740263189</v>
      </c>
      <c r="W186">
        <f>[1]data!T187-'Urban population'!W186</f>
        <v>32.764396500000004</v>
      </c>
      <c r="X186">
        <f>[1]data!U187-'Urban population'!X186</f>
        <v>36.90613083161</v>
      </c>
      <c r="Y186">
        <f>[1]data!V187-'Urban population'!Y186</f>
        <v>41.02923849255</v>
      </c>
      <c r="Z186">
        <f>[1]data!W187-'Urban population'!Z186</f>
        <v>44.959333308200002</v>
      </c>
      <c r="AA186">
        <f>[1]data!X187-'Urban population'!AA186</f>
        <v>48.558266785210009</v>
      </c>
      <c r="AB186">
        <f>[1]data!Y187-'Urban population'!AB186</f>
        <v>51.772652537040003</v>
      </c>
      <c r="AC186">
        <f>[1]data!Z187-'Urban population'!AC186</f>
        <v>54.5308343409</v>
      </c>
      <c r="AD186">
        <f>[1]data!AA187-'Urban population'!AD186</f>
        <v>56.62856195178</v>
      </c>
      <c r="AE186">
        <f>[1]data!AB187-'Urban population'!AE186</f>
        <v>58.115004928750004</v>
      </c>
      <c r="AF186">
        <f>[1]data!AC187-'Urban population'!AF186</f>
        <v>58.966932185560005</v>
      </c>
      <c r="AG186">
        <f>[1]data!AD187-'Urban population'!AG186</f>
        <v>59.29210102278001</v>
      </c>
      <c r="AH186">
        <f>[1]data!AE187-'Urban population'!AH186</f>
        <v>59.000376392790002</v>
      </c>
      <c r="AI186">
        <f>[1]data!AF187-'Urban population'!AI186</f>
        <v>58.129903171299986</v>
      </c>
      <c r="AJ186">
        <f>[1]data!AG187-'Urban population'!AJ186</f>
        <v>56.749753342040009</v>
      </c>
      <c r="AK186">
        <f>[1]data!AH187-'Urban population'!AK186</f>
        <v>54.965862979259995</v>
      </c>
      <c r="AL186">
        <f>[1]data!AI187-'Urban population'!AL186</f>
        <v>52.916547523730003</v>
      </c>
      <c r="AM186">
        <f>[1]data!AJ187-'Urban population'!AM186</f>
        <v>50.685799192280015</v>
      </c>
    </row>
    <row r="187" spans="1:39" x14ac:dyDescent="0.25">
      <c r="A187" t="s">
        <v>30</v>
      </c>
      <c r="B187" t="s">
        <v>31</v>
      </c>
      <c r="C187" t="s">
        <v>218</v>
      </c>
      <c r="D187" t="str">
        <f>_xlfn.XLOOKUP(C187,'[5]Country Codes'!$A$2:$A$267,'[5]Country Codes'!$B$2:$B$267)</f>
        <v>UKR</v>
      </c>
      <c r="E187" t="str">
        <f>_xlfn.XLOOKUP(D187,[6]Feuil1!$C$2:$C$248,[6]Feuil1!$B$2:$B$248)</f>
        <v>UA</v>
      </c>
      <c r="F187" t="s">
        <v>33</v>
      </c>
      <c r="G187" t="str">
        <f>_xlfn.XLOOKUP(C187,'Urban population'!C187:C386,'Urban population'!G187:G386)</f>
        <v>Ukraine region</v>
      </c>
      <c r="H187" t="s">
        <v>34</v>
      </c>
      <c r="I187">
        <f>[1]data!F188-'Urban population'!I187</f>
        <v>23.905678860000002</v>
      </c>
      <c r="J187">
        <f>[1]data!G188-'Urban population'!J187</f>
        <v>23.181438048</v>
      </c>
      <c r="K187">
        <f>[1]data!H188-'Urban population'!K187</f>
        <v>22.590189384000002</v>
      </c>
      <c r="L187">
        <f>[1]data!I188-'Urban population'!L187</f>
        <v>22.319819080000002</v>
      </c>
      <c r="M187">
        <f>[1]data!J188-'Urban population'!M187</f>
        <v>21.314623192000006</v>
      </c>
      <c r="N187">
        <f>[1]data!K188-'Urban population'!N187</f>
        <v>20.282945280000003</v>
      </c>
      <c r="O187">
        <f>[1]data!L188-'Urban population'!O187</f>
        <v>19.096120708999997</v>
      </c>
      <c r="P187">
        <f>[1]data!M188-'Urban population'!P187</f>
        <v>17.949248689999997</v>
      </c>
      <c r="Q187">
        <f>[1]data!N188-'Urban population'!Q187</f>
        <v>17.114864604000005</v>
      </c>
      <c r="R187">
        <f>[1]data!O188-'Urban population'!R187</f>
        <v>16.919568599999998</v>
      </c>
      <c r="S187">
        <f>[1]data!P188-'Urban population'!S187</f>
        <v>16.155905584000003</v>
      </c>
      <c r="T187">
        <f>[1]data!Q188-'Urban population'!T187</f>
        <v>15.162998032000001</v>
      </c>
      <c r="U187">
        <f>[1]data!R188-'Urban population'!U187</f>
        <v>14.374318062000004</v>
      </c>
      <c r="V187">
        <f>[1]data!S188-'Urban population'!V187</f>
        <v>13.920478428000003</v>
      </c>
      <c r="W187">
        <f>[1]data!T188-'Urban population'!W187</f>
        <v>13.403572192000002</v>
      </c>
      <c r="X187">
        <f>[1]data!U188-'Urban population'!X187</f>
        <v>10.552421604060005</v>
      </c>
      <c r="Y187">
        <f>[1]data!V188-'Urban population'!Y187</f>
        <v>10.2010130898</v>
      </c>
      <c r="Z187">
        <f>[1]data!W188-'Urban population'!Z187</f>
        <v>9.6966218040900003</v>
      </c>
      <c r="AA187">
        <f>[1]data!X188-'Urban population'!AA187</f>
        <v>9.0946773514600032</v>
      </c>
      <c r="AB187">
        <f>[1]data!Y188-'Urban population'!AB187</f>
        <v>8.4480978842800027</v>
      </c>
      <c r="AC187">
        <f>[1]data!Z188-'Urban population'!AC187</f>
        <v>7.8097192622400016</v>
      </c>
      <c r="AD187">
        <f>[1]data!AA188-'Urban population'!AD187</f>
        <v>7.1927322513599989</v>
      </c>
      <c r="AE187">
        <f>[1]data!AB188-'Urban population'!AE187</f>
        <v>6.6117425764799798</v>
      </c>
      <c r="AF187">
        <f>[1]data!AC188-'Urban population'!AF187</f>
        <v>6.063405288850003</v>
      </c>
      <c r="AG187">
        <f>[1]data!AD188-'Urban population'!AG187</f>
        <v>5.5503774282600027</v>
      </c>
      <c r="AH187">
        <f>[1]data!AE188-'Urban population'!AH187</f>
        <v>5.0745429832999989</v>
      </c>
      <c r="AI187">
        <f>[1]data!AF188-'Urban population'!AI187</f>
        <v>4.6358108159999993</v>
      </c>
      <c r="AJ187">
        <f>[1]data!AG188-'Urban population'!AJ187</f>
        <v>4.2317380443999966</v>
      </c>
      <c r="AK187">
        <f>[1]data!AH188-'Urban population'!AK187</f>
        <v>3.859619069299999</v>
      </c>
      <c r="AL187">
        <f>[1]data!AI188-'Urban population'!AL187</f>
        <v>3.5147232338399981</v>
      </c>
      <c r="AM187">
        <f>[1]data!AJ188-'Urban population'!AM187</f>
        <v>3.1915057544999996</v>
      </c>
    </row>
    <row r="188" spans="1:39" x14ac:dyDescent="0.25">
      <c r="A188" t="s">
        <v>30</v>
      </c>
      <c r="B188" t="s">
        <v>31</v>
      </c>
      <c r="C188" t="s">
        <v>219</v>
      </c>
      <c r="D188" t="str">
        <f>_xlfn.XLOOKUP(C188,'[5]Country Codes'!$A$2:$A$267,'[5]Country Codes'!$B$2:$B$267)</f>
        <v>URY</v>
      </c>
      <c r="E188" t="str">
        <f>_xlfn.XLOOKUP(D188,[6]Feuil1!$C$2:$C$248,[6]Feuil1!$B$2:$B$248)</f>
        <v>UY</v>
      </c>
      <c r="F188" t="s">
        <v>33</v>
      </c>
      <c r="G188" t="str">
        <f>_xlfn.XLOOKUP(C188,'Urban population'!C188:C387,'Urban population'!G188:G387)</f>
        <v>Rest of South America</v>
      </c>
      <c r="H188" t="s">
        <v>34</v>
      </c>
      <c r="I188">
        <f>[1]data!F189-'Urban population'!I188</f>
        <v>0.49148057399999989</v>
      </c>
      <c r="J188">
        <f>[1]data!G189-'Urban population'!J188</f>
        <v>0.49134896800000027</v>
      </c>
      <c r="K188">
        <f>[1]data!H189-'Urban population'!K188</f>
        <v>0.49752390600000007</v>
      </c>
      <c r="L188">
        <f>[1]data!I189-'Urban population'!L188</f>
        <v>0.49868225000000033</v>
      </c>
      <c r="M188">
        <f>[1]data!J189-'Urban population'!M188</f>
        <v>0.48977614399999991</v>
      </c>
      <c r="N188">
        <f>[1]data!K189-'Urban population'!N188</f>
        <v>0.47516271599999982</v>
      </c>
      <c r="O188">
        <f>[1]data!L189-'Urban population'!O188</f>
        <v>0.43036565999999965</v>
      </c>
      <c r="P188">
        <f>[1]data!M189-'Urban population'!P188</f>
        <v>0.38604057600000008</v>
      </c>
      <c r="Q188">
        <f>[1]data!N189-'Urban population'!Q188</f>
        <v>0.34187065000000016</v>
      </c>
      <c r="R188">
        <f>[1]data!O189-'Urban population'!R188</f>
        <v>0.30392599499999973</v>
      </c>
      <c r="S188">
        <f>[1]data!P189-'Urban population'!S188</f>
        <v>0.26294480000000009</v>
      </c>
      <c r="T188">
        <f>[1]data!Q189-'Urban population'!T188</f>
        <v>0.22216128000000035</v>
      </c>
      <c r="U188">
        <f>[1]data!R189-'Urban population'!U188</f>
        <v>0.1875041279999996</v>
      </c>
      <c r="V188">
        <f>[1]data!S189-'Urban population'!V188</f>
        <v>0.16984829999999995</v>
      </c>
      <c r="W188">
        <f>[1]data!T189-'Urban population'!W188</f>
        <v>0.1542720150000001</v>
      </c>
      <c r="X188">
        <f>[1]data!U189-'Urban population'!X188</f>
        <v>0.14960027574000012</v>
      </c>
      <c r="Y188">
        <f>[1]data!V189-'Urban population'!Y188</f>
        <v>0.14541038291999975</v>
      </c>
      <c r="Z188">
        <f>[1]data!W189-'Urban population'!Z188</f>
        <v>0.1412429901000003</v>
      </c>
      <c r="AA188">
        <f>[1]data!X189-'Urban population'!AA188</f>
        <v>0.13694037941999992</v>
      </c>
      <c r="AB188">
        <f>[1]data!Y189-'Urban population'!AB188</f>
        <v>0.13235120871999984</v>
      </c>
      <c r="AC188">
        <f>[1]data!Z189-'Urban population'!AC188</f>
        <v>0.1274799832000002</v>
      </c>
      <c r="AD188">
        <f>[1]data!AA189-'Urban population'!AD188</f>
        <v>0.1223692809600001</v>
      </c>
      <c r="AE188">
        <f>[1]data!AB189-'Urban population'!AE188</f>
        <v>0.11712778065999974</v>
      </c>
      <c r="AF188">
        <f>[1]data!AC189-'Urban population'!AF188</f>
        <v>0.11187922199999978</v>
      </c>
      <c r="AG188">
        <f>[1]data!AD189-'Urban population'!AG188</f>
        <v>0.1067215869</v>
      </c>
      <c r="AH188">
        <f>[1]data!AE189-'Urban population'!AH188</f>
        <v>0.10160010668999986</v>
      </c>
      <c r="AI188">
        <f>[1]data!AF189-'Urban population'!AI188</f>
        <v>9.6476597699999722E-2</v>
      </c>
      <c r="AJ188">
        <f>[1]data!AG189-'Urban population'!AJ188</f>
        <v>9.1397468519999858E-2</v>
      </c>
      <c r="AK188">
        <f>[1]data!AH189-'Urban population'!AK188</f>
        <v>8.6373475649999865E-2</v>
      </c>
      <c r="AL188">
        <f>[1]data!AI189-'Urban population'!AL188</f>
        <v>8.1486635490000126E-2</v>
      </c>
      <c r="AM188">
        <f>[1]data!AJ189-'Urban population'!AM188</f>
        <v>7.6795968749999943E-2</v>
      </c>
    </row>
    <row r="189" spans="1:39" x14ac:dyDescent="0.25">
      <c r="A189" t="s">
        <v>30</v>
      </c>
      <c r="B189" t="s">
        <v>31</v>
      </c>
      <c r="C189" t="s">
        <v>220</v>
      </c>
      <c r="D189" t="str">
        <f>_xlfn.XLOOKUP(C189,'[5]Country Codes'!$A$2:$A$267,'[5]Country Codes'!$B$2:$B$267)</f>
        <v>USA</v>
      </c>
      <c r="E189" t="str">
        <f>_xlfn.XLOOKUP(D189,[6]Feuil1!$C$2:$C$248,[6]Feuil1!$B$2:$B$248)</f>
        <v>US</v>
      </c>
      <c r="F189" t="s">
        <v>33</v>
      </c>
      <c r="G189" t="str">
        <f>_xlfn.XLOOKUP(C189,'Urban population'!C189:C388,'Urban population'!G189:G388)</f>
        <v>USA</v>
      </c>
      <c r="H189" t="s">
        <v>34</v>
      </c>
      <c r="I189">
        <f>[1]data!F190-'Urban population'!I189</f>
        <v>52.660320385999995</v>
      </c>
      <c r="J189">
        <f>[1]data!G190-'Urban population'!J189</f>
        <v>52.369506311999999</v>
      </c>
      <c r="K189">
        <f>[1]data!H190-'Urban population'!K189</f>
        <v>52.420860600000012</v>
      </c>
      <c r="L189">
        <f>[1]data!I190-'Urban population'!L189</f>
        <v>52.984523744000001</v>
      </c>
      <c r="M189">
        <f>[1]data!J190-'Urban population'!M189</f>
        <v>52.531847544000016</v>
      </c>
      <c r="N189">
        <f>[1]data!K190-'Urban population'!N189</f>
        <v>55.298317668999999</v>
      </c>
      <c r="O189">
        <f>[1]data!L190-'Urban population'!O189</f>
        <v>58.330094615999997</v>
      </c>
      <c r="P189">
        <f>[1]data!M190-'Urban population'!P189</f>
        <v>59.654714280000007</v>
      </c>
      <c r="Q189">
        <f>[1]data!N190-'Urban population'!Q189</f>
        <v>60.852312832999985</v>
      </c>
      <c r="R189">
        <f>[1]data!O190-'Urban population'!R189</f>
        <v>59.932493238000006</v>
      </c>
      <c r="S189">
        <f>[1]data!P190-'Urban population'!S189</f>
        <v>58.690675043000027</v>
      </c>
      <c r="T189">
        <f>[1]data!Q190-'Urban population'!T189</f>
        <v>59.378641727999991</v>
      </c>
      <c r="U189">
        <f>[1]data!R190-'Urban population'!U189</f>
        <v>59.497740288000017</v>
      </c>
      <c r="V189">
        <f>[1]data!S190-'Urban population'!V189</f>
        <v>59.172802217999958</v>
      </c>
      <c r="W189">
        <f>[1]data!T190-'Urban population'!W189</f>
        <v>58.022164827999973</v>
      </c>
      <c r="X189">
        <f>[1]data!U190-'Urban population'!X189</f>
        <v>55.556270413680011</v>
      </c>
      <c r="Y189">
        <f>[1]data!V190-'Urban population'!Y189</f>
        <v>53.145206823800038</v>
      </c>
      <c r="Z189">
        <f>[1]data!W190-'Urban population'!Z189</f>
        <v>50.608911875399997</v>
      </c>
      <c r="AA189">
        <f>[1]data!X190-'Urban population'!AA189</f>
        <v>47.93218470420004</v>
      </c>
      <c r="AB189">
        <f>[1]data!Y190-'Urban population'!AB189</f>
        <v>45.145321994039989</v>
      </c>
      <c r="AC189">
        <f>[1]data!Z190-'Urban population'!AC189</f>
        <v>42.309761210799991</v>
      </c>
      <c r="AD189">
        <f>[1]data!AA190-'Urban population'!AD189</f>
        <v>39.409271900309989</v>
      </c>
      <c r="AE189">
        <f>[1]data!AB190-'Urban population'!AE189</f>
        <v>36.554432021239961</v>
      </c>
      <c r="AF189">
        <f>[1]data!AC190-'Urban population'!AF189</f>
        <v>33.774843404399974</v>
      </c>
      <c r="AG189">
        <f>[1]data!AD190-'Urban population'!AG189</f>
        <v>31.081325724999999</v>
      </c>
      <c r="AH189">
        <f>[1]data!AE190-'Urban population'!AH189</f>
        <v>28.475160238980038</v>
      </c>
      <c r="AI189">
        <f>[1]data!AF190-'Urban population'!AI189</f>
        <v>25.937356952159973</v>
      </c>
      <c r="AJ189">
        <f>[1]data!AG190-'Urban population'!AJ189</f>
        <v>23.485616251440035</v>
      </c>
      <c r="AK189">
        <f>[1]data!AH190-'Urban population'!AK189</f>
        <v>21.145551960000034</v>
      </c>
      <c r="AL189">
        <f>[1]data!AI190-'Urban population'!AL189</f>
        <v>18.955009459759992</v>
      </c>
      <c r="AM189">
        <f>[1]data!AJ190-'Urban population'!AM189</f>
        <v>16.925681320580054</v>
      </c>
    </row>
    <row r="190" spans="1:39" x14ac:dyDescent="0.25">
      <c r="A190" t="s">
        <v>30</v>
      </c>
      <c r="B190" t="s">
        <v>31</v>
      </c>
      <c r="C190" t="s">
        <v>221</v>
      </c>
      <c r="D190" t="str">
        <f>_xlfn.XLOOKUP(C190,'[5]Country Codes'!$A$2:$A$267,'[5]Country Codes'!$B$2:$B$267)</f>
        <v>UZB</v>
      </c>
      <c r="E190" t="str">
        <f>_xlfn.XLOOKUP(D190,[6]Feuil1!$C$2:$C$248,[6]Feuil1!$B$2:$B$248)</f>
        <v>UZ</v>
      </c>
      <c r="F190" t="s">
        <v>33</v>
      </c>
      <c r="G190" t="str">
        <f>_xlfn.XLOOKUP(C190,'Urban population'!C190:C389,'Urban population'!G190:G389)</f>
        <v>Central Asia</v>
      </c>
      <c r="H190" t="s">
        <v>34</v>
      </c>
      <c r="I190">
        <f>[1]data!F191-'Urban population'!I190</f>
        <v>4.3854480000000002</v>
      </c>
      <c r="J190">
        <f>[1]data!G191-'Urban population'!J190</f>
        <v>4.814111016</v>
      </c>
      <c r="K190">
        <f>[1]data!H191-'Urban population'!K190</f>
        <v>5.4263675399999993</v>
      </c>
      <c r="L190">
        <f>[1]data!I191-'Urban population'!L190</f>
        <v>6.4326823340000008</v>
      </c>
      <c r="M190">
        <f>[1]data!J191-'Urban population'!M190</f>
        <v>7.4890717409999983</v>
      </c>
      <c r="N190">
        <f>[1]data!K191-'Urban population'!N190</f>
        <v>8.3380967039999998</v>
      </c>
      <c r="O190">
        <f>[1]data!L191-'Urban population'!O190</f>
        <v>9.3269884160000007</v>
      </c>
      <c r="P190">
        <f>[1]data!M191-'Urban population'!P190</f>
        <v>10.568580017999999</v>
      </c>
      <c r="Q190">
        <f>[1]data!N191-'Urban population'!Q190</f>
        <v>11.921729914000002</v>
      </c>
      <c r="R190">
        <f>[1]data!O191-'Urban population'!R190</f>
        <v>12.835976623999999</v>
      </c>
      <c r="S190">
        <f>[1]data!P191-'Urban population'!S190</f>
        <v>13.349820484</v>
      </c>
      <c r="T190">
        <f>[1]data!Q191-'Urban population'!T190</f>
        <v>13.597318400000001</v>
      </c>
      <c r="U190">
        <f>[1]data!R191-'Urban population'!U190</f>
        <v>13.91205207</v>
      </c>
      <c r="V190">
        <f>[1]data!S191-'Urban population'!V190</f>
        <v>15.101610851999999</v>
      </c>
      <c r="W190">
        <f>[1]data!T191-'Urban population'!W190</f>
        <v>16.488762112000003</v>
      </c>
      <c r="X190">
        <f>[1]data!U191-'Urban population'!X190</f>
        <v>17.093090400480001</v>
      </c>
      <c r="Y190">
        <f>[1]data!V191-'Urban population'!Y190</f>
        <v>17.452018431000003</v>
      </c>
      <c r="Z190">
        <f>[1]data!W191-'Urban population'!Z190</f>
        <v>17.639488462670002</v>
      </c>
      <c r="AA190">
        <f>[1]data!X191-'Urban population'!AA190</f>
        <v>17.740289112479996</v>
      </c>
      <c r="AB190">
        <f>[1]data!Y191-'Urban population'!AB190</f>
        <v>17.77027755225</v>
      </c>
      <c r="AC190">
        <f>[1]data!Z191-'Urban population'!AC190</f>
        <v>17.69830084655996</v>
      </c>
      <c r="AD190">
        <f>[1]data!AA191-'Urban population'!AD190</f>
        <v>17.471526951969963</v>
      </c>
      <c r="AE190">
        <f>[1]data!AB191-'Urban population'!AE190</f>
        <v>17.105549596620008</v>
      </c>
      <c r="AF190">
        <f>[1]data!AC191-'Urban population'!AF190</f>
        <v>16.642546858479996</v>
      </c>
      <c r="AG190">
        <f>[1]data!AD191-'Urban population'!AG190</f>
        <v>16.133567869669996</v>
      </c>
      <c r="AH190">
        <f>[1]data!AE191-'Urban population'!AH190</f>
        <v>15.593436120600032</v>
      </c>
      <c r="AI190">
        <f>[1]data!AF191-'Urban population'!AI190</f>
        <v>15.026824104239999</v>
      </c>
      <c r="AJ190">
        <f>[1]data!AG191-'Urban population'!AJ190</f>
        <v>14.445939937659972</v>
      </c>
      <c r="AK190">
        <f>[1]data!AH191-'Urban population'!AK190</f>
        <v>13.8668963828</v>
      </c>
      <c r="AL190">
        <f>[1]data!AI191-'Urban population'!AL190</f>
        <v>13.298251895280004</v>
      </c>
      <c r="AM190">
        <f>[1]data!AJ191-'Urban population'!AM190</f>
        <v>12.727987970880001</v>
      </c>
    </row>
    <row r="191" spans="1:39" x14ac:dyDescent="0.25">
      <c r="A191" t="s">
        <v>30</v>
      </c>
      <c r="B191" t="s">
        <v>31</v>
      </c>
      <c r="C191" t="s">
        <v>222</v>
      </c>
      <c r="D191" t="e">
        <f>_xlfn.XLOOKUP(C191,'[5]Country Codes'!$A$2:$A$267,'[5]Country Codes'!$B$2:$B$267)</f>
        <v>#N/A</v>
      </c>
      <c r="E191" t="e">
        <f>_xlfn.XLOOKUP(D191,[6]Feuil1!$C$2:$C$248,[6]Feuil1!$B$2:$B$248)</f>
        <v>#N/A</v>
      </c>
      <c r="F191" t="s">
        <v>33</v>
      </c>
      <c r="G191" t="e">
        <f>_xlfn.XLOOKUP(C191,'Urban population'!C191:C390,'Urban population'!G191:G390)</f>
        <v>#N/A</v>
      </c>
      <c r="H191" t="s">
        <v>34</v>
      </c>
      <c r="I191">
        <f>[1]data!F192-'Urban population'!I191</f>
        <v>4.7470941000000003E-2</v>
      </c>
      <c r="J191">
        <f>[1]data!G192-'Urban population'!J191</f>
        <v>5.3874162000000003E-2</v>
      </c>
      <c r="K191">
        <f>[1]data!H192-'Urban population'!K191</f>
        <v>6.1782356999999996E-2</v>
      </c>
      <c r="L191">
        <f>[1]data!I192-'Urban population'!L191</f>
        <v>6.5080656000000001E-2</v>
      </c>
      <c r="M191">
        <f>[1]data!J192-'Urban population'!M191</f>
        <v>6.7779558000000004E-2</v>
      </c>
      <c r="N191">
        <f>[1]data!K192-'Urban population'!N191</f>
        <v>6.9106604000000002E-2</v>
      </c>
      <c r="O191">
        <f>[1]data!L192-'Urban population'!O191</f>
        <v>6.8701097999999988E-2</v>
      </c>
      <c r="P191">
        <f>[1]data!M192-'Urban population'!P191</f>
        <v>6.7931732000000009E-2</v>
      </c>
      <c r="Q191">
        <f>[1]data!N192-'Urban population'!Q191</f>
        <v>6.5881635999999993E-2</v>
      </c>
      <c r="R191">
        <f>[1]data!O192-'Urban population'!R191</f>
        <v>6.4567581999999998E-2</v>
      </c>
      <c r="S191">
        <f>[1]data!P192-'Urban population'!S191</f>
        <v>6.2418844000000001E-2</v>
      </c>
      <c r="T191">
        <f>[1]data!Q192-'Urban population'!T191</f>
        <v>5.9539139999999997E-2</v>
      </c>
      <c r="U191">
        <f>[1]data!R192-'Urban population'!U191</f>
        <v>5.5890900000000007E-2</v>
      </c>
      <c r="V191">
        <f>[1]data!S192-'Urban population'!V191</f>
        <v>5.2287899999999998E-2</v>
      </c>
      <c r="W191">
        <f>[1]data!T192-'Urban population'!W191</f>
        <v>4.9212759999999994E-2</v>
      </c>
      <c r="X191">
        <f>[1]data!U192-'Urban population'!X191</f>
        <v>4.5493531599999998E-2</v>
      </c>
      <c r="Y191">
        <f>[1]data!V192-'Urban population'!Y191</f>
        <v>4.2589537980000002E-2</v>
      </c>
      <c r="Z191">
        <f>[1]data!W192-'Urban population'!Z191</f>
        <v>3.9741728039999993E-2</v>
      </c>
      <c r="AA191">
        <f>[1]data!X192-'Urban population'!AA191</f>
        <v>3.6999028499999996E-2</v>
      </c>
      <c r="AB191">
        <f>[1]data!Y192-'Urban population'!AB191</f>
        <v>3.4368455739999998E-2</v>
      </c>
      <c r="AC191">
        <f>[1]data!Z192-'Urban population'!AC191</f>
        <v>3.1809260700000001E-2</v>
      </c>
      <c r="AD191">
        <f>[1]data!AA192-'Urban population'!AD191</f>
        <v>2.9365980049999997E-2</v>
      </c>
      <c r="AE191">
        <f>[1]data!AB192-'Urban population'!AE191</f>
        <v>2.7085186720000001E-2</v>
      </c>
      <c r="AF191">
        <f>[1]data!AC192-'Urban population'!AF191</f>
        <v>2.5051538820000004E-2</v>
      </c>
      <c r="AG191">
        <f>[1]data!AD192-'Urban population'!AG191</f>
        <v>2.3240923180000005E-2</v>
      </c>
      <c r="AH191">
        <f>[1]data!AE192-'Urban population'!AH191</f>
        <v>2.1618027200000008E-2</v>
      </c>
      <c r="AI191">
        <f>[1]data!AF192-'Urban population'!AI191</f>
        <v>2.0152860000000002E-2</v>
      </c>
      <c r="AJ191">
        <f>[1]data!AG192-'Urban population'!AJ191</f>
        <v>1.8828412500000002E-2</v>
      </c>
      <c r="AK191">
        <f>[1]data!AH192-'Urban population'!AK191</f>
        <v>1.7632055879999997E-2</v>
      </c>
      <c r="AL191">
        <f>[1]data!AI192-'Urban population'!AL191</f>
        <v>1.6554761979999992E-2</v>
      </c>
      <c r="AM191">
        <f>[1]data!AJ192-'Urban population'!AM191</f>
        <v>1.5586752600000003E-2</v>
      </c>
    </row>
    <row r="192" spans="1:39" x14ac:dyDescent="0.25">
      <c r="A192" t="s">
        <v>30</v>
      </c>
      <c r="B192" t="s">
        <v>31</v>
      </c>
      <c r="C192" t="s">
        <v>223</v>
      </c>
      <c r="D192" t="s">
        <v>271</v>
      </c>
      <c r="E192" t="str">
        <f>_xlfn.XLOOKUP(D192,[6]Feuil1!$C$2:$C$248,[6]Feuil1!$B$2:$B$248)</f>
        <v>VE</v>
      </c>
      <c r="F192" t="s">
        <v>33</v>
      </c>
      <c r="G192" t="str">
        <f>_xlfn.XLOOKUP(C192,'Urban population'!C192:C391,'Urban population'!G192:G391)</f>
        <v>Rest of South America</v>
      </c>
      <c r="H192" t="s">
        <v>34</v>
      </c>
      <c r="I192">
        <f>[1]data!F193-'Urban population'!I192</f>
        <v>2.8289797409999999</v>
      </c>
      <c r="J192">
        <f>[1]data!G193-'Urban population'!J192</f>
        <v>3.0052934059999998</v>
      </c>
      <c r="K192">
        <f>[1]data!H193-'Urban population'!K192</f>
        <v>3.0759594239999997</v>
      </c>
      <c r="L192">
        <f>[1]data!I193-'Urban population'!L192</f>
        <v>3.1443304199999993</v>
      </c>
      <c r="M192">
        <f>[1]data!J193-'Urban population'!M192</f>
        <v>3.1420551709999991</v>
      </c>
      <c r="N192">
        <f>[1]data!K193-'Urban population'!N192</f>
        <v>3.1421241280000007</v>
      </c>
      <c r="O192">
        <f>[1]data!L193-'Urban population'!O192</f>
        <v>3.119624975999999</v>
      </c>
      <c r="P192">
        <f>[1]data!M193-'Urban population'!P192</f>
        <v>3.1089320199999992</v>
      </c>
      <c r="Q192">
        <f>[1]data!N193-'Urban population'!Q192</f>
        <v>3.0635095999999997</v>
      </c>
      <c r="R192">
        <f>[1]data!O193-'Urban population'!R192</f>
        <v>3.0624045200000012</v>
      </c>
      <c r="S192">
        <f>[1]data!P193-'Urban population'!S192</f>
        <v>3.0004819400000038</v>
      </c>
      <c r="T192">
        <f>[1]data!Q193-'Urban population'!T192</f>
        <v>3.173912399999999</v>
      </c>
      <c r="U192">
        <f>[1]data!R193-'Urban population'!U192</f>
        <v>3.3941715500000029</v>
      </c>
      <c r="V192">
        <f>[1]data!S193-'Urban population'!V192</f>
        <v>3.5832590360000012</v>
      </c>
      <c r="W192">
        <f>[1]data!T193-'Urban population'!W192</f>
        <v>3.3495729929999989</v>
      </c>
      <c r="X192">
        <f>[1]data!U193-'Urban population'!X192</f>
        <v>3.2281149905199982</v>
      </c>
      <c r="Y192">
        <f>[1]data!V193-'Urban population'!Y192</f>
        <v>3.1026552448200029</v>
      </c>
      <c r="Z192">
        <f>[1]data!W193-'Urban population'!Z192</f>
        <v>2.955450377550001</v>
      </c>
      <c r="AA192">
        <f>[1]data!X193-'Urban population'!AA192</f>
        <v>2.7837865937199986</v>
      </c>
      <c r="AB192">
        <f>[1]data!Y193-'Urban population'!AB192</f>
        <v>2.5932785788800032</v>
      </c>
      <c r="AC192">
        <f>[1]data!Z193-'Urban population'!AC192</f>
        <v>2.3923306691599961</v>
      </c>
      <c r="AD192">
        <f>[1]data!AA193-'Urban population'!AD192</f>
        <v>2.1907391265100031</v>
      </c>
      <c r="AE192">
        <f>[1]data!AB193-'Urban population'!AE192</f>
        <v>1.9937398504699999</v>
      </c>
      <c r="AF192">
        <f>[1]data!AC193-'Urban population'!AF192</f>
        <v>1.8028153525799979</v>
      </c>
      <c r="AG192">
        <f>[1]data!AD193-'Urban population'!AG192</f>
        <v>1.6206925616399985</v>
      </c>
      <c r="AH192">
        <f>[1]data!AE193-'Urban population'!AH192</f>
        <v>1.4488923115799963</v>
      </c>
      <c r="AI192">
        <f>[1]data!AF193-'Urban population'!AI192</f>
        <v>1.2889992437400011</v>
      </c>
      <c r="AJ192">
        <f>[1]data!AG193-'Urban population'!AJ192</f>
        <v>1.1417191439999996</v>
      </c>
      <c r="AK192">
        <f>[1]data!AH193-'Urban population'!AK192</f>
        <v>1.0063800935699945</v>
      </c>
      <c r="AL192">
        <f>[1]data!AI193-'Urban population'!AL192</f>
        <v>0.88272165520000101</v>
      </c>
      <c r="AM192">
        <f>[1]data!AJ193-'Urban population'!AM192</f>
        <v>0.77007957089999479</v>
      </c>
    </row>
    <row r="193" spans="1:39" x14ac:dyDescent="0.25">
      <c r="A193" t="s">
        <v>30</v>
      </c>
      <c r="B193" t="s">
        <v>31</v>
      </c>
      <c r="C193" t="s">
        <v>224</v>
      </c>
      <c r="D193" t="s">
        <v>272</v>
      </c>
      <c r="E193" t="str">
        <f>_xlfn.XLOOKUP(D193,[6]Feuil1!$C$2:$C$248,[6]Feuil1!$B$2:$B$248)</f>
        <v>VI</v>
      </c>
      <c r="F193" t="s">
        <v>33</v>
      </c>
      <c r="G193" t="str">
        <f>_xlfn.XLOOKUP(C193,'Urban population'!C193:C392,'Urban population'!G193:G392)</f>
        <v>USA</v>
      </c>
      <c r="H193" t="s">
        <v>34</v>
      </c>
      <c r="I193">
        <f>[1]data!F194-'Urban population'!I193</f>
        <v>1.1116386000000001E-2</v>
      </c>
      <c r="J193">
        <f>[1]data!G194-'Urban population'!J193</f>
        <v>1.2440247999999998E-2</v>
      </c>
      <c r="K193">
        <f>[1]data!H194-'Urban population'!K193</f>
        <v>1.3891725000000001E-2</v>
      </c>
      <c r="L193">
        <f>[1]data!I194-'Urban population'!L193</f>
        <v>1.6364530000000002E-2</v>
      </c>
      <c r="M193">
        <f>[1]data!J194-'Urban population'!M193</f>
        <v>1.8753152000000002E-2</v>
      </c>
      <c r="N193">
        <f>[1]data!K194-'Urban population'!N193</f>
        <v>1.9760640000000003E-2</v>
      </c>
      <c r="O193">
        <f>[1]data!L194-'Urban population'!O193</f>
        <v>1.9061215000000006E-2</v>
      </c>
      <c r="P193">
        <f>[1]data!M194-'Urban population'!P193</f>
        <v>1.5981344000000008E-2</v>
      </c>
      <c r="Q193">
        <f>[1]data!N194-'Urban population'!Q193</f>
        <v>1.2377736E-2</v>
      </c>
      <c r="R193">
        <f>[1]data!O194-'Urban population'!R193</f>
        <v>9.8752319999999977E-3</v>
      </c>
      <c r="S193">
        <f>[1]data!P194-'Urban population'!S193</f>
        <v>8.0116100000000023E-3</v>
      </c>
      <c r="T193">
        <f>[1]data!Q194-'Urban population'!T193</f>
        <v>6.7066019999999921E-3</v>
      </c>
      <c r="U193">
        <f>[1]data!R194-'Urban population'!U193</f>
        <v>5.7489480000000037E-3</v>
      </c>
      <c r="V193">
        <f>[1]data!S194-'Urban population'!V193</f>
        <v>4.7407139999999931E-3</v>
      </c>
      <c r="W193">
        <f>[1]data!T194-'Urban population'!W193</f>
        <v>4.1223039999999933E-3</v>
      </c>
      <c r="X193">
        <f>[1]data!U194-'Urban population'!X193</f>
        <v>3.9580895999999921E-3</v>
      </c>
      <c r="Y193">
        <f>[1]data!V194-'Urban population'!Y193</f>
        <v>3.8054614499999917E-3</v>
      </c>
      <c r="Z193">
        <f>[1]data!W194-'Urban population'!Z193</f>
        <v>3.6565796400000045E-3</v>
      </c>
      <c r="AA193">
        <f>[1]data!X194-'Urban population'!AA193</f>
        <v>3.5179270500000082E-3</v>
      </c>
      <c r="AB193">
        <f>[1]data!Y194-'Urban population'!AB193</f>
        <v>3.3907677999999997E-3</v>
      </c>
      <c r="AC193">
        <f>[1]data!Z194-'Urban population'!AC193</f>
        <v>3.2768239999999976E-3</v>
      </c>
      <c r="AD193">
        <f>[1]data!AA194-'Urban population'!AD193</f>
        <v>3.1727656799999671E-3</v>
      </c>
      <c r="AE193">
        <f>[1]data!AB194-'Urban population'!AE193</f>
        <v>3.0738708000000031E-3</v>
      </c>
      <c r="AF193">
        <f>[1]data!AC194-'Urban population'!AF193</f>
        <v>2.9767356299999909E-3</v>
      </c>
      <c r="AG193">
        <f>[1]data!AD194-'Urban population'!AG193</f>
        <v>2.8816319699999926E-3</v>
      </c>
      <c r="AH193">
        <f>[1]data!AE194-'Urban population'!AH193</f>
        <v>2.7911289299999975E-3</v>
      </c>
      <c r="AI193">
        <f>[1]data!AF194-'Urban population'!AI193</f>
        <v>2.7014990399999994E-3</v>
      </c>
      <c r="AJ193">
        <f>[1]data!AG194-'Urban population'!AJ193</f>
        <v>2.6094432000000056E-3</v>
      </c>
      <c r="AK193">
        <f>[1]data!AH194-'Urban population'!AK193</f>
        <v>2.5144867800000054E-3</v>
      </c>
      <c r="AL193">
        <f>[1]data!AI194-'Urban population'!AL193</f>
        <v>2.4150648599999686E-3</v>
      </c>
      <c r="AM193">
        <f>[1]data!AJ194-'Urban population'!AM193</f>
        <v>2.3105003100000049E-3</v>
      </c>
    </row>
    <row r="194" spans="1:39" x14ac:dyDescent="0.25">
      <c r="A194" t="s">
        <v>30</v>
      </c>
      <c r="B194" t="s">
        <v>31</v>
      </c>
      <c r="C194" t="s">
        <v>239</v>
      </c>
      <c r="D194" t="s">
        <v>273</v>
      </c>
      <c r="E194" t="str">
        <f>_xlfn.XLOOKUP(D194,[6]Feuil1!$C$2:$C$248,[6]Feuil1!$B$2:$B$248)</f>
        <v>VN</v>
      </c>
      <c r="F194" t="s">
        <v>33</v>
      </c>
      <c r="G194" t="s">
        <v>242</v>
      </c>
      <c r="H194" t="s">
        <v>34</v>
      </c>
      <c r="I194">
        <f>[1]data!F195-'Urban population'!I194</f>
        <v>21.949708508000004</v>
      </c>
      <c r="J194">
        <f>[1]data!G195-'Urban population'!J194</f>
        <v>24.232705453000001</v>
      </c>
      <c r="K194">
        <f>[1]data!H195-'Urban population'!K194</f>
        <v>27.492052666999999</v>
      </c>
      <c r="L194">
        <f>[1]data!I195-'Urban population'!L194</f>
        <v>30.928466228000001</v>
      </c>
      <c r="M194">
        <f>[1]data!J195-'Urban population'!M194</f>
        <v>33.877922982000001</v>
      </c>
      <c r="N194">
        <f>[1]data!K195-'Urban population'!N194</f>
        <v>37.664679276000001</v>
      </c>
      <c r="O194">
        <f>[1]data!L195-'Urban population'!O194</f>
        <v>42.277123784000004</v>
      </c>
      <c r="P194">
        <f>[1]data!M195-'Urban population'!P194</f>
        <v>47.522608488000003</v>
      </c>
      <c r="Q194">
        <f>[1]data!N195-'Urban population'!Q194</f>
        <v>52.754990526</v>
      </c>
      <c r="R194">
        <f>[1]data!O195-'Urban population'!R194</f>
        <v>56.904854108000002</v>
      </c>
      <c r="S194">
        <f>[1]data!P195-'Urban population'!S194</f>
        <v>59.414511743999995</v>
      </c>
      <c r="T194">
        <f>[1]data!Q195-'Urban population'!T194</f>
        <v>60.145820129000001</v>
      </c>
      <c r="U194">
        <f>[1]data!R195-'Urban population'!U194</f>
        <v>60.513692855999992</v>
      </c>
      <c r="V194">
        <f>[1]data!S195-'Urban population'!V194</f>
        <v>60.716661282000004</v>
      </c>
      <c r="W194">
        <f>[1]data!T195-'Urban population'!W194</f>
        <v>60.319651557</v>
      </c>
      <c r="X194">
        <f>[1]data!U195-'Urban population'!X194</f>
        <v>59.687390634489937</v>
      </c>
      <c r="Y194">
        <f>[1]data!V195-'Urban population'!Y194</f>
        <v>58.491277952170002</v>
      </c>
      <c r="Z194">
        <f>[1]data!W195-'Urban population'!Z194</f>
        <v>56.754993391839996</v>
      </c>
      <c r="AA194">
        <f>[1]data!X195-'Urban population'!AA194</f>
        <v>54.675902869000005</v>
      </c>
      <c r="AB194">
        <f>[1]data!Y195-'Urban population'!AB194</f>
        <v>52.366220483580001</v>
      </c>
      <c r="AC194">
        <f>[1]data!Z195-'Urban population'!AC194</f>
        <v>49.910331679999999</v>
      </c>
      <c r="AD194">
        <f>[1]data!AA195-'Urban population'!AD194</f>
        <v>47.359823284619999</v>
      </c>
      <c r="AE194">
        <f>[1]data!AB195-'Urban population'!AE194</f>
        <v>44.725192516260002</v>
      </c>
      <c r="AF194">
        <f>[1]data!AC195-'Urban population'!AF194</f>
        <v>42.051500293260005</v>
      </c>
      <c r="AG194">
        <f>[1]data!AD195-'Urban population'!AG194</f>
        <v>39.387516032579995</v>
      </c>
      <c r="AH194">
        <f>[1]data!AE195-'Urban population'!AH194</f>
        <v>36.776589760980002</v>
      </c>
      <c r="AI194">
        <f>[1]data!AF195-'Urban population'!AI194</f>
        <v>34.27591810909</v>
      </c>
      <c r="AJ194">
        <f>[1]data!AG195-'Urban population'!AJ194</f>
        <v>31.922279361419996</v>
      </c>
      <c r="AK194">
        <f>[1]data!AH195-'Urban population'!AK194</f>
        <v>29.73333079083001</v>
      </c>
      <c r="AL194">
        <f>[1]data!AI195-'Urban population'!AL194</f>
        <v>27.713486371999977</v>
      </c>
      <c r="AM194">
        <f>[1]data!AJ195-'Urban population'!AM194</f>
        <v>25.850393851100023</v>
      </c>
    </row>
    <row r="195" spans="1:39" x14ac:dyDescent="0.25">
      <c r="A195" t="s">
        <v>30</v>
      </c>
      <c r="B195" t="s">
        <v>31</v>
      </c>
      <c r="C195" t="s">
        <v>226</v>
      </c>
      <c r="D195" t="str">
        <f>_xlfn.XLOOKUP(C195,'[5]Country Codes'!$A$2:$A$267,'[5]Country Codes'!$B$2:$B$267)</f>
        <v>VUT</v>
      </c>
      <c r="E195" t="str">
        <f>_xlfn.XLOOKUP(D195,[6]Feuil1!$C$2:$C$248,[6]Feuil1!$B$2:$B$248)</f>
        <v>VU</v>
      </c>
      <c r="F195" t="s">
        <v>33</v>
      </c>
      <c r="G195" t="str">
        <f>_xlfn.XLOOKUP(C195,'Urban population'!C195:C394,'Urban population'!G195:G394)</f>
        <v>Oceania</v>
      </c>
      <c r="H195" t="s">
        <v>34</v>
      </c>
      <c r="I195">
        <f>[1]data!F196-'Urban population'!I195</f>
        <v>4.6625088000000002E-2</v>
      </c>
      <c r="J195">
        <f>[1]data!G196-'Urban population'!J195</f>
        <v>5.0806700000000003E-2</v>
      </c>
      <c r="K195">
        <f>[1]data!H196-'Urban population'!K195</f>
        <v>5.7074304000000006E-2</v>
      </c>
      <c r="L195">
        <f>[1]data!I196-'Urban population'!L195</f>
        <v>6.5249494000000005E-2</v>
      </c>
      <c r="M195">
        <f>[1]data!J196-'Urban population'!M195</f>
        <v>7.5122943000000011E-2</v>
      </c>
      <c r="N195">
        <f>[1]data!K196-'Urban population'!N195</f>
        <v>8.6918687999999994E-2</v>
      </c>
      <c r="O195">
        <f>[1]data!L196-'Urban population'!O195</f>
        <v>9.965172500000001E-2</v>
      </c>
      <c r="P195">
        <f>[1]data!M196-'Urban population'!P195</f>
        <v>0.109513677</v>
      </c>
      <c r="Q195">
        <f>[1]data!N196-'Urban population'!Q195</f>
        <v>0.12114756900000001</v>
      </c>
      <c r="R195">
        <f>[1]data!O196-'Urban population'!R195</f>
        <v>0.13452285</v>
      </c>
      <c r="S195">
        <f>[1]data!P196-'Urban population'!S195</f>
        <v>0.14849516700000001</v>
      </c>
      <c r="T195">
        <f>[1]data!Q196-'Urban population'!T195</f>
        <v>0.16534192099999998</v>
      </c>
      <c r="U195">
        <f>[1]data!R196-'Urban population'!U195</f>
        <v>0.18314186000000002</v>
      </c>
      <c r="V195">
        <f>[1]data!S196-'Urban population'!V195</f>
        <v>0.20487</v>
      </c>
      <c r="W195">
        <f>[1]data!T196-'Urban population'!W195</f>
        <v>0.22944510000000001</v>
      </c>
      <c r="X195">
        <f>[1]data!U196-'Urban population'!X195</f>
        <v>0.24713123719999999</v>
      </c>
      <c r="Y195">
        <f>[1]data!V196-'Urban population'!Y195</f>
        <v>0.26236708695999933</v>
      </c>
      <c r="Z195">
        <f>[1]data!W196-'Urban population'!Z195</f>
        <v>0.27553901375000001</v>
      </c>
      <c r="AA195">
        <f>[1]data!X196-'Urban population'!AA195</f>
        <v>0.28652195109999995</v>
      </c>
      <c r="AB195">
        <f>[1]data!Y196-'Urban population'!AB195</f>
        <v>0.29511501434999998</v>
      </c>
      <c r="AC195">
        <f>[1]data!Z196-'Urban population'!AC195</f>
        <v>0.30067732675000003</v>
      </c>
      <c r="AD195">
        <f>[1]data!AA196-'Urban population'!AD195</f>
        <v>0.30295390124999949</v>
      </c>
      <c r="AE195">
        <f>[1]data!AB196-'Urban population'!AE195</f>
        <v>0.30248579020000005</v>
      </c>
      <c r="AF195">
        <f>[1]data!AC196-'Urban population'!AF195</f>
        <v>0.29953045640000003</v>
      </c>
      <c r="AG195">
        <f>[1]data!AD196-'Urban population'!AG195</f>
        <v>0.29433067800000001</v>
      </c>
      <c r="AH195">
        <f>[1]data!AE196-'Urban population'!AH195</f>
        <v>0.28706876393999997</v>
      </c>
      <c r="AI195">
        <f>[1]data!AF196-'Urban population'!AI195</f>
        <v>0.27848036667000003</v>
      </c>
      <c r="AJ195">
        <f>[1]data!AG196-'Urban population'!AJ195</f>
        <v>0.26898385392000007</v>
      </c>
      <c r="AK195">
        <f>[1]data!AH196-'Urban population'!AK195</f>
        <v>0.25877551103999968</v>
      </c>
      <c r="AL195">
        <f>[1]data!AI196-'Urban population'!AL195</f>
        <v>0.24802612672000002</v>
      </c>
      <c r="AM195">
        <f>[1]data!AJ196-'Urban population'!AM195</f>
        <v>0.2366795092999997</v>
      </c>
    </row>
    <row r="196" spans="1:39" x14ac:dyDescent="0.25">
      <c r="A196" t="s">
        <v>30</v>
      </c>
      <c r="B196" t="s">
        <v>31</v>
      </c>
      <c r="C196" t="s">
        <v>227</v>
      </c>
      <c r="D196" t="str">
        <f>_xlfn.XLOOKUP(C196,'[5]Country Codes'!$A$2:$A$267,'[5]Country Codes'!$B$2:$B$267)</f>
        <v>WSM</v>
      </c>
      <c r="E196" t="str">
        <f>_xlfn.XLOOKUP(D196,[6]Feuil1!$C$2:$C$248,[6]Feuil1!$B$2:$B$248)</f>
        <v>WS</v>
      </c>
      <c r="F196" t="s">
        <v>33</v>
      </c>
      <c r="G196" t="str">
        <f>_xlfn.XLOOKUP(C196,'Urban population'!C196:C395,'Urban population'!G196:G395)</f>
        <v>Oceania</v>
      </c>
      <c r="H196" t="s">
        <v>34</v>
      </c>
      <c r="I196">
        <f>[1]data!F197-'Urban population'!I196</f>
        <v>7.5791807000000003E-2</v>
      </c>
      <c r="J196">
        <f>[1]data!G197-'Urban population'!J196</f>
        <v>8.012860799999999E-2</v>
      </c>
      <c r="K196">
        <f>[1]data!H197-'Urban population'!K196</f>
        <v>9.0481647999999998E-2</v>
      </c>
      <c r="L196">
        <f>[1]data!I197-'Urban population'!L196</f>
        <v>0.10339445400000001</v>
      </c>
      <c r="M196">
        <f>[1]data!J197-'Urban population'!M196</f>
        <v>0.11272633600000001</v>
      </c>
      <c r="N196">
        <f>[1]data!K197-'Urban population'!N196</f>
        <v>0.12147592999999998</v>
      </c>
      <c r="O196">
        <f>[1]data!L197-'Urban population'!O196</f>
        <v>0.12939905600000001</v>
      </c>
      <c r="P196">
        <f>[1]data!M197-'Urban population'!P196</f>
        <v>0.13132571600000004</v>
      </c>
      <c r="Q196">
        <f>[1]data!N197-'Urban population'!Q196</f>
        <v>0.13243049200000001</v>
      </c>
      <c r="R196">
        <f>[1]data!O197-'Urban population'!R196</f>
        <v>0.13659000000000002</v>
      </c>
      <c r="S196">
        <f>[1]data!P197-'Urban population'!S196</f>
        <v>0.14283126000000002</v>
      </c>
      <c r="T196">
        <f>[1]data!Q197-'Urban population'!T196</f>
        <v>0.14843240800000002</v>
      </c>
      <c r="U196">
        <f>[1]data!R197-'Urban population'!U196</f>
        <v>0.154896537</v>
      </c>
      <c r="V196">
        <f>[1]data!S197-'Urban population'!V196</f>
        <v>0.16435888200000001</v>
      </c>
      <c r="W196">
        <f>[1]data!T197-'Urban population'!W196</f>
        <v>0.17492390200000002</v>
      </c>
      <c r="X196">
        <f>[1]data!U197-'Urban population'!X196</f>
        <v>0.18135079967000001</v>
      </c>
      <c r="Y196">
        <f>[1]data!V197-'Urban population'!Y196</f>
        <v>0.18555928085999923</v>
      </c>
      <c r="Z196">
        <f>[1]data!W197-'Urban population'!Z196</f>
        <v>0.18770165423999999</v>
      </c>
      <c r="AA196">
        <f>[1]data!X197-'Urban population'!AA196</f>
        <v>0.18799252000000002</v>
      </c>
      <c r="AB196">
        <f>[1]data!Y197-'Urban population'!AB196</f>
        <v>0.18660351351999999</v>
      </c>
      <c r="AC196">
        <f>[1]data!Z197-'Urban population'!AC196</f>
        <v>0.18340289525000003</v>
      </c>
      <c r="AD196">
        <f>[1]data!AA197-'Urban population'!AD196</f>
        <v>0.17826413990000001</v>
      </c>
      <c r="AE196">
        <f>[1]data!AB197-'Urban population'!AE196</f>
        <v>0.17154255393000004</v>
      </c>
      <c r="AF196">
        <f>[1]data!AC197-'Urban population'!AF196</f>
        <v>0.16455081024000001</v>
      </c>
      <c r="AG196">
        <f>[1]data!AD197-'Urban population'!AG196</f>
        <v>0.15739678669000001</v>
      </c>
      <c r="AH196">
        <f>[1]data!AE197-'Urban population'!AH196</f>
        <v>0.15030143454</v>
      </c>
      <c r="AI196">
        <f>[1]data!AF197-'Urban population'!AI196</f>
        <v>0.14348224935000001</v>
      </c>
      <c r="AJ196">
        <f>[1]data!AG197-'Urban population'!AJ196</f>
        <v>0.13700782214999999</v>
      </c>
      <c r="AK196">
        <f>[1]data!AH197-'Urban population'!AK196</f>
        <v>0.13081755006000001</v>
      </c>
      <c r="AL196">
        <f>[1]data!AI197-'Urban population'!AL196</f>
        <v>0.12499413119999997</v>
      </c>
      <c r="AM196">
        <f>[1]data!AJ197-'Urban population'!AM196</f>
        <v>0.11948175048999998</v>
      </c>
    </row>
    <row r="197" spans="1:39" x14ac:dyDescent="0.25">
      <c r="A197" t="s">
        <v>30</v>
      </c>
      <c r="B197" t="s">
        <v>31</v>
      </c>
      <c r="C197" t="s">
        <v>228</v>
      </c>
      <c r="D197" t="s">
        <v>274</v>
      </c>
      <c r="E197" t="str">
        <f>_xlfn.XLOOKUP(D197,[6]Feuil1!$C$2:$C$248,[6]Feuil1!$B$2:$B$248)</f>
        <v>YE</v>
      </c>
      <c r="F197" t="s">
        <v>33</v>
      </c>
      <c r="G197" t="str">
        <f>_xlfn.XLOOKUP(C197,'Urban population'!C197:C396,'Urban population'!G197:G396)</f>
        <v>Middle East</v>
      </c>
      <c r="H197" t="s">
        <v>34</v>
      </c>
      <c r="I197">
        <f>[1]data!F198-'Urban population'!I197</f>
        <v>4.4072958360000003</v>
      </c>
      <c r="J197">
        <f>[1]data!G198-'Urban population'!J197</f>
        <v>4.6818088649999998</v>
      </c>
      <c r="K197">
        <f>[1]data!H198-'Urban population'!K197</f>
        <v>4.9919643900000006</v>
      </c>
      <c r="L197">
        <f>[1]data!I198-'Urban population'!L197</f>
        <v>5.3701336200000007</v>
      </c>
      <c r="M197">
        <f>[1]data!J198-'Urban population'!M197</f>
        <v>5.8575031530000006</v>
      </c>
      <c r="N197">
        <f>[1]data!K198-'Urban population'!N197</f>
        <v>6.5939176800000006</v>
      </c>
      <c r="O197">
        <f>[1]data!L198-'Urban population'!O197</f>
        <v>7.5547518449999993</v>
      </c>
      <c r="P197">
        <f>[1]data!M198-'Urban population'!P197</f>
        <v>8.8333909439999996</v>
      </c>
      <c r="Q197">
        <f>[1]data!N198-'Urban population'!Q197</f>
        <v>10.377198608</v>
      </c>
      <c r="R197">
        <f>[1]data!O198-'Urban population'!R197</f>
        <v>12.067979166000001</v>
      </c>
      <c r="S197">
        <f>[1]data!P198-'Urban population'!S197</f>
        <v>13.539412996999999</v>
      </c>
      <c r="T197">
        <f>[1]data!Q198-'Urban population'!T197</f>
        <v>14.938127775000002</v>
      </c>
      <c r="U197">
        <f>[1]data!R198-'Urban population'!U197</f>
        <v>16.629182812</v>
      </c>
      <c r="V197">
        <f>[1]data!S198-'Urban population'!V197</f>
        <v>18.346686679999998</v>
      </c>
      <c r="W197">
        <f>[1]data!T198-'Urban population'!W197</f>
        <v>19.826750214</v>
      </c>
      <c r="X197">
        <f>[1]data!U198-'Urban population'!X197</f>
        <v>21.124835319910005</v>
      </c>
      <c r="Y197">
        <f>[1]data!V198-'Urban population'!Y197</f>
        <v>22.278984626020005</v>
      </c>
      <c r="Z197">
        <f>[1]data!W198-'Urban population'!Z197</f>
        <v>23.205453267360003</v>
      </c>
      <c r="AA197">
        <f>[1]data!X198-'Urban population'!AA197</f>
        <v>23.900861695499998</v>
      </c>
      <c r="AB197">
        <f>[1]data!Y198-'Urban population'!AB197</f>
        <v>24.387952209149997</v>
      </c>
      <c r="AC197">
        <f>[1]data!Z198-'Urban population'!AC197</f>
        <v>24.649617216000006</v>
      </c>
      <c r="AD197">
        <f>[1]data!AA198-'Urban population'!AD197</f>
        <v>24.680294360039998</v>
      </c>
      <c r="AE197">
        <f>[1]data!AB198-'Urban population'!AE197</f>
        <v>24.516741025549997</v>
      </c>
      <c r="AF197">
        <f>[1]data!AC198-'Urban population'!AF197</f>
        <v>24.16042718784</v>
      </c>
      <c r="AG197">
        <f>[1]data!AD198-'Urban population'!AG197</f>
        <v>23.623456648400001</v>
      </c>
      <c r="AH197">
        <f>[1]data!AE198-'Urban population'!AH197</f>
        <v>22.9466325912</v>
      </c>
      <c r="AI197">
        <f>[1]data!AF198-'Urban population'!AI197</f>
        <v>22.193691542920007</v>
      </c>
      <c r="AJ197">
        <f>[1]data!AG198-'Urban population'!AJ197</f>
        <v>21.412843639839998</v>
      </c>
      <c r="AK197">
        <f>[1]data!AH198-'Urban population'!AK197</f>
        <v>20.612763572039967</v>
      </c>
      <c r="AL197">
        <f>[1]data!AI198-'Urban population'!AL197</f>
        <v>19.789517027280006</v>
      </c>
      <c r="AM197">
        <f>[1]data!AJ198-'Urban population'!AM197</f>
        <v>18.938032473360003</v>
      </c>
    </row>
    <row r="198" spans="1:39" x14ac:dyDescent="0.25">
      <c r="A198" t="s">
        <v>30</v>
      </c>
      <c r="B198" t="s">
        <v>31</v>
      </c>
      <c r="C198" t="s">
        <v>229</v>
      </c>
      <c r="D198" t="str">
        <f>_xlfn.XLOOKUP(C198,'[5]Country Codes'!$A$2:$A$267,'[5]Country Codes'!$B$2:$B$267)</f>
        <v>ZAF</v>
      </c>
      <c r="E198" t="str">
        <f>_xlfn.XLOOKUP(D198,[6]Feuil1!$C$2:$C$248,[6]Feuil1!$B$2:$B$248)</f>
        <v>ZA</v>
      </c>
      <c r="F198" t="s">
        <v>33</v>
      </c>
      <c r="G198" t="str">
        <f>_xlfn.XLOOKUP(C198,'Urban population'!C198:C397,'Urban population'!G198:G397)</f>
        <v>South Africa</v>
      </c>
      <c r="H198" t="s">
        <v>34</v>
      </c>
      <c r="I198">
        <f>[1]data!F199-'Urban population'!I198</f>
        <v>7.460659269999999</v>
      </c>
      <c r="J198">
        <f>[1]data!G199-'Urban population'!J198</f>
        <v>8.0180448640000002</v>
      </c>
      <c r="K198">
        <f>[1]data!H199-'Urban population'!K198</f>
        <v>8.704667783999998</v>
      </c>
      <c r="L198">
        <f>[1]data!I199-'Urban population'!L198</f>
        <v>9.9734490239999989</v>
      </c>
      <c r="M198">
        <f>[1]data!J199-'Urban population'!M198</f>
        <v>11.501977680000001</v>
      </c>
      <c r="N198">
        <f>[1]data!K199-'Urban population'!N198</f>
        <v>13.195736409</v>
      </c>
      <c r="O198">
        <f>[1]data!L199-'Urban population'!O198</f>
        <v>15.003644796</v>
      </c>
      <c r="P198">
        <f>[1]data!M199-'Urban population'!P198</f>
        <v>16.817436240000003</v>
      </c>
      <c r="Q198">
        <f>[1]data!N199-'Urban population'!Q198</f>
        <v>18.865223519999997</v>
      </c>
      <c r="R198">
        <f>[1]data!O199-'Urban population'!R198</f>
        <v>19.85495603</v>
      </c>
      <c r="S198">
        <f>[1]data!P199-'Urban population'!S198</f>
        <v>20.087540282000003</v>
      </c>
      <c r="T198">
        <f>[1]data!Q199-'Urban population'!T198</f>
        <v>19.758878775000003</v>
      </c>
      <c r="U198">
        <f>[1]data!R199-'Urban population'!U198</f>
        <v>19.453978278000001</v>
      </c>
      <c r="V198">
        <f>[1]data!S199-'Urban population'!V198</f>
        <v>19.437291103999996</v>
      </c>
      <c r="W198">
        <f>[1]data!T199-'Urban population'!W198</f>
        <v>19.059963595999996</v>
      </c>
      <c r="X198">
        <f>[1]data!U199-'Urban population'!X198</f>
        <v>18.995006872399998</v>
      </c>
      <c r="Y198">
        <f>[1]data!V199-'Urban population'!Y198</f>
        <v>18.902756731260006</v>
      </c>
      <c r="Z198">
        <f>[1]data!W199-'Urban population'!Z198</f>
        <v>18.625649877290009</v>
      </c>
      <c r="AA198">
        <f>[1]data!X199-'Urban population'!AA198</f>
        <v>18.190035944919998</v>
      </c>
      <c r="AB198">
        <f>[1]data!Y199-'Urban population'!AB198</f>
        <v>17.6175993019</v>
      </c>
      <c r="AC198">
        <f>[1]data!Z199-'Urban population'!AC198</f>
        <v>16.909941345660002</v>
      </c>
      <c r="AD198">
        <f>[1]data!AA199-'Urban population'!AD198</f>
        <v>16.113121168820001</v>
      </c>
      <c r="AE198">
        <f>[1]data!AB199-'Urban population'!AE198</f>
        <v>15.255180584069997</v>
      </c>
      <c r="AF198">
        <f>[1]data!AC199-'Urban population'!AF198</f>
        <v>14.361014147600002</v>
      </c>
      <c r="AG198">
        <f>[1]data!AD199-'Urban population'!AG198</f>
        <v>13.445577186729999</v>
      </c>
      <c r="AH198">
        <f>[1]data!AE199-'Urban population'!AH198</f>
        <v>12.529286686400006</v>
      </c>
      <c r="AI198">
        <f>[1]data!AF199-'Urban population'!AI198</f>
        <v>11.621464116259993</v>
      </c>
      <c r="AJ198">
        <f>[1]data!AG199-'Urban population'!AJ198</f>
        <v>10.745910248219992</v>
      </c>
      <c r="AK198">
        <f>[1]data!AH199-'Urban population'!AK198</f>
        <v>9.9082391367599953</v>
      </c>
      <c r="AL198">
        <f>[1]data!AI199-'Urban population'!AL198</f>
        <v>9.1086110547600043</v>
      </c>
      <c r="AM198">
        <f>[1]data!AJ199-'Urban population'!AM198</f>
        <v>8.3511063359999866</v>
      </c>
    </row>
    <row r="199" spans="1:39" x14ac:dyDescent="0.25">
      <c r="A199" t="s">
        <v>30</v>
      </c>
      <c r="B199" t="s">
        <v>31</v>
      </c>
      <c r="C199" t="s">
        <v>230</v>
      </c>
      <c r="D199" t="str">
        <f>_xlfn.XLOOKUP(C199,'[5]Country Codes'!$A$2:$A$267,'[5]Country Codes'!$B$2:$B$267)</f>
        <v>ZMB</v>
      </c>
      <c r="E199" t="str">
        <f>_xlfn.XLOOKUP(D199,[6]Feuil1!$C$2:$C$248,[6]Feuil1!$B$2:$B$248)</f>
        <v>ZM</v>
      </c>
      <c r="F199" t="s">
        <v>33</v>
      </c>
      <c r="G199" t="str">
        <f>_xlfn.XLOOKUP(C199,'Urban population'!C199:C398,'Urban population'!G199:G398)</f>
        <v>Rest of Southern Africa</v>
      </c>
      <c r="H199" t="s">
        <v>34</v>
      </c>
      <c r="I199">
        <f>[1]data!F200-'Urban population'!I199</f>
        <v>2.0228604299999997</v>
      </c>
      <c r="J199">
        <f>[1]data!G200-'Urban population'!J199</f>
        <v>2.2551129450000005</v>
      </c>
      <c r="K199">
        <f>[1]data!H200-'Urban population'!K199</f>
        <v>2.5146707040000003</v>
      </c>
      <c r="L199">
        <f>[1]data!I200-'Urban population'!L199</f>
        <v>2.7569557940000005</v>
      </c>
      <c r="M199">
        <f>[1]data!J200-'Urban population'!M199</f>
        <v>2.9397480959999998</v>
      </c>
      <c r="N199">
        <f>[1]data!K200-'Urban population'!N199</f>
        <v>3.1628099369999996</v>
      </c>
      <c r="O199">
        <f>[1]data!L200-'Urban population'!O199</f>
        <v>3.3926125380000003</v>
      </c>
      <c r="P199">
        <f>[1]data!M200-'Urban population'!P199</f>
        <v>3.9713465430000001</v>
      </c>
      <c r="Q199">
        <f>[1]data!N200-'Urban population'!Q199</f>
        <v>4.5990885300000004</v>
      </c>
      <c r="R199">
        <f>[1]data!O200-'Urban population'!R199</f>
        <v>5.3954915520000011</v>
      </c>
      <c r="S199">
        <f>[1]data!P200-'Urban population'!S199</f>
        <v>6.3571779960000008</v>
      </c>
      <c r="T199">
        <f>[1]data!Q200-'Urban population'!T199</f>
        <v>7.1711843830000008</v>
      </c>
      <c r="U199">
        <f>[1]data!R200-'Urban population'!U199</f>
        <v>8.2150572000000004</v>
      </c>
      <c r="V199">
        <f>[1]data!S200-'Urban population'!V199</f>
        <v>9.2909423950000019</v>
      </c>
      <c r="W199">
        <f>[1]data!T200-'Urban population'!W199</f>
        <v>10.334824018000001</v>
      </c>
      <c r="X199">
        <f>[1]data!U200-'Urban population'!X199</f>
        <v>11.348945387519999</v>
      </c>
      <c r="Y199">
        <f>[1]data!V200-'Urban population'!Y199</f>
        <v>12.300564458960002</v>
      </c>
      <c r="Z199">
        <f>[1]data!W200-'Urban population'!Z199</f>
        <v>13.158441638849999</v>
      </c>
      <c r="AA199">
        <f>[1]data!X200-'Urban population'!AA199</f>
        <v>13.893965745040001</v>
      </c>
      <c r="AB199">
        <f>[1]data!Y200-'Urban population'!AB199</f>
        <v>14.483560205069995</v>
      </c>
      <c r="AC199">
        <f>[1]data!Z200-'Urban population'!AC199</f>
        <v>14.904865491839999</v>
      </c>
      <c r="AD199">
        <f>[1]data!AA200-'Urban population'!AD199</f>
        <v>15.154218409439999</v>
      </c>
      <c r="AE199">
        <f>[1]data!AB200-'Urban population'!AE199</f>
        <v>15.2448072436</v>
      </c>
      <c r="AF199">
        <f>[1]data!AC200-'Urban population'!AF199</f>
        <v>15.166707836699999</v>
      </c>
      <c r="AG199">
        <f>[1]data!AD200-'Urban population'!AG199</f>
        <v>14.934755187299967</v>
      </c>
      <c r="AH199">
        <f>[1]data!AE200-'Urban population'!AH199</f>
        <v>14.558049001600004</v>
      </c>
      <c r="AI199">
        <f>[1]data!AF200-'Urban population'!AI199</f>
        <v>14.05013664294</v>
      </c>
      <c r="AJ199">
        <f>[1]data!AG200-'Urban population'!AJ199</f>
        <v>13.459330913140001</v>
      </c>
      <c r="AK199">
        <f>[1]data!AH200-'Urban population'!AK199</f>
        <v>12.809633946079998</v>
      </c>
      <c r="AL199">
        <f>[1]data!AI200-'Urban population'!AL199</f>
        <v>12.114573435849998</v>
      </c>
      <c r="AM199">
        <f>[1]data!AJ200-'Urban population'!AM199</f>
        <v>11.393525669239999</v>
      </c>
    </row>
    <row r="200" spans="1:39" x14ac:dyDescent="0.25">
      <c r="A200" t="s">
        <v>30</v>
      </c>
      <c r="B200" t="s">
        <v>31</v>
      </c>
      <c r="C200" t="s">
        <v>231</v>
      </c>
      <c r="D200" t="str">
        <f>_xlfn.XLOOKUP(C200,'[5]Country Codes'!$A$2:$A$267,'[5]Country Codes'!$B$2:$B$267)</f>
        <v>ZWE</v>
      </c>
      <c r="E200" t="str">
        <f>_xlfn.XLOOKUP(D200,[6]Feuil1!$C$2:$C$248,[6]Feuil1!$B$2:$B$248)</f>
        <v>ZW</v>
      </c>
      <c r="F200" t="s">
        <v>33</v>
      </c>
      <c r="G200" t="str">
        <f>_xlfn.XLOOKUP(C200,'Urban population'!C200:C399,'Urban population'!G200:G399)</f>
        <v>Rest of Southern Africa</v>
      </c>
      <c r="H200" t="s">
        <v>34</v>
      </c>
      <c r="I200">
        <f>[1]data!F201-'Urban population'!I200</f>
        <v>2.4552780240000001</v>
      </c>
      <c r="J200">
        <f>[1]data!G201-'Urban population'!J200</f>
        <v>2.8407251599999999</v>
      </c>
      <c r="K200">
        <f>[1]data!H201-'Urban population'!K200</f>
        <v>3.2752905280000002</v>
      </c>
      <c r="L200">
        <f>[1]data!I201-'Urban population'!L200</f>
        <v>3.7384695460000001</v>
      </c>
      <c r="M200">
        <f>[1]data!J201-'Urban population'!M200</f>
        <v>4.2329708120000005</v>
      </c>
      <c r="N200">
        <f>[1]data!K201-'Urban population'!N200</f>
        <v>4.8073216499999996</v>
      </c>
      <c r="O200">
        <f>[1]data!L201-'Urban population'!O200</f>
        <v>5.226203248</v>
      </c>
      <c r="P200">
        <f>[1]data!M201-'Urban population'!P200</f>
        <v>6.3739247100000007</v>
      </c>
      <c r="Q200">
        <f>[1]data!N201-'Urban population'!Q200</f>
        <v>7.0865092900000004</v>
      </c>
      <c r="R200">
        <f>[1]data!O201-'Urban population'!R200</f>
        <v>7.4457320130000006</v>
      </c>
      <c r="S200">
        <f>[1]data!P201-'Urban population'!S200</f>
        <v>7.8057836680000001</v>
      </c>
      <c r="T200">
        <f>[1]data!Q201-'Urban population'!T200</f>
        <v>8.0368859019999981</v>
      </c>
      <c r="U200">
        <f>[1]data!R201-'Urban population'!U200</f>
        <v>8.5190093440000005</v>
      </c>
      <c r="V200">
        <f>[1]data!S201-'Urban population'!V200</f>
        <v>9.4682506880000012</v>
      </c>
      <c r="W200">
        <f>[1]data!T201-'Urban population'!W200</f>
        <v>10.512538482</v>
      </c>
      <c r="X200">
        <f>[1]data!U201-'Urban population'!X200</f>
        <v>10.994673430599999</v>
      </c>
      <c r="Y200">
        <f>[1]data!V201-'Urban population'!Y200</f>
        <v>11.366325799529999</v>
      </c>
      <c r="Z200">
        <f>[1]data!W201-'Urban population'!Z200</f>
        <v>11.618577371519999</v>
      </c>
      <c r="AA200">
        <f>[1]data!X201-'Urban population'!AA200</f>
        <v>11.74341211834</v>
      </c>
      <c r="AB200">
        <f>[1]data!Y201-'Urban population'!AB200</f>
        <v>11.751767958770001</v>
      </c>
      <c r="AC200">
        <f>[1]data!Z201-'Urban population'!AC200</f>
        <v>11.63285062942</v>
      </c>
      <c r="AD200">
        <f>[1]data!AA201-'Urban population'!AD200</f>
        <v>11.398020519400001</v>
      </c>
      <c r="AE200">
        <f>[1]data!AB201-'Urban population'!AE200</f>
        <v>11.056666496280002</v>
      </c>
      <c r="AF200">
        <f>[1]data!AC201-'Urban population'!AF200</f>
        <v>10.646893721960001</v>
      </c>
      <c r="AG200">
        <f>[1]data!AD201-'Urban population'!AG200</f>
        <v>10.189668965959997</v>
      </c>
      <c r="AH200">
        <f>[1]data!AE201-'Urban population'!AH200</f>
        <v>9.7247559054000003</v>
      </c>
      <c r="AI200">
        <f>[1]data!AF201-'Urban population'!AI200</f>
        <v>9.2602643922599981</v>
      </c>
      <c r="AJ200">
        <f>[1]data!AG201-'Urban population'!AJ200</f>
        <v>8.7988410047999999</v>
      </c>
      <c r="AK200">
        <f>[1]data!AH201-'Urban population'!AK200</f>
        <v>8.3341703912999989</v>
      </c>
      <c r="AL200">
        <f>[1]data!AI201-'Urban population'!AL200</f>
        <v>7.8777600855600021</v>
      </c>
      <c r="AM200">
        <f>[1]data!AJ201-'Urban population'!AM200</f>
        <v>7.4349758024299994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E86C-A445-4992-8432-962494B0C254}">
  <dimension ref="A1:AD201"/>
  <sheetViews>
    <sheetView showGridLines="0" workbookViewId="0">
      <selection activeCell="B5" sqref="B5"/>
    </sheetView>
  </sheetViews>
  <sheetFormatPr defaultRowHeight="15" x14ac:dyDescent="0.25"/>
  <cols>
    <col min="4" max="4" width="18.140625" bestFit="1" customWidth="1"/>
    <col min="5" max="5" width="28.42578125" customWidth="1"/>
  </cols>
  <sheetData>
    <row r="1" spans="1:30" x14ac:dyDescent="0.25">
      <c r="A1" t="s">
        <v>0</v>
      </c>
      <c r="B1" t="s">
        <v>2</v>
      </c>
      <c r="C1" t="s">
        <v>3</v>
      </c>
      <c r="D1" t="s">
        <v>4</v>
      </c>
      <c r="E1" t="s">
        <v>235</v>
      </c>
      <c r="F1">
        <v>1980</v>
      </c>
      <c r="G1">
        <v>1985</v>
      </c>
      <c r="H1">
        <v>1990</v>
      </c>
      <c r="I1">
        <v>1995</v>
      </c>
      <c r="J1">
        <v>2000</v>
      </c>
      <c r="K1">
        <v>2005</v>
      </c>
      <c r="L1">
        <v>2010</v>
      </c>
      <c r="M1">
        <v>2015</v>
      </c>
      <c r="N1">
        <v>2020</v>
      </c>
      <c r="O1">
        <v>2025</v>
      </c>
      <c r="P1">
        <v>2030</v>
      </c>
      <c r="Q1">
        <v>2035</v>
      </c>
      <c r="R1">
        <v>2040</v>
      </c>
      <c r="S1">
        <v>2045</v>
      </c>
      <c r="T1">
        <v>2050</v>
      </c>
      <c r="U1">
        <v>2055</v>
      </c>
      <c r="V1">
        <v>2060</v>
      </c>
      <c r="W1">
        <v>2065</v>
      </c>
      <c r="X1">
        <v>2070</v>
      </c>
      <c r="Y1">
        <v>2075</v>
      </c>
      <c r="Z1">
        <v>2080</v>
      </c>
      <c r="AA1">
        <v>2085</v>
      </c>
      <c r="AB1">
        <v>2090</v>
      </c>
      <c r="AC1">
        <v>2095</v>
      </c>
      <c r="AD1">
        <v>2100</v>
      </c>
    </row>
    <row r="2" spans="1:30" x14ac:dyDescent="0.25">
      <c r="A2" t="s">
        <v>232</v>
      </c>
      <c r="B2" t="s">
        <v>32</v>
      </c>
      <c r="C2" t="s">
        <v>233</v>
      </c>
      <c r="D2" t="s">
        <v>234</v>
      </c>
      <c r="E2" t="str">
        <f>_xlfn.XLOOKUP(B2,'Rural population'!$C$2:$C$200,'Rural population'!$G$2:$G$200)</f>
        <v>Central America</v>
      </c>
      <c r="F2" t="s">
        <v>252</v>
      </c>
      <c r="G2" t="s">
        <v>252</v>
      </c>
      <c r="H2">
        <v>2.1167699999999998</v>
      </c>
      <c r="I2">
        <v>2.88042</v>
      </c>
      <c r="J2">
        <v>3.4746299999999999</v>
      </c>
      <c r="K2">
        <v>3.8749700000000002</v>
      </c>
      <c r="L2">
        <v>3.5345200000000001</v>
      </c>
      <c r="M2">
        <v>3.98373</v>
      </c>
      <c r="N2">
        <v>3.1160600000000001</v>
      </c>
      <c r="O2">
        <v>4.6023700000000005</v>
      </c>
      <c r="P2">
        <v>4.8872099999999996</v>
      </c>
      <c r="Q2">
        <v>5.2640399999999996</v>
      </c>
      <c r="R2">
        <v>5.6699799999999998</v>
      </c>
      <c r="S2">
        <v>6.1116200000000003</v>
      </c>
      <c r="T2">
        <v>6.6142099999999999</v>
      </c>
      <c r="U2">
        <v>7.1990100000000004</v>
      </c>
      <c r="V2">
        <v>7.8856099999999998</v>
      </c>
      <c r="W2">
        <v>8.651250000000001</v>
      </c>
      <c r="X2">
        <v>9.4570100000000004</v>
      </c>
      <c r="Y2">
        <v>10.299899999999999</v>
      </c>
      <c r="Z2">
        <v>11.1774</v>
      </c>
      <c r="AA2">
        <v>12.0869</v>
      </c>
      <c r="AB2">
        <v>13.0243</v>
      </c>
      <c r="AC2">
        <v>13.977499999999999</v>
      </c>
      <c r="AD2">
        <v>14.927099999999999</v>
      </c>
    </row>
    <row r="3" spans="1:30" x14ac:dyDescent="0.25">
      <c r="A3" t="s">
        <v>232</v>
      </c>
      <c r="B3" t="s">
        <v>35</v>
      </c>
      <c r="C3" t="s">
        <v>233</v>
      </c>
      <c r="D3" t="s">
        <v>234</v>
      </c>
      <c r="E3" t="str">
        <f>_xlfn.XLOOKUP(B3,'Rural population'!$C$2:$C$200,'Rural population'!$G$2:$G$200)</f>
        <v>Rest of Southern Africa</v>
      </c>
      <c r="F3" t="s">
        <v>252</v>
      </c>
      <c r="G3" t="s">
        <v>252</v>
      </c>
      <c r="H3">
        <v>68.524299999999997</v>
      </c>
      <c r="I3">
        <v>58.637700000000002</v>
      </c>
      <c r="J3">
        <v>77.118200000000002</v>
      </c>
      <c r="K3">
        <v>120.066</v>
      </c>
      <c r="L3">
        <v>179.52</v>
      </c>
      <c r="M3">
        <v>223.90799999999999</v>
      </c>
      <c r="N3">
        <v>201.39500000000001</v>
      </c>
      <c r="O3">
        <v>227.03700000000001</v>
      </c>
      <c r="P3">
        <v>272.642</v>
      </c>
      <c r="Q3">
        <v>333.20400000000001</v>
      </c>
      <c r="R3">
        <v>409.34699999999998</v>
      </c>
      <c r="S3">
        <v>509.50200000000001</v>
      </c>
      <c r="T3">
        <v>640.197</v>
      </c>
      <c r="U3">
        <v>807.41600000000005</v>
      </c>
      <c r="V3">
        <v>1016.67</v>
      </c>
      <c r="W3">
        <v>1273.2</v>
      </c>
      <c r="X3">
        <v>1579.21</v>
      </c>
      <c r="Y3">
        <v>1938.89</v>
      </c>
      <c r="Z3">
        <v>2352.48</v>
      </c>
      <c r="AA3">
        <v>2820.55</v>
      </c>
      <c r="AB3">
        <v>3344.4</v>
      </c>
      <c r="AC3">
        <v>3921.2</v>
      </c>
      <c r="AD3">
        <v>4546.47</v>
      </c>
    </row>
    <row r="4" spans="1:30" x14ac:dyDescent="0.25">
      <c r="A4" t="s">
        <v>232</v>
      </c>
      <c r="B4" t="s">
        <v>36</v>
      </c>
      <c r="C4" t="s">
        <v>233</v>
      </c>
      <c r="D4" t="s">
        <v>234</v>
      </c>
      <c r="E4" t="str">
        <f>_xlfn.XLOOKUP(B4,'Rural population'!$C$2:$C$200,'Rural population'!$G$2:$G$200)</f>
        <v>Central Europe</v>
      </c>
      <c r="F4">
        <v>14.8499</v>
      </c>
      <c r="G4">
        <v>16.405999999999999</v>
      </c>
      <c r="H4">
        <v>16.7455</v>
      </c>
      <c r="I4">
        <v>14.609500000000001</v>
      </c>
      <c r="J4">
        <v>18.654699999999998</v>
      </c>
      <c r="K4">
        <v>24.814399999999999</v>
      </c>
      <c r="L4">
        <v>32.091700000000003</v>
      </c>
      <c r="M4">
        <v>35.068899999999999</v>
      </c>
      <c r="N4">
        <v>38.618600000000001</v>
      </c>
      <c r="O4">
        <v>48.827100000000002</v>
      </c>
      <c r="P4">
        <v>57.907899999999998</v>
      </c>
      <c r="Q4">
        <v>66.504800000000003</v>
      </c>
      <c r="R4">
        <v>74.317300000000003</v>
      </c>
      <c r="S4">
        <v>81.192400000000006</v>
      </c>
      <c r="T4">
        <v>86.926299999999998</v>
      </c>
      <c r="U4">
        <v>91.855000000000004</v>
      </c>
      <c r="V4">
        <v>96.359499999999997</v>
      </c>
      <c r="W4">
        <v>101.01</v>
      </c>
      <c r="X4">
        <v>105.82299999999999</v>
      </c>
      <c r="Y4">
        <v>110.07899999999999</v>
      </c>
      <c r="Z4">
        <v>113.685</v>
      </c>
      <c r="AA4">
        <v>116.718</v>
      </c>
      <c r="AB4">
        <v>119.398</v>
      </c>
      <c r="AC4">
        <v>122.001</v>
      </c>
      <c r="AD4">
        <v>124.874</v>
      </c>
    </row>
    <row r="5" spans="1:30" x14ac:dyDescent="0.25">
      <c r="A5" t="s">
        <v>232</v>
      </c>
      <c r="B5" t="s">
        <v>37</v>
      </c>
      <c r="C5" t="s">
        <v>233</v>
      </c>
      <c r="D5" t="s">
        <v>234</v>
      </c>
      <c r="E5" t="str">
        <f>_xlfn.XLOOKUP(B5,'Rural population'!$C$2:$C$200,'Rural population'!$G$2:$G$200)</f>
        <v>Middle East</v>
      </c>
      <c r="F5">
        <v>169.91200000000001</v>
      </c>
      <c r="G5">
        <v>164.34200000000001</v>
      </c>
      <c r="H5">
        <v>194.55</v>
      </c>
      <c r="I5">
        <v>235.524</v>
      </c>
      <c r="J5">
        <v>317.06900000000002</v>
      </c>
      <c r="K5">
        <v>411.65</v>
      </c>
      <c r="L5">
        <v>480.29399999999998</v>
      </c>
      <c r="M5">
        <v>607.03399999999999</v>
      </c>
      <c r="N5">
        <v>628.45500000000004</v>
      </c>
      <c r="O5">
        <v>792.17399999999998</v>
      </c>
      <c r="P5">
        <v>981.529</v>
      </c>
      <c r="Q5">
        <v>1159.06</v>
      </c>
      <c r="R5">
        <v>1293.92</v>
      </c>
      <c r="S5">
        <v>1394.2</v>
      </c>
      <c r="T5">
        <v>1464.83</v>
      </c>
      <c r="U5">
        <v>1515.66</v>
      </c>
      <c r="V5">
        <v>1555.92</v>
      </c>
      <c r="W5">
        <v>1582.25</v>
      </c>
      <c r="X5">
        <v>1588.48</v>
      </c>
      <c r="Y5">
        <v>1574.13</v>
      </c>
      <c r="Z5">
        <v>1548.95</v>
      </c>
      <c r="AA5">
        <v>1519.08</v>
      </c>
      <c r="AB5">
        <v>1491.2</v>
      </c>
      <c r="AC5">
        <v>1470.26</v>
      </c>
      <c r="AD5">
        <v>1456.19</v>
      </c>
    </row>
    <row r="6" spans="1:30" x14ac:dyDescent="0.25">
      <c r="A6" t="s">
        <v>232</v>
      </c>
      <c r="B6" t="s">
        <v>38</v>
      </c>
      <c r="C6" t="s">
        <v>233</v>
      </c>
      <c r="D6" t="s">
        <v>234</v>
      </c>
      <c r="E6" t="str">
        <f>_xlfn.XLOOKUP(B6,'Rural population'!$C$2:$C$200,'Rural population'!$G$2:$G$200)</f>
        <v>Rest of South America</v>
      </c>
      <c r="F6">
        <v>513.07000000000005</v>
      </c>
      <c r="G6">
        <v>461.13</v>
      </c>
      <c r="H6">
        <v>461.3</v>
      </c>
      <c r="I6">
        <v>604.596</v>
      </c>
      <c r="J6">
        <v>576.77</v>
      </c>
      <c r="K6">
        <v>634.572</v>
      </c>
      <c r="L6">
        <v>805.77800000000002</v>
      </c>
      <c r="M6">
        <v>867.02099999999996</v>
      </c>
      <c r="N6">
        <v>750.58</v>
      </c>
      <c r="O6">
        <v>861.74099999999999</v>
      </c>
      <c r="P6">
        <v>975.36199999999997</v>
      </c>
      <c r="Q6">
        <v>1085.51</v>
      </c>
      <c r="R6">
        <v>1209.8699999999999</v>
      </c>
      <c r="S6">
        <v>1353.56</v>
      </c>
      <c r="T6">
        <v>1519.17</v>
      </c>
      <c r="U6">
        <v>1706.25</v>
      </c>
      <c r="V6">
        <v>1910.46</v>
      </c>
      <c r="W6">
        <v>2131.7600000000002</v>
      </c>
      <c r="X6">
        <v>2366.65</v>
      </c>
      <c r="Y6">
        <v>2610.15</v>
      </c>
      <c r="Z6">
        <v>2860.38</v>
      </c>
      <c r="AA6">
        <v>3117.32</v>
      </c>
      <c r="AB6">
        <v>3380.94</v>
      </c>
      <c r="AC6">
        <v>3649.56</v>
      </c>
      <c r="AD6">
        <v>3921</v>
      </c>
    </row>
    <row r="7" spans="1:30" x14ac:dyDescent="0.25">
      <c r="A7" t="s">
        <v>232</v>
      </c>
      <c r="B7" t="s">
        <v>39</v>
      </c>
      <c r="C7" t="s">
        <v>233</v>
      </c>
      <c r="D7" t="s">
        <v>234</v>
      </c>
      <c r="E7" t="str">
        <f>_xlfn.XLOOKUP(B7,'Rural population'!$C$2:$C$200,'Rural population'!$G$2:$G$200)</f>
        <v>Russia region</v>
      </c>
      <c r="F7" t="s">
        <v>252</v>
      </c>
      <c r="G7" t="s">
        <v>252</v>
      </c>
      <c r="H7">
        <v>18.3279</v>
      </c>
      <c r="I7">
        <v>9.6871299999999998</v>
      </c>
      <c r="J7">
        <v>12.224299999999999</v>
      </c>
      <c r="K7">
        <v>22.088799999999999</v>
      </c>
      <c r="L7">
        <v>26.688400000000001</v>
      </c>
      <c r="M7">
        <v>33.117800000000003</v>
      </c>
      <c r="N7">
        <v>37.516599999999997</v>
      </c>
      <c r="O7">
        <v>52.433799999999998</v>
      </c>
      <c r="P7">
        <v>65.488200000000006</v>
      </c>
      <c r="Q7">
        <v>78.806899999999999</v>
      </c>
      <c r="R7">
        <v>90.628699999999995</v>
      </c>
      <c r="S7">
        <v>100.616</v>
      </c>
      <c r="T7">
        <v>109.199</v>
      </c>
      <c r="U7">
        <v>117.236</v>
      </c>
      <c r="V7">
        <v>125.578</v>
      </c>
      <c r="W7">
        <v>134.631</v>
      </c>
      <c r="X7">
        <v>143.34399999999999</v>
      </c>
      <c r="Y7">
        <v>150.636</v>
      </c>
      <c r="Z7">
        <v>157.375</v>
      </c>
      <c r="AA7">
        <v>164.102</v>
      </c>
      <c r="AB7">
        <v>171.40899999999999</v>
      </c>
      <c r="AC7">
        <v>179.59100000000001</v>
      </c>
      <c r="AD7">
        <v>188.59800000000001</v>
      </c>
    </row>
    <row r="8" spans="1:30" x14ac:dyDescent="0.25">
      <c r="A8" t="s">
        <v>232</v>
      </c>
      <c r="B8" t="s">
        <v>40</v>
      </c>
      <c r="C8" t="s">
        <v>233</v>
      </c>
      <c r="D8" t="s">
        <v>234</v>
      </c>
      <c r="E8" t="e">
        <f>_xlfn.XLOOKUP(B8,'Rural population'!$C$2:$C$200,'Rural population'!$G$2:$G$200)</f>
        <v>#N/A</v>
      </c>
      <c r="F8">
        <v>0.54986000000000002</v>
      </c>
      <c r="G8">
        <v>0.71291099999999996</v>
      </c>
      <c r="H8">
        <v>0.96673699999999996</v>
      </c>
      <c r="I8">
        <v>1.0731200000000001</v>
      </c>
      <c r="J8">
        <v>1.39171</v>
      </c>
      <c r="K8">
        <v>1.6033300000000001</v>
      </c>
      <c r="L8">
        <v>1.6027499999999999</v>
      </c>
      <c r="M8">
        <v>1.7397800000000001</v>
      </c>
      <c r="N8">
        <v>1.7409400000000002</v>
      </c>
      <c r="O8">
        <v>2.3330000000000002</v>
      </c>
      <c r="P8">
        <v>2.6902600000000003</v>
      </c>
      <c r="Q8">
        <v>3.0939700000000001</v>
      </c>
      <c r="R8">
        <v>3.52088</v>
      </c>
      <c r="S8">
        <v>3.98645</v>
      </c>
      <c r="T8">
        <v>4.4974400000000001</v>
      </c>
      <c r="U8">
        <v>5.0632999999999999</v>
      </c>
      <c r="V8">
        <v>5.6971299999999996</v>
      </c>
      <c r="W8">
        <v>6.40428</v>
      </c>
      <c r="X8">
        <v>7.15754</v>
      </c>
      <c r="Y8">
        <v>7.9516299999999998</v>
      </c>
      <c r="Z8">
        <v>8.7724899999999995</v>
      </c>
      <c r="AA8">
        <v>9.6136099999999995</v>
      </c>
      <c r="AB8">
        <v>10.4688</v>
      </c>
      <c r="AC8">
        <v>11.3283</v>
      </c>
      <c r="AD8">
        <v>12.178000000000001</v>
      </c>
    </row>
    <row r="9" spans="1:30" x14ac:dyDescent="0.25">
      <c r="A9" t="s">
        <v>232</v>
      </c>
      <c r="B9" t="s">
        <v>41</v>
      </c>
      <c r="C9" t="s">
        <v>233</v>
      </c>
      <c r="D9" t="s">
        <v>234</v>
      </c>
      <c r="E9" t="str">
        <f>_xlfn.XLOOKUP(B9,'Rural population'!$C$2:$C$200,'Rural population'!$G$2:$G$200)</f>
        <v>Oceania</v>
      </c>
      <c r="F9">
        <v>390.08699999999999</v>
      </c>
      <c r="G9">
        <v>452.53100000000001</v>
      </c>
      <c r="H9">
        <v>536.00099999999998</v>
      </c>
      <c r="I9">
        <v>612.702</v>
      </c>
      <c r="J9">
        <v>718.50099999999998</v>
      </c>
      <c r="K9">
        <v>848.06600000000003</v>
      </c>
      <c r="L9">
        <v>972.93600000000004</v>
      </c>
      <c r="M9">
        <v>1111.68</v>
      </c>
      <c r="N9">
        <v>1202.79</v>
      </c>
      <c r="O9">
        <v>1383.38</v>
      </c>
      <c r="P9">
        <v>1575.89</v>
      </c>
      <c r="Q9">
        <v>1783.21</v>
      </c>
      <c r="R9">
        <v>2006.5</v>
      </c>
      <c r="S9">
        <v>2247.85</v>
      </c>
      <c r="T9">
        <v>2498.61</v>
      </c>
      <c r="U9">
        <v>2753.34</v>
      </c>
      <c r="V9">
        <v>3017.91</v>
      </c>
      <c r="W9">
        <v>3291.69</v>
      </c>
      <c r="X9">
        <v>3566.85</v>
      </c>
      <c r="Y9">
        <v>3837.88</v>
      </c>
      <c r="Z9">
        <v>4100.3900000000003</v>
      </c>
      <c r="AA9">
        <v>4350.8999999999996</v>
      </c>
      <c r="AB9">
        <v>4588.22</v>
      </c>
      <c r="AC9">
        <v>4812.71</v>
      </c>
      <c r="AD9">
        <v>5023.3999999999996</v>
      </c>
    </row>
    <row r="10" spans="1:30" x14ac:dyDescent="0.25">
      <c r="A10" t="s">
        <v>232</v>
      </c>
      <c r="B10" t="s">
        <v>42</v>
      </c>
      <c r="C10" t="s">
        <v>233</v>
      </c>
      <c r="D10" t="s">
        <v>234</v>
      </c>
      <c r="E10" t="str">
        <f>_xlfn.XLOOKUP(B10,'Rural population'!$C$2:$C$200,'Rural population'!$G$2:$G$200)</f>
        <v>Western Europe</v>
      </c>
      <c r="F10">
        <v>229.744</v>
      </c>
      <c r="G10">
        <v>247.13200000000001</v>
      </c>
      <c r="H10">
        <v>286.93599999999998</v>
      </c>
      <c r="I10">
        <v>320.26100000000002</v>
      </c>
      <c r="J10">
        <v>350.226</v>
      </c>
      <c r="K10">
        <v>382.17599999999999</v>
      </c>
      <c r="L10">
        <v>407.96100000000001</v>
      </c>
      <c r="M10">
        <v>431.00200000000001</v>
      </c>
      <c r="N10">
        <v>435.834</v>
      </c>
      <c r="O10">
        <v>485.03800000000001</v>
      </c>
      <c r="P10">
        <v>533.55100000000004</v>
      </c>
      <c r="Q10">
        <v>569.96</v>
      </c>
      <c r="R10">
        <v>606.28499999999997</v>
      </c>
      <c r="S10">
        <v>642.798</v>
      </c>
      <c r="T10">
        <v>677.71500000000003</v>
      </c>
      <c r="U10">
        <v>711.71299999999997</v>
      </c>
      <c r="V10">
        <v>746.36900000000003</v>
      </c>
      <c r="W10">
        <v>782.08</v>
      </c>
      <c r="X10">
        <v>817.55700000000002</v>
      </c>
      <c r="Y10">
        <v>851.72</v>
      </c>
      <c r="Z10">
        <v>882.66899999999998</v>
      </c>
      <c r="AA10">
        <v>909.49800000000005</v>
      </c>
      <c r="AB10">
        <v>932.36199999999997</v>
      </c>
      <c r="AC10">
        <v>951.92100000000005</v>
      </c>
      <c r="AD10">
        <v>968.42100000000005</v>
      </c>
    </row>
    <row r="11" spans="1:30" x14ac:dyDescent="0.25">
      <c r="A11" t="s">
        <v>232</v>
      </c>
      <c r="B11" t="s">
        <v>43</v>
      </c>
      <c r="C11" t="s">
        <v>233</v>
      </c>
      <c r="D11" t="s">
        <v>234</v>
      </c>
      <c r="E11" t="str">
        <f>_xlfn.XLOOKUP(B11,'Rural population'!$C$2:$C$200,'Rural population'!$G$2:$G$200)</f>
        <v>Russia region</v>
      </c>
      <c r="F11" t="s">
        <v>252</v>
      </c>
      <c r="G11" t="s">
        <v>252</v>
      </c>
      <c r="H11">
        <v>54.652900000000002</v>
      </c>
      <c r="I11">
        <v>24.019500000000001</v>
      </c>
      <c r="J11">
        <v>33.637799999999999</v>
      </c>
      <c r="K11">
        <v>59.658099999999997</v>
      </c>
      <c r="L11">
        <v>127.42400000000001</v>
      </c>
      <c r="M11">
        <v>143.33099999999999</v>
      </c>
      <c r="N11">
        <v>138.624</v>
      </c>
      <c r="O11">
        <v>164.983</v>
      </c>
      <c r="P11">
        <v>186.416</v>
      </c>
      <c r="Q11">
        <v>206.376</v>
      </c>
      <c r="R11">
        <v>226.48699999999999</v>
      </c>
      <c r="S11">
        <v>249.31700000000001</v>
      </c>
      <c r="T11">
        <v>276.13099999999997</v>
      </c>
      <c r="U11">
        <v>306.15300000000002</v>
      </c>
      <c r="V11">
        <v>339.55</v>
      </c>
      <c r="W11">
        <v>375.87400000000002</v>
      </c>
      <c r="X11">
        <v>414.27499999999998</v>
      </c>
      <c r="Y11">
        <v>454.30399999999997</v>
      </c>
      <c r="Z11">
        <v>495.98599999999999</v>
      </c>
      <c r="AA11">
        <v>540.02599999999995</v>
      </c>
      <c r="AB11">
        <v>586.60900000000004</v>
      </c>
      <c r="AC11">
        <v>635.01499999999999</v>
      </c>
      <c r="AD11">
        <v>684.39300000000003</v>
      </c>
    </row>
    <row r="12" spans="1:30" x14ac:dyDescent="0.25">
      <c r="A12" t="s">
        <v>232</v>
      </c>
      <c r="B12" t="s">
        <v>44</v>
      </c>
      <c r="C12" t="s">
        <v>233</v>
      </c>
      <c r="D12" t="s">
        <v>234</v>
      </c>
      <c r="E12" t="str">
        <f>_xlfn.XLOOKUP(B12,'Rural population'!$C$2:$C$200,'Rural population'!$G$2:$G$200)</f>
        <v>Eastern Africa</v>
      </c>
      <c r="F12">
        <v>3.7272099999999999</v>
      </c>
      <c r="G12">
        <v>4.80321</v>
      </c>
      <c r="H12">
        <v>5.7622200000000001</v>
      </c>
      <c r="I12">
        <v>5.1120700000000001</v>
      </c>
      <c r="J12">
        <v>5.0936199999999996</v>
      </c>
      <c r="K12">
        <v>5.8819800000000004</v>
      </c>
      <c r="L12">
        <v>7.3406000000000002</v>
      </c>
      <c r="M12">
        <v>8.3836200000000005</v>
      </c>
      <c r="N12">
        <v>8.6956699999999998</v>
      </c>
      <c r="O12">
        <v>10.591100000000001</v>
      </c>
      <c r="P12">
        <v>13.9948</v>
      </c>
      <c r="Q12">
        <v>18.577500000000001</v>
      </c>
      <c r="R12">
        <v>24.524899999999999</v>
      </c>
      <c r="S12">
        <v>32.352400000000003</v>
      </c>
      <c r="T12">
        <v>42.678600000000003</v>
      </c>
      <c r="U12">
        <v>56.270099999999999</v>
      </c>
      <c r="V12">
        <v>73.984399999999994</v>
      </c>
      <c r="W12">
        <v>96.618899999999996</v>
      </c>
      <c r="X12">
        <v>124.67</v>
      </c>
      <c r="Y12">
        <v>159.041</v>
      </c>
      <c r="Z12">
        <v>200.41399999999999</v>
      </c>
      <c r="AA12">
        <v>249.35300000000001</v>
      </c>
      <c r="AB12">
        <v>306.541</v>
      </c>
      <c r="AC12">
        <v>372.61500000000001</v>
      </c>
      <c r="AD12">
        <v>448.19299999999998</v>
      </c>
    </row>
    <row r="13" spans="1:30" x14ac:dyDescent="0.25">
      <c r="A13" t="s">
        <v>232</v>
      </c>
      <c r="B13" t="s">
        <v>45</v>
      </c>
      <c r="C13" t="s">
        <v>233</v>
      </c>
      <c r="D13" t="s">
        <v>234</v>
      </c>
      <c r="E13" t="str">
        <f>_xlfn.XLOOKUP(B13,'Rural population'!$C$2:$C$200,'Rural population'!$G$2:$G$200)</f>
        <v>Western Europe</v>
      </c>
      <c r="F13">
        <v>290.04500000000002</v>
      </c>
      <c r="G13">
        <v>304.00099999999998</v>
      </c>
      <c r="H13">
        <v>353.911</v>
      </c>
      <c r="I13">
        <v>383.01100000000002</v>
      </c>
      <c r="J13">
        <v>412.03399999999999</v>
      </c>
      <c r="K13">
        <v>453.63799999999998</v>
      </c>
      <c r="L13">
        <v>488.27100000000002</v>
      </c>
      <c r="M13">
        <v>520.86599999999999</v>
      </c>
      <c r="N13">
        <v>528.495</v>
      </c>
      <c r="O13">
        <v>605.90200000000004</v>
      </c>
      <c r="P13">
        <v>656.91899999999998</v>
      </c>
      <c r="Q13">
        <v>701.55899999999997</v>
      </c>
      <c r="R13">
        <v>742.577</v>
      </c>
      <c r="S13">
        <v>781.22299999999996</v>
      </c>
      <c r="T13">
        <v>819.23299999999995</v>
      </c>
      <c r="U13">
        <v>858.05100000000004</v>
      </c>
      <c r="V13">
        <v>900.14800000000002</v>
      </c>
      <c r="W13">
        <v>944.95899999999995</v>
      </c>
      <c r="X13">
        <v>989.05200000000002</v>
      </c>
      <c r="Y13">
        <v>1031.3900000000001</v>
      </c>
      <c r="Z13">
        <v>1071.26</v>
      </c>
      <c r="AA13">
        <v>1108.49</v>
      </c>
      <c r="AB13">
        <v>1143.19</v>
      </c>
      <c r="AC13">
        <v>1175.31</v>
      </c>
      <c r="AD13">
        <v>1203.99</v>
      </c>
    </row>
    <row r="14" spans="1:30" x14ac:dyDescent="0.25">
      <c r="A14" t="s">
        <v>232</v>
      </c>
      <c r="B14" t="s">
        <v>46</v>
      </c>
      <c r="C14" t="s">
        <v>233</v>
      </c>
      <c r="D14" t="s">
        <v>234</v>
      </c>
      <c r="E14" t="str">
        <f>_xlfn.XLOOKUP(B14,'Rural population'!$C$2:$C$200,'Rural population'!$G$2:$G$200)</f>
        <v>Western Africa</v>
      </c>
      <c r="F14">
        <v>9.3258399999999995</v>
      </c>
      <c r="G14">
        <v>9.9217300000000002</v>
      </c>
      <c r="H14">
        <v>10.9313</v>
      </c>
      <c r="I14">
        <v>13.4313</v>
      </c>
      <c r="J14">
        <v>17.0153</v>
      </c>
      <c r="K14">
        <v>20.607199999999999</v>
      </c>
      <c r="L14">
        <v>24.8812</v>
      </c>
      <c r="M14">
        <v>31.156400000000001</v>
      </c>
      <c r="N14">
        <v>40.286999999999999</v>
      </c>
      <c r="O14">
        <v>54.511200000000002</v>
      </c>
      <c r="P14">
        <v>73.843100000000007</v>
      </c>
      <c r="Q14">
        <v>100.965</v>
      </c>
      <c r="R14">
        <v>133.685</v>
      </c>
      <c r="S14">
        <v>173.64699999999999</v>
      </c>
      <c r="T14">
        <v>222.73500000000001</v>
      </c>
      <c r="U14">
        <v>283.05</v>
      </c>
      <c r="V14">
        <v>356.77</v>
      </c>
      <c r="W14">
        <v>446.01499999999999</v>
      </c>
      <c r="X14">
        <v>552.02300000000002</v>
      </c>
      <c r="Y14">
        <v>676.08399999999995</v>
      </c>
      <c r="Z14">
        <v>819.005</v>
      </c>
      <c r="AA14">
        <v>981.18299999999999</v>
      </c>
      <c r="AB14">
        <v>1164</v>
      </c>
      <c r="AC14">
        <v>1367.02</v>
      </c>
      <c r="AD14">
        <v>1590.11</v>
      </c>
    </row>
    <row r="15" spans="1:30" x14ac:dyDescent="0.25">
      <c r="A15" t="s">
        <v>232</v>
      </c>
      <c r="B15" t="s">
        <v>47</v>
      </c>
      <c r="C15" t="s">
        <v>233</v>
      </c>
      <c r="D15" t="s">
        <v>234</v>
      </c>
      <c r="E15" t="str">
        <f>_xlfn.XLOOKUP(B15,'Rural population'!$C$2:$C$200,'Rural population'!$G$2:$G$200)</f>
        <v>Western Africa</v>
      </c>
      <c r="F15">
        <v>6.7019900000000003</v>
      </c>
      <c r="G15">
        <v>7.7945500000000001</v>
      </c>
      <c r="H15">
        <v>9.0175400000000003</v>
      </c>
      <c r="I15">
        <v>10.9244</v>
      </c>
      <c r="J15">
        <v>15.1311</v>
      </c>
      <c r="K15">
        <v>20.602499999999999</v>
      </c>
      <c r="L15">
        <v>26.9238</v>
      </c>
      <c r="M15">
        <v>35.050800000000002</v>
      </c>
      <c r="N15">
        <v>45.297899999999998</v>
      </c>
      <c r="O15">
        <v>57.857799999999997</v>
      </c>
      <c r="P15">
        <v>77.140799999999999</v>
      </c>
      <c r="Q15">
        <v>106.90900000000001</v>
      </c>
      <c r="R15">
        <v>143.845</v>
      </c>
      <c r="S15">
        <v>190.995</v>
      </c>
      <c r="T15">
        <v>251.101</v>
      </c>
      <c r="U15">
        <v>327.29599999999999</v>
      </c>
      <c r="V15">
        <v>422.529</v>
      </c>
      <c r="W15">
        <v>539.80100000000004</v>
      </c>
      <c r="X15">
        <v>679.50199999999995</v>
      </c>
      <c r="Y15">
        <v>844.51599999999996</v>
      </c>
      <c r="Z15">
        <v>1035.71</v>
      </c>
      <c r="AA15">
        <v>1254.6500000000001</v>
      </c>
      <c r="AB15">
        <v>1503.59</v>
      </c>
      <c r="AC15">
        <v>1784.26</v>
      </c>
      <c r="AD15">
        <v>2096.8200000000002</v>
      </c>
    </row>
    <row r="16" spans="1:30" x14ac:dyDescent="0.25">
      <c r="A16" t="s">
        <v>232</v>
      </c>
      <c r="B16" t="s">
        <v>48</v>
      </c>
      <c r="C16" t="s">
        <v>233</v>
      </c>
      <c r="D16" t="s">
        <v>234</v>
      </c>
      <c r="E16" t="str">
        <f>_xlfn.XLOOKUP(B16,'Rural population'!$C$2:$C$200,'Rural population'!$G$2:$G$200)</f>
        <v>Rest of South Asia</v>
      </c>
      <c r="F16">
        <v>138.12700000000001</v>
      </c>
      <c r="G16">
        <v>165.767</v>
      </c>
      <c r="H16">
        <v>199.07900000000001</v>
      </c>
      <c r="I16">
        <v>246.79300000000001</v>
      </c>
      <c r="J16">
        <v>312.73399999999998</v>
      </c>
      <c r="K16">
        <v>400.68799999999999</v>
      </c>
      <c r="L16">
        <v>537.97699999999998</v>
      </c>
      <c r="M16">
        <v>730.94799999999998</v>
      </c>
      <c r="N16">
        <v>999.53499999999997</v>
      </c>
      <c r="O16">
        <v>1371.5</v>
      </c>
      <c r="P16">
        <v>1926.22</v>
      </c>
      <c r="Q16">
        <v>2563.84</v>
      </c>
      <c r="R16">
        <v>3221.98</v>
      </c>
      <c r="S16">
        <v>3914.5</v>
      </c>
      <c r="T16">
        <v>4644.59</v>
      </c>
      <c r="U16">
        <v>5410.44</v>
      </c>
      <c r="V16">
        <v>6213.61</v>
      </c>
      <c r="W16">
        <v>7059.08</v>
      </c>
      <c r="X16">
        <v>7906.18</v>
      </c>
      <c r="Y16">
        <v>8752.1200000000008</v>
      </c>
      <c r="Z16">
        <v>9561.75</v>
      </c>
      <c r="AA16">
        <v>10320</v>
      </c>
      <c r="AB16">
        <v>11037.7</v>
      </c>
      <c r="AC16">
        <v>11728.3</v>
      </c>
      <c r="AD16">
        <v>12400.8</v>
      </c>
    </row>
    <row r="17" spans="1:30" x14ac:dyDescent="0.25">
      <c r="A17" t="s">
        <v>232</v>
      </c>
      <c r="B17" t="s">
        <v>49</v>
      </c>
      <c r="C17" t="s">
        <v>233</v>
      </c>
      <c r="D17" t="s">
        <v>234</v>
      </c>
      <c r="E17" t="str">
        <f>_xlfn.XLOOKUP(B17,'Rural population'!$C$2:$C$200,'Rural population'!$G$2:$G$200)</f>
        <v>Central Europe</v>
      </c>
      <c r="F17">
        <v>113.902</v>
      </c>
      <c r="G17">
        <v>137.072</v>
      </c>
      <c r="H17">
        <v>139.96199999999999</v>
      </c>
      <c r="I17">
        <v>95.8215</v>
      </c>
      <c r="J17">
        <v>86.091800000000006</v>
      </c>
      <c r="K17">
        <v>113.557</v>
      </c>
      <c r="L17">
        <v>134.732</v>
      </c>
      <c r="M17">
        <v>143.928</v>
      </c>
      <c r="N17">
        <v>156.364</v>
      </c>
      <c r="O17">
        <v>187.916</v>
      </c>
      <c r="P17">
        <v>215.471</v>
      </c>
      <c r="Q17">
        <v>239.57599999999999</v>
      </c>
      <c r="R17">
        <v>259.65899999999999</v>
      </c>
      <c r="S17">
        <v>277.07400000000001</v>
      </c>
      <c r="T17">
        <v>293.214</v>
      </c>
      <c r="U17">
        <v>309.14699999999999</v>
      </c>
      <c r="V17">
        <v>324.62299999999999</v>
      </c>
      <c r="W17">
        <v>339.38799999999998</v>
      </c>
      <c r="X17">
        <v>353.05500000000001</v>
      </c>
      <c r="Y17">
        <v>366.03500000000003</v>
      </c>
      <c r="Z17">
        <v>379.17200000000003</v>
      </c>
      <c r="AA17">
        <v>393.10199999999998</v>
      </c>
      <c r="AB17">
        <v>408.45800000000003</v>
      </c>
      <c r="AC17">
        <v>425.30700000000002</v>
      </c>
      <c r="AD17">
        <v>443.00400000000002</v>
      </c>
    </row>
    <row r="18" spans="1:30" x14ac:dyDescent="0.25">
      <c r="A18" t="s">
        <v>232</v>
      </c>
      <c r="B18" t="s">
        <v>50</v>
      </c>
      <c r="C18" t="s">
        <v>233</v>
      </c>
      <c r="D18" t="s">
        <v>234</v>
      </c>
      <c r="E18" t="str">
        <f>_xlfn.XLOOKUP(B18,'Rural population'!$C$2:$C$200,'Rural population'!$G$2:$G$200)</f>
        <v>Middle East</v>
      </c>
      <c r="F18">
        <v>15.8672</v>
      </c>
      <c r="G18">
        <v>19.164200000000001</v>
      </c>
      <c r="H18">
        <v>21.0703</v>
      </c>
      <c r="I18">
        <v>26.130400000000002</v>
      </c>
      <c r="J18">
        <v>32.833300000000001</v>
      </c>
      <c r="K18">
        <v>42.226599999999998</v>
      </c>
      <c r="L18">
        <v>55.340400000000002</v>
      </c>
      <c r="M18">
        <v>65.998699999999999</v>
      </c>
      <c r="N18">
        <v>70.909899999999993</v>
      </c>
      <c r="O18">
        <v>83.789100000000005</v>
      </c>
      <c r="P18">
        <v>96.292900000000003</v>
      </c>
      <c r="Q18">
        <v>110.227</v>
      </c>
      <c r="R18">
        <v>122.846</v>
      </c>
      <c r="S18">
        <v>134.55600000000001</v>
      </c>
      <c r="T18">
        <v>145.81299999999999</v>
      </c>
      <c r="U18">
        <v>157.55699999999999</v>
      </c>
      <c r="V18">
        <v>169.917</v>
      </c>
      <c r="W18">
        <v>182.39</v>
      </c>
      <c r="X18">
        <v>193.15899999999999</v>
      </c>
      <c r="Y18">
        <v>202.477</v>
      </c>
      <c r="Z18">
        <v>210.59</v>
      </c>
      <c r="AA18">
        <v>218.00399999999999</v>
      </c>
      <c r="AB18">
        <v>225.34899999999999</v>
      </c>
      <c r="AC18">
        <v>232.83199999999999</v>
      </c>
      <c r="AD18">
        <v>240.03</v>
      </c>
    </row>
    <row r="19" spans="1:30" x14ac:dyDescent="0.25">
      <c r="A19" t="s">
        <v>232</v>
      </c>
      <c r="B19" t="s">
        <v>51</v>
      </c>
      <c r="C19" t="s">
        <v>233</v>
      </c>
      <c r="D19" t="s">
        <v>234</v>
      </c>
      <c r="E19" t="e">
        <f>_xlfn.XLOOKUP(B19,'Rural population'!$C$2:$C$200,'Rural population'!$G$2:$G$200)</f>
        <v>#N/A</v>
      </c>
      <c r="F19">
        <v>7.1193</v>
      </c>
      <c r="G19">
        <v>8.3664699999999996</v>
      </c>
      <c r="H19">
        <v>9.4091000000000005</v>
      </c>
      <c r="I19">
        <v>9.3637700000000006</v>
      </c>
      <c r="J19">
        <v>11.9687</v>
      </c>
      <c r="K19">
        <v>12.9925</v>
      </c>
      <c r="L19">
        <v>12.841100000000001</v>
      </c>
      <c r="M19">
        <v>13.3607</v>
      </c>
      <c r="N19">
        <v>10.622</v>
      </c>
      <c r="O19">
        <v>15.338699999999999</v>
      </c>
      <c r="P19">
        <v>16.604299999999999</v>
      </c>
      <c r="Q19">
        <v>17.9648</v>
      </c>
      <c r="R19">
        <v>19.311399999999999</v>
      </c>
      <c r="S19">
        <v>20.711500000000001</v>
      </c>
      <c r="T19">
        <v>22.206900000000001</v>
      </c>
      <c r="U19">
        <v>23.8005</v>
      </c>
      <c r="V19">
        <v>25.499099999999999</v>
      </c>
      <c r="W19">
        <v>27.2942</v>
      </c>
      <c r="X19">
        <v>29.170100000000001</v>
      </c>
      <c r="Y19">
        <v>31.100999999999999</v>
      </c>
      <c r="Z19">
        <v>33.066800000000001</v>
      </c>
      <c r="AA19">
        <v>35.053199999999997</v>
      </c>
      <c r="AB19">
        <v>37.027299999999997</v>
      </c>
      <c r="AC19">
        <v>38.9863</v>
      </c>
      <c r="AD19">
        <v>40.937199999999997</v>
      </c>
    </row>
    <row r="20" spans="1:30" x14ac:dyDescent="0.25">
      <c r="A20" t="s">
        <v>232</v>
      </c>
      <c r="B20" t="s">
        <v>52</v>
      </c>
      <c r="C20" t="s">
        <v>233</v>
      </c>
      <c r="D20" t="s">
        <v>234</v>
      </c>
      <c r="E20" t="str">
        <f>_xlfn.XLOOKUP(B20,'Rural population'!$C$2:$C$200,'Rural population'!$G$2:$G$200)</f>
        <v>Central Europe</v>
      </c>
      <c r="F20" t="s">
        <v>252</v>
      </c>
      <c r="G20" t="s">
        <v>252</v>
      </c>
      <c r="H20" t="s">
        <v>252</v>
      </c>
      <c r="I20">
        <v>10.6305</v>
      </c>
      <c r="J20">
        <v>27.883199999999999</v>
      </c>
      <c r="K20">
        <v>34.491</v>
      </c>
      <c r="L20">
        <v>40.772500000000001</v>
      </c>
      <c r="M20">
        <v>44.116799999999998</v>
      </c>
      <c r="N20">
        <v>48.719299999999997</v>
      </c>
      <c r="O20">
        <v>58.941400000000002</v>
      </c>
      <c r="P20">
        <v>68.472800000000007</v>
      </c>
      <c r="Q20">
        <v>76.573300000000003</v>
      </c>
      <c r="R20">
        <v>81.926599999999993</v>
      </c>
      <c r="S20">
        <v>85.311499999999995</v>
      </c>
      <c r="T20">
        <v>87.408799999999999</v>
      </c>
      <c r="U20">
        <v>88.776700000000005</v>
      </c>
      <c r="V20">
        <v>89.861500000000007</v>
      </c>
      <c r="W20">
        <v>90.912499999999994</v>
      </c>
      <c r="X20">
        <v>91.549099999999996</v>
      </c>
      <c r="Y20">
        <v>92.037499999999994</v>
      </c>
      <c r="Z20">
        <v>92.391099999999994</v>
      </c>
      <c r="AA20">
        <v>92.765600000000006</v>
      </c>
      <c r="AB20">
        <v>93.325199999999995</v>
      </c>
      <c r="AC20">
        <v>94.139399999999995</v>
      </c>
      <c r="AD20">
        <v>95.182000000000002</v>
      </c>
    </row>
    <row r="21" spans="1:30" x14ac:dyDescent="0.25">
      <c r="A21" t="s">
        <v>232</v>
      </c>
      <c r="B21" t="s">
        <v>53</v>
      </c>
      <c r="C21" t="s">
        <v>233</v>
      </c>
      <c r="D21" t="s">
        <v>234</v>
      </c>
      <c r="E21" t="str">
        <f>_xlfn.XLOOKUP(B21,'Rural population'!$C$2:$C$200,'Rural population'!$G$2:$G$200)</f>
        <v>Ukraine region</v>
      </c>
      <c r="F21" t="s">
        <v>252</v>
      </c>
      <c r="G21" t="s">
        <v>252</v>
      </c>
      <c r="H21">
        <v>90.635999999999996</v>
      </c>
      <c r="I21">
        <v>59.2958</v>
      </c>
      <c r="J21">
        <v>80.496300000000005</v>
      </c>
      <c r="K21">
        <v>115.601</v>
      </c>
      <c r="L21">
        <v>164.44499999999999</v>
      </c>
      <c r="M21">
        <v>173.73400000000001</v>
      </c>
      <c r="N21">
        <v>180.446</v>
      </c>
      <c r="O21">
        <v>184.17699999999999</v>
      </c>
      <c r="P21">
        <v>191.541</v>
      </c>
      <c r="Q21">
        <v>201.7</v>
      </c>
      <c r="R21">
        <v>212.97</v>
      </c>
      <c r="S21">
        <v>225.32900000000001</v>
      </c>
      <c r="T21">
        <v>239.03700000000001</v>
      </c>
      <c r="U21">
        <v>255.41200000000001</v>
      </c>
      <c r="V21">
        <v>275.04700000000003</v>
      </c>
      <c r="W21">
        <v>297.70699999999999</v>
      </c>
      <c r="X21">
        <v>321.94400000000002</v>
      </c>
      <c r="Y21">
        <v>347.11799999999999</v>
      </c>
      <c r="Z21">
        <v>373.452</v>
      </c>
      <c r="AA21">
        <v>401.60700000000003</v>
      </c>
      <c r="AB21">
        <v>432.23599999999999</v>
      </c>
      <c r="AC21">
        <v>465.137</v>
      </c>
      <c r="AD21">
        <v>499.25700000000001</v>
      </c>
    </row>
    <row r="22" spans="1:30" x14ac:dyDescent="0.25">
      <c r="A22" t="s">
        <v>232</v>
      </c>
      <c r="B22" t="s">
        <v>54</v>
      </c>
      <c r="C22" t="s">
        <v>233</v>
      </c>
      <c r="D22" t="s">
        <v>234</v>
      </c>
      <c r="E22" t="str">
        <f>_xlfn.XLOOKUP(B22,'Rural population'!$C$2:$C$200,'Rural population'!$G$2:$G$200)</f>
        <v>Central America</v>
      </c>
      <c r="F22">
        <v>0.5809200000000001</v>
      </c>
      <c r="G22">
        <v>0.62678199999999995</v>
      </c>
      <c r="H22">
        <v>1.1671899999999999</v>
      </c>
      <c r="I22">
        <v>1.5615999999999999</v>
      </c>
      <c r="J22">
        <v>2.0920700000000001</v>
      </c>
      <c r="K22">
        <v>2.7050999999999998</v>
      </c>
      <c r="L22">
        <v>2.8954300000000002</v>
      </c>
      <c r="M22">
        <v>3.3785099999999999</v>
      </c>
      <c r="N22">
        <v>3.0421800000000001</v>
      </c>
      <c r="O22">
        <v>4.34084</v>
      </c>
      <c r="P22">
        <v>4.9708199999999998</v>
      </c>
      <c r="Q22">
        <v>5.9187399999999997</v>
      </c>
      <c r="R22">
        <v>7.1412100000000001</v>
      </c>
      <c r="S22">
        <v>8.6572700000000005</v>
      </c>
      <c r="T22">
        <v>10.491</v>
      </c>
      <c r="U22">
        <v>12.663600000000001</v>
      </c>
      <c r="V22">
        <v>15.2166</v>
      </c>
      <c r="W22">
        <v>18.1721</v>
      </c>
      <c r="X22">
        <v>21.4741</v>
      </c>
      <c r="Y22">
        <v>25.090900000000001</v>
      </c>
      <c r="Z22">
        <v>28.952200000000001</v>
      </c>
      <c r="AA22">
        <v>33.017499999999998</v>
      </c>
      <c r="AB22">
        <v>37.256300000000003</v>
      </c>
      <c r="AC22">
        <v>41.655999999999999</v>
      </c>
      <c r="AD22">
        <v>46.197000000000003</v>
      </c>
    </row>
    <row r="23" spans="1:30" x14ac:dyDescent="0.25">
      <c r="A23" t="s">
        <v>232</v>
      </c>
      <c r="B23" t="s">
        <v>55</v>
      </c>
      <c r="C23" t="s">
        <v>233</v>
      </c>
      <c r="D23" t="s">
        <v>234</v>
      </c>
      <c r="E23" t="str">
        <f>_xlfn.XLOOKUP(B23,'Rural population'!$C$2:$C$200,'Rural population'!$G$2:$G$200)</f>
        <v>Rest of South America</v>
      </c>
      <c r="F23">
        <v>31.1143</v>
      </c>
      <c r="G23">
        <v>28.226800000000001</v>
      </c>
      <c r="H23">
        <v>31.491499999999998</v>
      </c>
      <c r="I23">
        <v>38.494199999999999</v>
      </c>
      <c r="J23">
        <v>45.5886</v>
      </c>
      <c r="K23">
        <v>53.0807</v>
      </c>
      <c r="L23">
        <v>66.449799999999996</v>
      </c>
      <c r="M23">
        <v>86.788899999999998</v>
      </c>
      <c r="N23">
        <v>91.668700000000001</v>
      </c>
      <c r="O23">
        <v>106.494</v>
      </c>
      <c r="P23">
        <v>119.46299999999999</v>
      </c>
      <c r="Q23">
        <v>138.011</v>
      </c>
      <c r="R23">
        <v>164.44</v>
      </c>
      <c r="S23">
        <v>198.79499999999999</v>
      </c>
      <c r="T23">
        <v>241.42699999999999</v>
      </c>
      <c r="U23">
        <v>292.42200000000003</v>
      </c>
      <c r="V23">
        <v>351.85300000000001</v>
      </c>
      <c r="W23">
        <v>419.70699999999999</v>
      </c>
      <c r="X23">
        <v>494.83</v>
      </c>
      <c r="Y23">
        <v>576.86500000000001</v>
      </c>
      <c r="Z23">
        <v>665.50699999999995</v>
      </c>
      <c r="AA23">
        <v>760.71699999999998</v>
      </c>
      <c r="AB23">
        <v>862.09799999999996</v>
      </c>
      <c r="AC23">
        <v>968.71100000000001</v>
      </c>
      <c r="AD23">
        <v>1079.98</v>
      </c>
    </row>
    <row r="24" spans="1:30" x14ac:dyDescent="0.25">
      <c r="A24" t="s">
        <v>232</v>
      </c>
      <c r="B24" t="s">
        <v>56</v>
      </c>
      <c r="C24" t="s">
        <v>233</v>
      </c>
      <c r="D24" t="s">
        <v>234</v>
      </c>
      <c r="E24" t="str">
        <f>_xlfn.XLOOKUP(B24,'Rural population'!$C$2:$C$200,'Rural population'!$G$2:$G$200)</f>
        <v>Brazil</v>
      </c>
      <c r="F24">
        <v>1334.93</v>
      </c>
      <c r="G24">
        <v>1422.04</v>
      </c>
      <c r="H24">
        <v>1561.05</v>
      </c>
      <c r="I24">
        <v>1815.94</v>
      </c>
      <c r="J24">
        <v>1983.47</v>
      </c>
      <c r="K24">
        <v>2292.42</v>
      </c>
      <c r="L24">
        <v>2849.54</v>
      </c>
      <c r="M24">
        <v>3016.14</v>
      </c>
      <c r="N24">
        <v>2935.82</v>
      </c>
      <c r="O24">
        <v>3409.83</v>
      </c>
      <c r="P24">
        <v>3706.49</v>
      </c>
      <c r="Q24">
        <v>4214.96</v>
      </c>
      <c r="R24">
        <v>4880.88</v>
      </c>
      <c r="S24">
        <v>5692.08</v>
      </c>
      <c r="T24">
        <v>6623.24</v>
      </c>
      <c r="U24">
        <v>7653.93</v>
      </c>
      <c r="V24">
        <v>8756.61</v>
      </c>
      <c r="W24">
        <v>9929.7999999999993</v>
      </c>
      <c r="X24">
        <v>11133.5</v>
      </c>
      <c r="Y24">
        <v>12361.4</v>
      </c>
      <c r="Z24">
        <v>13581.4</v>
      </c>
      <c r="AA24">
        <v>14793.8</v>
      </c>
      <c r="AB24">
        <v>15997</v>
      </c>
      <c r="AC24">
        <v>17190.900000000001</v>
      </c>
      <c r="AD24">
        <v>18375.099999999999</v>
      </c>
    </row>
    <row r="25" spans="1:30" x14ac:dyDescent="0.25">
      <c r="A25" t="s">
        <v>232</v>
      </c>
      <c r="B25" t="s">
        <v>57</v>
      </c>
      <c r="C25" t="s">
        <v>233</v>
      </c>
      <c r="D25" t="s">
        <v>234</v>
      </c>
      <c r="E25" t="str">
        <f>_xlfn.XLOOKUP(B25,'Rural population'!$C$2:$C$200,'Rural population'!$G$2:$G$200)</f>
        <v>Central America</v>
      </c>
      <c r="F25">
        <v>3.3335599999999999</v>
      </c>
      <c r="G25">
        <v>3.2737699999999998</v>
      </c>
      <c r="H25">
        <v>3.6602000000000001</v>
      </c>
      <c r="I25">
        <v>3.4793799999999999</v>
      </c>
      <c r="J25">
        <v>4.1190699999999998</v>
      </c>
      <c r="K25">
        <v>4.3659999999999997</v>
      </c>
      <c r="L25">
        <v>4.4039099999999998</v>
      </c>
      <c r="M25">
        <v>4.3927300000000002</v>
      </c>
      <c r="N25">
        <v>3.8779699999999999</v>
      </c>
      <c r="O25">
        <v>4.7436800000000003</v>
      </c>
      <c r="P25">
        <v>5.2485499999999998</v>
      </c>
      <c r="Q25">
        <v>5.8210100000000002</v>
      </c>
      <c r="R25">
        <v>6.5123300000000004</v>
      </c>
      <c r="S25">
        <v>7.3060200000000002</v>
      </c>
      <c r="T25">
        <v>8.1944300000000005</v>
      </c>
      <c r="U25">
        <v>9.1673899999999993</v>
      </c>
      <c r="V25">
        <v>10.2399</v>
      </c>
      <c r="W25">
        <v>11.412000000000001</v>
      </c>
      <c r="X25">
        <v>12.6526</v>
      </c>
      <c r="Y25">
        <v>13.9566</v>
      </c>
      <c r="Z25">
        <v>15.313000000000001</v>
      </c>
      <c r="AA25">
        <v>16.716899999999999</v>
      </c>
      <c r="AB25">
        <v>18.165400000000002</v>
      </c>
      <c r="AC25">
        <v>19.655200000000001</v>
      </c>
      <c r="AD25">
        <v>21.174099999999999</v>
      </c>
    </row>
    <row r="26" spans="1:30" x14ac:dyDescent="0.25">
      <c r="A26" t="s">
        <v>232</v>
      </c>
      <c r="B26" t="s">
        <v>58</v>
      </c>
      <c r="C26" t="s">
        <v>233</v>
      </c>
      <c r="D26" t="s">
        <v>234</v>
      </c>
      <c r="E26" t="str">
        <f>_xlfn.XLOOKUP(B26,'Rural population'!$C$2:$C$200,'Rural population'!$G$2:$G$200)</f>
        <v>Southeastern Asia</v>
      </c>
      <c r="F26" t="s">
        <v>252</v>
      </c>
      <c r="G26">
        <v>18.366599999999998</v>
      </c>
      <c r="H26">
        <v>18.428599999999999</v>
      </c>
      <c r="I26">
        <v>21.523700000000002</v>
      </c>
      <c r="J26">
        <v>22.995899999999999</v>
      </c>
      <c r="K26">
        <v>25.479600000000001</v>
      </c>
      <c r="L26">
        <v>26.330500000000001</v>
      </c>
      <c r="M26">
        <v>26.1967</v>
      </c>
      <c r="N26">
        <v>27.210999999999999</v>
      </c>
      <c r="O26">
        <v>27.823900000000002</v>
      </c>
      <c r="P26">
        <v>32.417900000000003</v>
      </c>
      <c r="Q26">
        <v>36.462800000000001</v>
      </c>
      <c r="R26">
        <v>39.283200000000001</v>
      </c>
      <c r="S26">
        <v>41.270200000000003</v>
      </c>
      <c r="T26">
        <v>42.760599999999997</v>
      </c>
      <c r="U26">
        <v>44.005000000000003</v>
      </c>
      <c r="V26">
        <v>45.165700000000001</v>
      </c>
      <c r="W26">
        <v>46.321300000000001</v>
      </c>
      <c r="X26">
        <v>47.225499999999997</v>
      </c>
      <c r="Y26">
        <v>48.061300000000003</v>
      </c>
      <c r="Z26">
        <v>48.849299999999999</v>
      </c>
      <c r="AA26">
        <v>49.674799999999998</v>
      </c>
      <c r="AB26">
        <v>50.618299999999998</v>
      </c>
      <c r="AC26">
        <v>51.700099999999999</v>
      </c>
      <c r="AD26">
        <v>52.897199999999998</v>
      </c>
    </row>
    <row r="27" spans="1:30" x14ac:dyDescent="0.25">
      <c r="A27" t="s">
        <v>232</v>
      </c>
      <c r="B27" t="s">
        <v>59</v>
      </c>
      <c r="C27" t="s">
        <v>233</v>
      </c>
      <c r="D27" t="s">
        <v>234</v>
      </c>
      <c r="E27" t="str">
        <f>_xlfn.XLOOKUP(B27,'Rural population'!$C$2:$C$200,'Rural population'!$G$2:$G$200)</f>
        <v>Rest of South Asia</v>
      </c>
      <c r="F27">
        <v>0.54843500000000001</v>
      </c>
      <c r="G27">
        <v>0.81245099999999992</v>
      </c>
      <c r="H27">
        <v>1.40587</v>
      </c>
      <c r="I27">
        <v>1.6837800000000001</v>
      </c>
      <c r="J27">
        <v>2.2861700000000003</v>
      </c>
      <c r="K27">
        <v>3.3399000000000001</v>
      </c>
      <c r="L27">
        <v>5.1908399999999997</v>
      </c>
      <c r="M27">
        <v>6.9474999999999998</v>
      </c>
      <c r="N27">
        <v>8.4008199999999995</v>
      </c>
      <c r="O27">
        <v>9.6552699999999998</v>
      </c>
      <c r="P27">
        <v>11.6981</v>
      </c>
      <c r="Q27">
        <v>13.7241</v>
      </c>
      <c r="R27">
        <v>15.77</v>
      </c>
      <c r="S27">
        <v>17.945699999999999</v>
      </c>
      <c r="T27">
        <v>20.292999999999999</v>
      </c>
      <c r="U27">
        <v>22.883299999999998</v>
      </c>
      <c r="V27">
        <v>25.701000000000001</v>
      </c>
      <c r="W27">
        <v>28.712199999999999</v>
      </c>
      <c r="X27">
        <v>31.677599999999998</v>
      </c>
      <c r="Y27">
        <v>34.503399999999999</v>
      </c>
      <c r="Z27">
        <v>37.122700000000002</v>
      </c>
      <c r="AA27">
        <v>39.469700000000003</v>
      </c>
      <c r="AB27">
        <v>41.655500000000004</v>
      </c>
      <c r="AC27">
        <v>43.723399999999998</v>
      </c>
      <c r="AD27">
        <v>45.7072</v>
      </c>
    </row>
    <row r="28" spans="1:30" x14ac:dyDescent="0.25">
      <c r="A28" t="s">
        <v>232</v>
      </c>
      <c r="B28" t="s">
        <v>60</v>
      </c>
      <c r="C28" t="s">
        <v>233</v>
      </c>
      <c r="D28" t="s">
        <v>234</v>
      </c>
      <c r="E28" t="str">
        <f>_xlfn.XLOOKUP(B28,'Rural population'!$C$2:$C$200,'Rural population'!$G$2:$G$200)</f>
        <v>Rest of Southern Africa</v>
      </c>
      <c r="F28">
        <v>4.86069</v>
      </c>
      <c r="G28">
        <v>7.7420200000000001</v>
      </c>
      <c r="H28">
        <v>13.576499999999999</v>
      </c>
      <c r="I28">
        <v>16.110900000000001</v>
      </c>
      <c r="J28">
        <v>19.5947</v>
      </c>
      <c r="K28">
        <v>24.168600000000001</v>
      </c>
      <c r="L28">
        <v>26.4665</v>
      </c>
      <c r="M28">
        <v>31.540800000000001</v>
      </c>
      <c r="N28">
        <v>34.4925</v>
      </c>
      <c r="O28">
        <v>46.045200000000001</v>
      </c>
      <c r="P28">
        <v>56.131599999999999</v>
      </c>
      <c r="Q28">
        <v>67.2517</v>
      </c>
      <c r="R28">
        <v>78.254499999999993</v>
      </c>
      <c r="S28">
        <v>89.459699999999998</v>
      </c>
      <c r="T28">
        <v>101.229</v>
      </c>
      <c r="U28">
        <v>113.813</v>
      </c>
      <c r="V28">
        <v>127.18600000000001</v>
      </c>
      <c r="W28">
        <v>141.005</v>
      </c>
      <c r="X28">
        <v>154.99700000000001</v>
      </c>
      <c r="Y28">
        <v>169.27099999999999</v>
      </c>
      <c r="Z28">
        <v>183.923</v>
      </c>
      <c r="AA28">
        <v>198.94300000000001</v>
      </c>
      <c r="AB28">
        <v>214.21299999999999</v>
      </c>
      <c r="AC28">
        <v>229.46</v>
      </c>
      <c r="AD28">
        <v>244.66900000000001</v>
      </c>
    </row>
    <row r="29" spans="1:30" x14ac:dyDescent="0.25">
      <c r="A29" t="s">
        <v>232</v>
      </c>
      <c r="B29" t="s">
        <v>61</v>
      </c>
      <c r="C29" t="s">
        <v>233</v>
      </c>
      <c r="D29" t="s">
        <v>234</v>
      </c>
      <c r="E29" t="str">
        <f>_xlfn.XLOOKUP(B29,'Rural population'!$C$2:$C$200,'Rural population'!$G$2:$G$200)</f>
        <v>Western Africa</v>
      </c>
      <c r="F29">
        <v>2.86721</v>
      </c>
      <c r="G29">
        <v>3.3460399999999999</v>
      </c>
      <c r="H29">
        <v>3.8382399999999999</v>
      </c>
      <c r="I29">
        <v>4.1539400000000004</v>
      </c>
      <c r="J29">
        <v>4.1603000000000003</v>
      </c>
      <c r="K29">
        <v>4.3807299999999998</v>
      </c>
      <c r="L29">
        <v>5.2697099999999999</v>
      </c>
      <c r="M29">
        <v>3.8313299999999999</v>
      </c>
      <c r="N29">
        <v>4.5276199999999998</v>
      </c>
      <c r="O29">
        <v>4.9314200000000001</v>
      </c>
      <c r="P29">
        <v>6.0948399999999996</v>
      </c>
      <c r="Q29">
        <v>8.2575800000000008</v>
      </c>
      <c r="R29">
        <v>11.2927</v>
      </c>
      <c r="S29">
        <v>15.5967</v>
      </c>
      <c r="T29">
        <v>21.588999999999999</v>
      </c>
      <c r="U29">
        <v>29.729299999999999</v>
      </c>
      <c r="V29">
        <v>40.571300000000001</v>
      </c>
      <c r="W29">
        <v>54.838299999999997</v>
      </c>
      <c r="X29">
        <v>73.159899999999993</v>
      </c>
      <c r="Y29">
        <v>96.429000000000002</v>
      </c>
      <c r="Z29">
        <v>125.46599999999999</v>
      </c>
      <c r="AA29">
        <v>161.143</v>
      </c>
      <c r="AB29">
        <v>204.46700000000001</v>
      </c>
      <c r="AC29">
        <v>256.47800000000001</v>
      </c>
      <c r="AD29">
        <v>318.18900000000002</v>
      </c>
    </row>
    <row r="30" spans="1:30" x14ac:dyDescent="0.25">
      <c r="A30" t="s">
        <v>232</v>
      </c>
      <c r="B30" t="s">
        <v>62</v>
      </c>
      <c r="C30" t="s">
        <v>233</v>
      </c>
      <c r="D30" t="s">
        <v>234</v>
      </c>
      <c r="E30" t="str">
        <f>_xlfn.XLOOKUP(B30,'Rural population'!$C$2:$C$200,'Rural population'!$G$2:$G$200)</f>
        <v>Canada</v>
      </c>
      <c r="F30">
        <v>737.97400000000005</v>
      </c>
      <c r="G30">
        <v>841.37699999999995</v>
      </c>
      <c r="H30">
        <v>957.08500000000004</v>
      </c>
      <c r="I30">
        <v>1041.67</v>
      </c>
      <c r="J30">
        <v>1192.3800000000001</v>
      </c>
      <c r="K30">
        <v>1354.21</v>
      </c>
      <c r="L30">
        <v>1433.98</v>
      </c>
      <c r="M30">
        <v>1594.85</v>
      </c>
      <c r="N30">
        <v>1649.89</v>
      </c>
      <c r="O30">
        <v>1862.51</v>
      </c>
      <c r="P30">
        <v>2067.36</v>
      </c>
      <c r="Q30">
        <v>2297.65</v>
      </c>
      <c r="R30">
        <v>2553.44</v>
      </c>
      <c r="S30">
        <v>2820.77</v>
      </c>
      <c r="T30">
        <v>3088.48</v>
      </c>
      <c r="U30">
        <v>3356.24</v>
      </c>
      <c r="V30">
        <v>3626.62</v>
      </c>
      <c r="W30">
        <v>3905.57</v>
      </c>
      <c r="X30">
        <v>4186.18</v>
      </c>
      <c r="Y30">
        <v>4457.47</v>
      </c>
      <c r="Z30">
        <v>4713.7700000000004</v>
      </c>
      <c r="AA30">
        <v>4953.5600000000004</v>
      </c>
      <c r="AB30">
        <v>5176.92</v>
      </c>
      <c r="AC30">
        <v>5384.35</v>
      </c>
      <c r="AD30">
        <v>5574.02</v>
      </c>
    </row>
    <row r="31" spans="1:30" x14ac:dyDescent="0.25">
      <c r="A31" t="s">
        <v>232</v>
      </c>
      <c r="B31" t="s">
        <v>63</v>
      </c>
      <c r="C31" t="s">
        <v>233</v>
      </c>
      <c r="D31" t="s">
        <v>234</v>
      </c>
      <c r="E31" t="str">
        <f>_xlfn.XLOOKUP(B31,'Rural population'!$C$2:$C$200,'Rural population'!$G$2:$G$200)</f>
        <v>Western Europe</v>
      </c>
      <c r="F31">
        <v>302.88400000000001</v>
      </c>
      <c r="G31">
        <v>326.60000000000002</v>
      </c>
      <c r="H31">
        <v>377.79399999999998</v>
      </c>
      <c r="I31">
        <v>380.18900000000002</v>
      </c>
      <c r="J31">
        <v>412.75700000000001</v>
      </c>
      <c r="K31">
        <v>441.68900000000002</v>
      </c>
      <c r="L31">
        <v>495.041</v>
      </c>
      <c r="M31">
        <v>540.38599999999997</v>
      </c>
      <c r="N31">
        <v>568.96</v>
      </c>
      <c r="O31">
        <v>634.99599999999998</v>
      </c>
      <c r="P31">
        <v>670.66499999999996</v>
      </c>
      <c r="Q31">
        <v>707.42100000000005</v>
      </c>
      <c r="R31">
        <v>741.09400000000005</v>
      </c>
      <c r="S31">
        <v>774.21900000000005</v>
      </c>
      <c r="T31">
        <v>807.64300000000003</v>
      </c>
      <c r="U31">
        <v>841.78499999999997</v>
      </c>
      <c r="V31">
        <v>878.31700000000001</v>
      </c>
      <c r="W31">
        <v>917.58900000000006</v>
      </c>
      <c r="X31">
        <v>957.726</v>
      </c>
      <c r="Y31">
        <v>997.125</v>
      </c>
      <c r="Z31">
        <v>1033.76</v>
      </c>
      <c r="AA31">
        <v>1066.53</v>
      </c>
      <c r="AB31">
        <v>1095.5</v>
      </c>
      <c r="AC31">
        <v>1121.1099999999999</v>
      </c>
      <c r="AD31">
        <v>1143.21</v>
      </c>
    </row>
    <row r="32" spans="1:30" x14ac:dyDescent="0.25">
      <c r="A32" t="s">
        <v>232</v>
      </c>
      <c r="B32" t="s">
        <v>64</v>
      </c>
      <c r="C32" t="s">
        <v>233</v>
      </c>
      <c r="D32" t="s">
        <v>234</v>
      </c>
      <c r="E32" t="str">
        <f>_xlfn.XLOOKUP(B32,'Rural population'!$C$2:$C$200,'Rural population'!$G$2:$G$200)</f>
        <v>Rest of South America</v>
      </c>
      <c r="F32">
        <v>97.069800000000001</v>
      </c>
      <c r="G32">
        <v>93.495699999999999</v>
      </c>
      <c r="H32">
        <v>123.943</v>
      </c>
      <c r="I32">
        <v>187.98400000000001</v>
      </c>
      <c r="J32">
        <v>220.125</v>
      </c>
      <c r="K32">
        <v>276.012</v>
      </c>
      <c r="L32">
        <v>334.745</v>
      </c>
      <c r="M32">
        <v>405.42099999999999</v>
      </c>
      <c r="N32">
        <v>410.37400000000002</v>
      </c>
      <c r="O32">
        <v>489.67700000000002</v>
      </c>
      <c r="P32">
        <v>527.17499999999995</v>
      </c>
      <c r="Q32">
        <v>582.75900000000001</v>
      </c>
      <c r="R32">
        <v>646.05399999999997</v>
      </c>
      <c r="S32">
        <v>716.14200000000005</v>
      </c>
      <c r="T32">
        <v>790.61599999999999</v>
      </c>
      <c r="U32">
        <v>866.13300000000004</v>
      </c>
      <c r="V32">
        <v>941.49599999999998</v>
      </c>
      <c r="W32">
        <v>1019.71</v>
      </c>
      <c r="X32">
        <v>1099.4000000000001</v>
      </c>
      <c r="Y32">
        <v>1176.0899999999999</v>
      </c>
      <c r="Z32">
        <v>1246.68</v>
      </c>
      <c r="AA32">
        <v>1309.54</v>
      </c>
      <c r="AB32">
        <v>1363.99</v>
      </c>
      <c r="AC32">
        <v>1410.07</v>
      </c>
      <c r="AD32">
        <v>1448.38</v>
      </c>
    </row>
    <row r="33" spans="1:30" x14ac:dyDescent="0.25">
      <c r="A33" t="s">
        <v>232</v>
      </c>
      <c r="B33" t="s">
        <v>65</v>
      </c>
      <c r="C33" t="s">
        <v>233</v>
      </c>
      <c r="D33" t="s">
        <v>234</v>
      </c>
      <c r="E33" t="str">
        <f>_xlfn.XLOOKUP(B33,'Rural population'!$C$2:$C$200,'Rural population'!$G$2:$G$200)</f>
        <v>China region</v>
      </c>
      <c r="F33">
        <v>666.04700000000003</v>
      </c>
      <c r="G33">
        <v>1107.46</v>
      </c>
      <c r="H33">
        <v>1617.4</v>
      </c>
      <c r="I33">
        <v>2881.39</v>
      </c>
      <c r="J33">
        <v>4456.79</v>
      </c>
      <c r="K33">
        <v>7112.15</v>
      </c>
      <c r="L33">
        <v>12153.7</v>
      </c>
      <c r="M33">
        <v>17796.8</v>
      </c>
      <c r="N33">
        <v>23516.1</v>
      </c>
      <c r="O33">
        <v>30146.2</v>
      </c>
      <c r="P33">
        <v>36229.4</v>
      </c>
      <c r="Q33">
        <v>41754.9</v>
      </c>
      <c r="R33">
        <v>46183.5</v>
      </c>
      <c r="S33">
        <v>50423.1</v>
      </c>
      <c r="T33">
        <v>54381.7</v>
      </c>
      <c r="U33">
        <v>57817.2</v>
      </c>
      <c r="V33">
        <v>61129</v>
      </c>
      <c r="W33">
        <v>64264.4</v>
      </c>
      <c r="X33">
        <v>66786.7</v>
      </c>
      <c r="Y33">
        <v>68664.100000000006</v>
      </c>
      <c r="Z33">
        <v>70044.600000000006</v>
      </c>
      <c r="AA33">
        <v>71061.100000000006</v>
      </c>
      <c r="AB33">
        <v>71883.600000000006</v>
      </c>
      <c r="AC33">
        <v>72552.3</v>
      </c>
      <c r="AD33">
        <v>72931.3</v>
      </c>
    </row>
    <row r="34" spans="1:30" x14ac:dyDescent="0.25">
      <c r="A34" t="s">
        <v>232</v>
      </c>
      <c r="B34" t="s">
        <v>244</v>
      </c>
      <c r="C34" t="s">
        <v>233</v>
      </c>
      <c r="D34" t="s">
        <v>234</v>
      </c>
      <c r="E34" t="str">
        <f>_xlfn.XLOOKUP(B34,'Rural population'!$C$2:$C$200,'Rural population'!$G$2:$G$200)</f>
        <v>Western Africa</v>
      </c>
      <c r="F34">
        <v>49.438400000000001</v>
      </c>
      <c r="G34">
        <v>50.752000000000002</v>
      </c>
      <c r="H34">
        <v>54.503799999999998</v>
      </c>
      <c r="I34">
        <v>57.4146</v>
      </c>
      <c r="J34">
        <v>68.541499999999999</v>
      </c>
      <c r="K34">
        <v>68.542599999999993</v>
      </c>
      <c r="L34">
        <v>76.483800000000002</v>
      </c>
      <c r="M34">
        <v>104.38800000000001</v>
      </c>
      <c r="N34">
        <v>136.53</v>
      </c>
      <c r="O34">
        <v>187.75800000000001</v>
      </c>
      <c r="P34">
        <v>255.21100000000001</v>
      </c>
      <c r="Q34">
        <v>343.78</v>
      </c>
      <c r="R34">
        <v>443.40699999999998</v>
      </c>
      <c r="S34">
        <v>558.02300000000002</v>
      </c>
      <c r="T34">
        <v>690.85900000000004</v>
      </c>
      <c r="U34">
        <v>844.5</v>
      </c>
      <c r="V34">
        <v>1020.39</v>
      </c>
      <c r="W34">
        <v>1219.94</v>
      </c>
      <c r="X34">
        <v>1443.44</v>
      </c>
      <c r="Y34">
        <v>1691.04</v>
      </c>
      <c r="Z34">
        <v>1959.46</v>
      </c>
      <c r="AA34">
        <v>2247.34</v>
      </c>
      <c r="AB34">
        <v>2554.21</v>
      </c>
      <c r="AC34">
        <v>2878.94</v>
      </c>
      <c r="AD34">
        <v>3222.92</v>
      </c>
    </row>
    <row r="35" spans="1:30" x14ac:dyDescent="0.25">
      <c r="A35" t="s">
        <v>232</v>
      </c>
      <c r="B35" t="s">
        <v>67</v>
      </c>
      <c r="C35" t="s">
        <v>233</v>
      </c>
      <c r="D35" t="s">
        <v>234</v>
      </c>
      <c r="E35" t="str">
        <f>_xlfn.XLOOKUP(B35,'Rural population'!$C$2:$C$200,'Rural population'!$G$2:$G$200)</f>
        <v>Western Africa</v>
      </c>
      <c r="F35">
        <v>29.023399999999999</v>
      </c>
      <c r="G35">
        <v>45.359699999999997</v>
      </c>
      <c r="H35">
        <v>40.253900000000002</v>
      </c>
      <c r="I35">
        <v>36.6355</v>
      </c>
      <c r="J35">
        <v>45.669600000000003</v>
      </c>
      <c r="K35">
        <v>56.045299999999997</v>
      </c>
      <c r="L35">
        <v>65.623500000000007</v>
      </c>
      <c r="M35">
        <v>83.230699999999999</v>
      </c>
      <c r="N35">
        <v>97.386499999999998</v>
      </c>
      <c r="O35">
        <v>118.502</v>
      </c>
      <c r="P35">
        <v>150.083</v>
      </c>
      <c r="Q35">
        <v>195.565</v>
      </c>
      <c r="R35">
        <v>252.33</v>
      </c>
      <c r="S35">
        <v>323.39699999999999</v>
      </c>
      <c r="T35">
        <v>411.55799999999999</v>
      </c>
      <c r="U35">
        <v>520.03899999999999</v>
      </c>
      <c r="V35">
        <v>652.19299999999998</v>
      </c>
      <c r="W35">
        <v>810.97699999999998</v>
      </c>
      <c r="X35">
        <v>997.39800000000002</v>
      </c>
      <c r="Y35">
        <v>1212.77</v>
      </c>
      <c r="Z35">
        <v>1457.81</v>
      </c>
      <c r="AA35">
        <v>1733.77</v>
      </c>
      <c r="AB35">
        <v>2039.99</v>
      </c>
      <c r="AC35">
        <v>2375.84</v>
      </c>
      <c r="AD35">
        <v>2739.76</v>
      </c>
    </row>
    <row r="36" spans="1:30" x14ac:dyDescent="0.25">
      <c r="A36" t="s">
        <v>232</v>
      </c>
      <c r="B36" t="s">
        <v>68</v>
      </c>
      <c r="C36" t="s">
        <v>233</v>
      </c>
      <c r="D36" t="s">
        <v>234</v>
      </c>
      <c r="E36" t="e">
        <f>_xlfn.XLOOKUP(B36,'Rural population'!$C$2:$C$200,'Rural population'!$G$2:$G$200)</f>
        <v>#N/A</v>
      </c>
      <c r="F36" t="s">
        <v>252</v>
      </c>
      <c r="G36" t="s">
        <v>252</v>
      </c>
      <c r="H36">
        <v>62.984299999999998</v>
      </c>
      <c r="I36">
        <v>45.430300000000003</v>
      </c>
      <c r="J36">
        <v>34.877800000000001</v>
      </c>
      <c r="K36">
        <v>44.311100000000003</v>
      </c>
      <c r="L36">
        <v>58.878100000000003</v>
      </c>
      <c r="M36">
        <v>86.126599999999996</v>
      </c>
      <c r="N36">
        <v>99.808599999999998</v>
      </c>
      <c r="O36">
        <v>135.911</v>
      </c>
      <c r="P36">
        <v>176.69</v>
      </c>
      <c r="Q36">
        <v>235.25899999999999</v>
      </c>
      <c r="R36">
        <v>322.35300000000001</v>
      </c>
      <c r="S36">
        <v>445.32499999999999</v>
      </c>
      <c r="T36">
        <v>612.52800000000002</v>
      </c>
      <c r="U36">
        <v>834.34100000000001</v>
      </c>
      <c r="V36">
        <v>1122.98</v>
      </c>
      <c r="W36">
        <v>1491.56</v>
      </c>
      <c r="X36">
        <v>1951.88</v>
      </c>
      <c r="Y36">
        <v>2516.64</v>
      </c>
      <c r="Z36">
        <v>3196.66</v>
      </c>
      <c r="AA36">
        <v>4004.22</v>
      </c>
      <c r="AB36">
        <v>4951.08</v>
      </c>
      <c r="AC36">
        <v>6045.87</v>
      </c>
      <c r="AD36">
        <v>7294.83</v>
      </c>
    </row>
    <row r="37" spans="1:30" x14ac:dyDescent="0.25">
      <c r="A37" t="s">
        <v>232</v>
      </c>
      <c r="B37" t="s">
        <v>69</v>
      </c>
      <c r="C37" t="s">
        <v>233</v>
      </c>
      <c r="D37" t="s">
        <v>234</v>
      </c>
      <c r="E37" t="e">
        <f>_xlfn.XLOOKUP(B37,'Rural population'!$C$2:$C$200,'Rural population'!$G$2:$G$200)</f>
        <v>#N/A</v>
      </c>
      <c r="F37">
        <v>6.82911</v>
      </c>
      <c r="G37">
        <v>7.7000999999999999</v>
      </c>
      <c r="H37">
        <v>12.041</v>
      </c>
      <c r="I37">
        <v>13.471399999999999</v>
      </c>
      <c r="J37">
        <v>16.186900000000001</v>
      </c>
      <c r="K37">
        <v>17.035499999999999</v>
      </c>
      <c r="L37">
        <v>22.412700000000001</v>
      </c>
      <c r="M37">
        <v>25.738299999999999</v>
      </c>
      <c r="N37">
        <v>21.377199999999998</v>
      </c>
      <c r="O37">
        <v>24.657</v>
      </c>
      <c r="P37">
        <v>29.9131</v>
      </c>
      <c r="Q37">
        <v>36.409199999999998</v>
      </c>
      <c r="R37">
        <v>44.298900000000003</v>
      </c>
      <c r="S37">
        <v>54.089700000000001</v>
      </c>
      <c r="T37">
        <v>66.279200000000003</v>
      </c>
      <c r="U37">
        <v>81.375100000000003</v>
      </c>
      <c r="V37">
        <v>99.804900000000004</v>
      </c>
      <c r="W37">
        <v>122.01900000000001</v>
      </c>
      <c r="X37">
        <v>148.05000000000001</v>
      </c>
      <c r="Y37">
        <v>178.21100000000001</v>
      </c>
      <c r="Z37">
        <v>212.703</v>
      </c>
      <c r="AA37">
        <v>251.506</v>
      </c>
      <c r="AB37">
        <v>294.38299999999998</v>
      </c>
      <c r="AC37">
        <v>341.09899999999999</v>
      </c>
      <c r="AD37">
        <v>391.75400000000002</v>
      </c>
    </row>
    <row r="38" spans="1:30" x14ac:dyDescent="0.25">
      <c r="A38" t="s">
        <v>232</v>
      </c>
      <c r="B38" t="s">
        <v>70</v>
      </c>
      <c r="C38" t="s">
        <v>233</v>
      </c>
      <c r="D38" t="s">
        <v>234</v>
      </c>
      <c r="E38" t="str">
        <f>_xlfn.XLOOKUP(B38,'Rural population'!$C$2:$C$200,'Rural population'!$G$2:$G$200)</f>
        <v>Rest of South America</v>
      </c>
      <c r="F38">
        <v>196.50899999999999</v>
      </c>
      <c r="G38">
        <v>219.81100000000001</v>
      </c>
      <c r="H38">
        <v>277.36700000000002</v>
      </c>
      <c r="I38">
        <v>349.78399999999999</v>
      </c>
      <c r="J38">
        <v>334.25599999999997</v>
      </c>
      <c r="K38">
        <v>399.28</v>
      </c>
      <c r="L38">
        <v>496.45100000000002</v>
      </c>
      <c r="M38">
        <v>624.05600000000004</v>
      </c>
      <c r="N38">
        <v>633.84500000000003</v>
      </c>
      <c r="O38">
        <v>797.69799999999998</v>
      </c>
      <c r="P38">
        <v>920.86599999999999</v>
      </c>
      <c r="Q38">
        <v>1088.76</v>
      </c>
      <c r="R38">
        <v>1299.21</v>
      </c>
      <c r="S38">
        <v>1540.01</v>
      </c>
      <c r="T38">
        <v>1800.18</v>
      </c>
      <c r="U38">
        <v>2075.2199999999998</v>
      </c>
      <c r="V38">
        <v>2360.2199999999998</v>
      </c>
      <c r="W38">
        <v>2654.62</v>
      </c>
      <c r="X38">
        <v>2952.98</v>
      </c>
      <c r="Y38">
        <v>3248.18</v>
      </c>
      <c r="Z38">
        <v>3530.45</v>
      </c>
      <c r="AA38">
        <v>3798.32</v>
      </c>
      <c r="AB38">
        <v>4053.05</v>
      </c>
      <c r="AC38">
        <v>4296.4799999999996</v>
      </c>
      <c r="AD38">
        <v>4531.2299999999996</v>
      </c>
    </row>
    <row r="39" spans="1:30" x14ac:dyDescent="0.25">
      <c r="A39" t="s">
        <v>232</v>
      </c>
      <c r="B39" t="s">
        <v>71</v>
      </c>
      <c r="C39" t="s">
        <v>233</v>
      </c>
      <c r="D39" t="s">
        <v>234</v>
      </c>
      <c r="E39" t="str">
        <f>_xlfn.XLOOKUP(B39,'Rural population'!$C$2:$C$200,'Rural population'!$G$2:$G$200)</f>
        <v>Eastern Africa</v>
      </c>
      <c r="F39">
        <v>0.93681099999999995</v>
      </c>
      <c r="G39">
        <v>1.13592</v>
      </c>
      <c r="H39">
        <v>1.3266</v>
      </c>
      <c r="I39">
        <v>1.3895599999999999</v>
      </c>
      <c r="J39">
        <v>1.4682900000000001</v>
      </c>
      <c r="K39">
        <v>1.8006600000000001</v>
      </c>
      <c r="L39">
        <v>1.9848700000000001</v>
      </c>
      <c r="M39">
        <v>2.3008899999999999</v>
      </c>
      <c r="N39">
        <v>2.5978500000000002</v>
      </c>
      <c r="O39">
        <v>3.0184299999999999</v>
      </c>
      <c r="P39">
        <v>3.7325699999999999</v>
      </c>
      <c r="Q39">
        <v>4.7369900000000005</v>
      </c>
      <c r="R39">
        <v>6.5119600000000002</v>
      </c>
      <c r="S39">
        <v>9.1382899999999996</v>
      </c>
      <c r="T39">
        <v>12.548500000000001</v>
      </c>
      <c r="U39">
        <v>16.6724</v>
      </c>
      <c r="V39">
        <v>21.450399999999998</v>
      </c>
      <c r="W39">
        <v>26.843599999999999</v>
      </c>
      <c r="X39">
        <v>32.718899999999998</v>
      </c>
      <c r="Y39">
        <v>39.0184</v>
      </c>
      <c r="Z39">
        <v>45.651299999999999</v>
      </c>
      <c r="AA39">
        <v>52.5488</v>
      </c>
      <c r="AB39">
        <v>59.695</v>
      </c>
      <c r="AC39">
        <v>67.031300000000002</v>
      </c>
      <c r="AD39">
        <v>74.572599999999994</v>
      </c>
    </row>
    <row r="40" spans="1:30" x14ac:dyDescent="0.25">
      <c r="A40" t="s">
        <v>232</v>
      </c>
      <c r="B40" t="s">
        <v>72</v>
      </c>
      <c r="C40" t="s">
        <v>233</v>
      </c>
      <c r="D40" t="s">
        <v>234</v>
      </c>
      <c r="E40" t="str">
        <f>_xlfn.XLOOKUP(B40,'Rural population'!$C$2:$C$200,'Rural population'!$G$2:$G$200)</f>
        <v>Western Africa</v>
      </c>
      <c r="F40">
        <v>0.59520499999999998</v>
      </c>
      <c r="G40">
        <v>0.81963699999999995</v>
      </c>
      <c r="H40">
        <v>0.99220000000000008</v>
      </c>
      <c r="I40">
        <v>1.2787600000000001</v>
      </c>
      <c r="J40">
        <v>1.91039</v>
      </c>
      <c r="K40">
        <v>2.5483099999999999</v>
      </c>
      <c r="L40">
        <v>3.4392800000000001</v>
      </c>
      <c r="M40">
        <v>3.69543</v>
      </c>
      <c r="N40">
        <v>3.5929099999999998</v>
      </c>
      <c r="O40">
        <v>5.1042800000000002</v>
      </c>
      <c r="P40">
        <v>6.4363599999999996</v>
      </c>
      <c r="Q40">
        <v>7.8929400000000003</v>
      </c>
      <c r="R40">
        <v>9.2915700000000001</v>
      </c>
      <c r="S40">
        <v>10.6586</v>
      </c>
      <c r="T40">
        <v>12.009</v>
      </c>
      <c r="U40">
        <v>13.398</v>
      </c>
      <c r="V40">
        <v>14.850300000000001</v>
      </c>
      <c r="W40">
        <v>16.4191</v>
      </c>
      <c r="X40">
        <v>18.038699999999999</v>
      </c>
      <c r="Y40">
        <v>19.6555</v>
      </c>
      <c r="Z40">
        <v>21.2121</v>
      </c>
      <c r="AA40">
        <v>22.709499999999998</v>
      </c>
      <c r="AB40">
        <v>24.183299999999999</v>
      </c>
      <c r="AC40">
        <v>25.6859</v>
      </c>
      <c r="AD40">
        <v>27.2441</v>
      </c>
    </row>
    <row r="41" spans="1:30" x14ac:dyDescent="0.25">
      <c r="A41" t="s">
        <v>232</v>
      </c>
      <c r="B41" t="s">
        <v>73</v>
      </c>
      <c r="C41" t="s">
        <v>233</v>
      </c>
      <c r="D41" t="s">
        <v>234</v>
      </c>
      <c r="E41" t="str">
        <f>_xlfn.XLOOKUP(B41,'Rural population'!$C$2:$C$200,'Rural population'!$G$2:$G$200)</f>
        <v>Central America</v>
      </c>
      <c r="F41">
        <v>24.4038</v>
      </c>
      <c r="G41">
        <v>24.750599999999999</v>
      </c>
      <c r="H41">
        <v>30.9849</v>
      </c>
      <c r="I41">
        <v>40.341900000000003</v>
      </c>
      <c r="J41">
        <v>45.949599999999997</v>
      </c>
      <c r="K41">
        <v>55.701999999999998</v>
      </c>
      <c r="L41">
        <v>70.768299999999996</v>
      </c>
      <c r="M41">
        <v>85.241799999999998</v>
      </c>
      <c r="N41">
        <v>93.078900000000004</v>
      </c>
      <c r="O41">
        <v>118.316</v>
      </c>
      <c r="P41">
        <v>135.90600000000001</v>
      </c>
      <c r="Q41">
        <v>160.15199999999999</v>
      </c>
      <c r="R41">
        <v>187.113</v>
      </c>
      <c r="S41">
        <v>215.67400000000001</v>
      </c>
      <c r="T41">
        <v>244.30799999999999</v>
      </c>
      <c r="U41">
        <v>272.93400000000003</v>
      </c>
      <c r="V41">
        <v>301.60300000000001</v>
      </c>
      <c r="W41">
        <v>329.911</v>
      </c>
      <c r="X41">
        <v>356.36900000000003</v>
      </c>
      <c r="Y41">
        <v>380.38299999999998</v>
      </c>
      <c r="Z41">
        <v>401.26900000000001</v>
      </c>
      <c r="AA41">
        <v>419.30700000000002</v>
      </c>
      <c r="AB41">
        <v>434.85399999999998</v>
      </c>
      <c r="AC41">
        <v>448.30799999999999</v>
      </c>
      <c r="AD41">
        <v>459.8</v>
      </c>
    </row>
    <row r="42" spans="1:30" x14ac:dyDescent="0.25">
      <c r="A42" t="s">
        <v>232</v>
      </c>
      <c r="B42" t="s">
        <v>74</v>
      </c>
      <c r="C42" t="s">
        <v>233</v>
      </c>
      <c r="D42" t="s">
        <v>234</v>
      </c>
      <c r="E42" t="str">
        <f>_xlfn.XLOOKUP(B42,'Rural population'!$C$2:$C$200,'Rural population'!$G$2:$G$200)</f>
        <v>Central America</v>
      </c>
      <c r="F42">
        <v>30.240100000000002</v>
      </c>
      <c r="G42">
        <v>45.566400000000002</v>
      </c>
      <c r="H42">
        <v>45.107199999999999</v>
      </c>
      <c r="I42">
        <v>31.287199999999999</v>
      </c>
      <c r="J42">
        <v>39.065199999999997</v>
      </c>
      <c r="K42">
        <v>49.910699999999999</v>
      </c>
      <c r="L42">
        <v>64.885999999999996</v>
      </c>
      <c r="M42">
        <v>74.509399999999999</v>
      </c>
      <c r="N42">
        <v>69.311499999999995</v>
      </c>
      <c r="O42">
        <v>82.798100000000005</v>
      </c>
      <c r="P42">
        <v>103.15</v>
      </c>
      <c r="Q42">
        <v>130.22900000000001</v>
      </c>
      <c r="R42">
        <v>168.50200000000001</v>
      </c>
      <c r="S42">
        <v>216.215</v>
      </c>
      <c r="T42">
        <v>271.23599999999999</v>
      </c>
      <c r="U42">
        <v>331.02800000000002</v>
      </c>
      <c r="V42">
        <v>394.298</v>
      </c>
      <c r="W42">
        <v>461.17700000000002</v>
      </c>
      <c r="X42">
        <v>530.63599999999997</v>
      </c>
      <c r="Y42">
        <v>602.56799999999998</v>
      </c>
      <c r="Z42">
        <v>676.18899999999996</v>
      </c>
      <c r="AA42">
        <v>750.29600000000005</v>
      </c>
      <c r="AB42">
        <v>824.41</v>
      </c>
      <c r="AC42">
        <v>898.68799999999999</v>
      </c>
      <c r="AD42">
        <v>973.38900000000001</v>
      </c>
    </row>
    <row r="43" spans="1:30" x14ac:dyDescent="0.25">
      <c r="A43" t="s">
        <v>232</v>
      </c>
      <c r="B43" t="s">
        <v>75</v>
      </c>
      <c r="C43" t="s">
        <v>233</v>
      </c>
      <c r="D43" t="s">
        <v>234</v>
      </c>
      <c r="E43" t="str">
        <f>_xlfn.XLOOKUP(B43,'Rural population'!$C$2:$C$200,'Rural population'!$G$2:$G$200)</f>
        <v>Central Europe</v>
      </c>
      <c r="F43">
        <v>7.8670999999999998</v>
      </c>
      <c r="G43">
        <v>10.3443</v>
      </c>
      <c r="H43">
        <v>14.4358</v>
      </c>
      <c r="I43">
        <v>18.643599999999999</v>
      </c>
      <c r="J43">
        <v>22.874400000000001</v>
      </c>
      <c r="K43">
        <v>27.873000000000001</v>
      </c>
      <c r="L43">
        <v>31.863</v>
      </c>
      <c r="M43">
        <v>29.313800000000001</v>
      </c>
      <c r="N43">
        <v>35.220999999999997</v>
      </c>
      <c r="O43">
        <v>42.901499999999999</v>
      </c>
      <c r="P43">
        <v>49.463200000000001</v>
      </c>
      <c r="Q43">
        <v>56.082700000000003</v>
      </c>
      <c r="R43">
        <v>62.532600000000002</v>
      </c>
      <c r="S43">
        <v>68.938699999999997</v>
      </c>
      <c r="T43">
        <v>75.375100000000003</v>
      </c>
      <c r="U43">
        <v>82.023600000000002</v>
      </c>
      <c r="V43">
        <v>89.070700000000002</v>
      </c>
      <c r="W43">
        <v>96.378500000000003</v>
      </c>
      <c r="X43">
        <v>103.52800000000001</v>
      </c>
      <c r="Y43">
        <v>110.282</v>
      </c>
      <c r="Z43">
        <v>116.524</v>
      </c>
      <c r="AA43">
        <v>122.375</v>
      </c>
      <c r="AB43">
        <v>128.11600000000001</v>
      </c>
      <c r="AC43">
        <v>134.00200000000001</v>
      </c>
      <c r="AD43">
        <v>140.01499999999999</v>
      </c>
    </row>
    <row r="44" spans="1:30" x14ac:dyDescent="0.25">
      <c r="A44" t="s">
        <v>232</v>
      </c>
      <c r="B44" t="s">
        <v>76</v>
      </c>
      <c r="C44" t="s">
        <v>233</v>
      </c>
      <c r="D44" t="s">
        <v>234</v>
      </c>
      <c r="E44" t="str">
        <f>_xlfn.XLOOKUP(B44,'Rural population'!$C$2:$C$200,'Rural population'!$G$2:$G$200)</f>
        <v>Central Europe</v>
      </c>
      <c r="F44" t="s">
        <v>252</v>
      </c>
      <c r="G44" t="s">
        <v>252</v>
      </c>
      <c r="H44">
        <v>271.55799999999999</v>
      </c>
      <c r="I44">
        <v>234.852</v>
      </c>
      <c r="J44">
        <v>240.22399999999999</v>
      </c>
      <c r="K44">
        <v>290.55500000000001</v>
      </c>
      <c r="L44">
        <v>328.39299999999997</v>
      </c>
      <c r="M44">
        <v>357.65100000000001</v>
      </c>
      <c r="N44">
        <v>387.56</v>
      </c>
      <c r="O44">
        <v>424.54700000000003</v>
      </c>
      <c r="P44">
        <v>460.39699999999999</v>
      </c>
      <c r="Q44">
        <v>494.05</v>
      </c>
      <c r="R44">
        <v>526.779</v>
      </c>
      <c r="S44">
        <v>557.96100000000001</v>
      </c>
      <c r="T44">
        <v>587.66999999999996</v>
      </c>
      <c r="U44">
        <v>618.63499999999999</v>
      </c>
      <c r="V44">
        <v>649.52499999999998</v>
      </c>
      <c r="W44">
        <v>680.54899999999998</v>
      </c>
      <c r="X44">
        <v>709.63199999999995</v>
      </c>
      <c r="Y44">
        <v>736.01800000000003</v>
      </c>
      <c r="Z44">
        <v>759.95</v>
      </c>
      <c r="AA44">
        <v>782.21799999999996</v>
      </c>
      <c r="AB44">
        <v>803.20399999999995</v>
      </c>
      <c r="AC44">
        <v>822.92499999999995</v>
      </c>
      <c r="AD44">
        <v>840.15</v>
      </c>
    </row>
    <row r="45" spans="1:30" x14ac:dyDescent="0.25">
      <c r="A45" t="s">
        <v>232</v>
      </c>
      <c r="B45" t="s">
        <v>77</v>
      </c>
      <c r="C45" t="s">
        <v>233</v>
      </c>
      <c r="D45" t="s">
        <v>234</v>
      </c>
      <c r="E45" t="str">
        <f>_xlfn.XLOOKUP(B45,'Rural population'!$C$2:$C$200,'Rural population'!$G$2:$G$200)</f>
        <v>Western Europe</v>
      </c>
      <c r="F45">
        <v>2316.44</v>
      </c>
      <c r="G45">
        <v>2485.12</v>
      </c>
      <c r="H45">
        <v>2921.95</v>
      </c>
      <c r="I45">
        <v>3216.22</v>
      </c>
      <c r="J45">
        <v>3284.5</v>
      </c>
      <c r="K45">
        <v>3368.11</v>
      </c>
      <c r="L45">
        <v>3569.26</v>
      </c>
      <c r="M45">
        <v>3885.63</v>
      </c>
      <c r="N45">
        <v>3998.7</v>
      </c>
      <c r="O45">
        <v>4276.21</v>
      </c>
      <c r="P45">
        <v>4501.66</v>
      </c>
      <c r="Q45">
        <v>4741.78</v>
      </c>
      <c r="R45">
        <v>5023.1499999999996</v>
      </c>
      <c r="S45">
        <v>5321.68</v>
      </c>
      <c r="T45">
        <v>5608.85</v>
      </c>
      <c r="U45">
        <v>5882.48</v>
      </c>
      <c r="V45">
        <v>6151.34</v>
      </c>
      <c r="W45">
        <v>6423.16</v>
      </c>
      <c r="X45">
        <v>6693.49</v>
      </c>
      <c r="Y45">
        <v>6954.63</v>
      </c>
      <c r="Z45">
        <v>7188.15</v>
      </c>
      <c r="AA45">
        <v>7382.04</v>
      </c>
      <c r="AB45">
        <v>7537.4</v>
      </c>
      <c r="AC45">
        <v>7660.93</v>
      </c>
      <c r="AD45">
        <v>7755.9</v>
      </c>
    </row>
    <row r="46" spans="1:30" x14ac:dyDescent="0.25">
      <c r="A46" t="s">
        <v>232</v>
      </c>
      <c r="B46" t="s">
        <v>78</v>
      </c>
      <c r="C46" t="s">
        <v>233</v>
      </c>
      <c r="D46" t="s">
        <v>234</v>
      </c>
      <c r="E46" t="str">
        <f>_xlfn.XLOOKUP(B46,'Rural population'!$C$2:$C$200,'Rural population'!$G$2:$G$200)</f>
        <v>Eastern Africa</v>
      </c>
      <c r="F46" t="s">
        <v>252</v>
      </c>
      <c r="G46" t="s">
        <v>252</v>
      </c>
      <c r="H46">
        <v>2.52847</v>
      </c>
      <c r="I46">
        <v>2.15848</v>
      </c>
      <c r="J46">
        <v>2.1300699999999999</v>
      </c>
      <c r="K46">
        <v>2.4477500000000001</v>
      </c>
      <c r="L46">
        <v>3.0172400000000001</v>
      </c>
      <c r="M46">
        <v>4.09931</v>
      </c>
      <c r="N46">
        <v>5.1885700000000003</v>
      </c>
      <c r="O46">
        <v>6.57003</v>
      </c>
      <c r="P46">
        <v>8.6472899999999999</v>
      </c>
      <c r="Q46">
        <v>11.7591</v>
      </c>
      <c r="R46">
        <v>14.9064</v>
      </c>
      <c r="S46">
        <v>18.203499999999998</v>
      </c>
      <c r="T46">
        <v>21.744599999999998</v>
      </c>
      <c r="U46">
        <v>25.576000000000001</v>
      </c>
      <c r="V46">
        <v>29.694900000000001</v>
      </c>
      <c r="W46">
        <v>34.076099999999997</v>
      </c>
      <c r="X46">
        <v>38.576900000000002</v>
      </c>
      <c r="Y46">
        <v>43.179900000000004</v>
      </c>
      <c r="Z46">
        <v>47.829799999999999</v>
      </c>
      <c r="AA46">
        <v>52.493400000000001</v>
      </c>
      <c r="AB46">
        <v>57.231499999999997</v>
      </c>
      <c r="AC46">
        <v>62.054699999999997</v>
      </c>
      <c r="AD46">
        <v>66.931200000000004</v>
      </c>
    </row>
    <row r="47" spans="1:30" x14ac:dyDescent="0.25">
      <c r="A47" t="s">
        <v>232</v>
      </c>
      <c r="B47" t="s">
        <v>79</v>
      </c>
      <c r="C47" t="s">
        <v>233</v>
      </c>
      <c r="D47" t="s">
        <v>234</v>
      </c>
      <c r="E47" t="str">
        <f>_xlfn.XLOOKUP(B47,'Rural population'!$C$2:$C$200,'Rural population'!$G$2:$G$200)</f>
        <v>Western Europe</v>
      </c>
      <c r="F47">
        <v>163.197</v>
      </c>
      <c r="G47">
        <v>186.822</v>
      </c>
      <c r="H47">
        <v>200.64099999999999</v>
      </c>
      <c r="I47">
        <v>225.11699999999999</v>
      </c>
      <c r="J47">
        <v>242.15</v>
      </c>
      <c r="K47">
        <v>258.71600000000001</v>
      </c>
      <c r="L47">
        <v>261.45400000000001</v>
      </c>
      <c r="M47">
        <v>278.74900000000002</v>
      </c>
      <c r="N47">
        <v>298.88600000000002</v>
      </c>
      <c r="O47">
        <v>341.173</v>
      </c>
      <c r="P47">
        <v>364.74200000000002</v>
      </c>
      <c r="Q47">
        <v>388.06400000000002</v>
      </c>
      <c r="R47">
        <v>412.12900000000002</v>
      </c>
      <c r="S47">
        <v>438.32600000000002</v>
      </c>
      <c r="T47">
        <v>465.92099999999999</v>
      </c>
      <c r="U47">
        <v>493.76100000000002</v>
      </c>
      <c r="V47">
        <v>522.05100000000004</v>
      </c>
      <c r="W47">
        <v>551.28899999999999</v>
      </c>
      <c r="X47">
        <v>579.53099999999995</v>
      </c>
      <c r="Y47">
        <v>606.31399999999996</v>
      </c>
      <c r="Z47">
        <v>631.60500000000002</v>
      </c>
      <c r="AA47">
        <v>654.36099999999999</v>
      </c>
      <c r="AB47">
        <v>673.95</v>
      </c>
      <c r="AC47">
        <v>690.57100000000003</v>
      </c>
      <c r="AD47">
        <v>704.71699999999998</v>
      </c>
    </row>
    <row r="48" spans="1:30" x14ac:dyDescent="0.25">
      <c r="A48" t="s">
        <v>232</v>
      </c>
      <c r="B48" t="s">
        <v>80</v>
      </c>
      <c r="C48" t="s">
        <v>233</v>
      </c>
      <c r="D48" t="s">
        <v>234</v>
      </c>
      <c r="E48" t="str">
        <f>_xlfn.XLOOKUP(B48,'Rural population'!$C$2:$C$200,'Rural population'!$G$2:$G$200)</f>
        <v>Central America</v>
      </c>
      <c r="F48">
        <v>35.007899999999999</v>
      </c>
      <c r="G48">
        <v>38.496299999999998</v>
      </c>
      <c r="H48">
        <v>44.250300000000003</v>
      </c>
      <c r="I48">
        <v>57.837800000000001</v>
      </c>
      <c r="J48">
        <v>78.971299999999999</v>
      </c>
      <c r="K48">
        <v>93.622699999999995</v>
      </c>
      <c r="L48">
        <v>123.92700000000001</v>
      </c>
      <c r="M48">
        <v>157.602</v>
      </c>
      <c r="N48">
        <v>184.447</v>
      </c>
      <c r="O48">
        <v>247.21700000000001</v>
      </c>
      <c r="P48">
        <v>315.41800000000001</v>
      </c>
      <c r="Q48">
        <v>389.26799999999997</v>
      </c>
      <c r="R48">
        <v>462.61</v>
      </c>
      <c r="S48">
        <v>536.93299999999999</v>
      </c>
      <c r="T48">
        <v>613.02499999999998</v>
      </c>
      <c r="U48">
        <v>691.10199999999998</v>
      </c>
      <c r="V48">
        <v>771.01300000000003</v>
      </c>
      <c r="W48">
        <v>854.03399999999999</v>
      </c>
      <c r="X48">
        <v>938.03499999999997</v>
      </c>
      <c r="Y48">
        <v>1022.62</v>
      </c>
      <c r="Z48">
        <v>1106.3599999999999</v>
      </c>
      <c r="AA48">
        <v>1189.02</v>
      </c>
      <c r="AB48">
        <v>1271.43</v>
      </c>
      <c r="AC48">
        <v>1354.2</v>
      </c>
      <c r="AD48">
        <v>1438</v>
      </c>
    </row>
    <row r="49" spans="1:30" x14ac:dyDescent="0.25">
      <c r="A49" t="s">
        <v>232</v>
      </c>
      <c r="B49" t="s">
        <v>81</v>
      </c>
      <c r="C49" t="s">
        <v>233</v>
      </c>
      <c r="D49" t="s">
        <v>234</v>
      </c>
      <c r="E49" t="str">
        <f>_xlfn.XLOOKUP(B49,'Rural population'!$C$2:$C$200,'Rural population'!$G$2:$G$200)</f>
        <v>Northern Africa</v>
      </c>
      <c r="F49">
        <v>168.22900000000001</v>
      </c>
      <c r="G49">
        <v>216.69399999999999</v>
      </c>
      <c r="H49">
        <v>222.54499999999999</v>
      </c>
      <c r="I49">
        <v>225.06700000000001</v>
      </c>
      <c r="J49">
        <v>265.91300000000001</v>
      </c>
      <c r="K49">
        <v>342.46499999999997</v>
      </c>
      <c r="L49">
        <v>388.03199999999998</v>
      </c>
      <c r="M49">
        <v>456.84899999999999</v>
      </c>
      <c r="N49">
        <v>463.72199999999998</v>
      </c>
      <c r="O49">
        <v>543.28800000000001</v>
      </c>
      <c r="P49">
        <v>596.25900000000001</v>
      </c>
      <c r="Q49">
        <v>666.65300000000002</v>
      </c>
      <c r="R49">
        <v>742.76300000000003</v>
      </c>
      <c r="S49">
        <v>834.654</v>
      </c>
      <c r="T49">
        <v>949.78</v>
      </c>
      <c r="U49">
        <v>1092.8699999999999</v>
      </c>
      <c r="V49">
        <v>1268.21</v>
      </c>
      <c r="W49">
        <v>1478.38</v>
      </c>
      <c r="X49">
        <v>1716.27</v>
      </c>
      <c r="Y49">
        <v>1982.76</v>
      </c>
      <c r="Z49">
        <v>2279.87</v>
      </c>
      <c r="AA49">
        <v>2613.85</v>
      </c>
      <c r="AB49">
        <v>2991.33</v>
      </c>
      <c r="AC49">
        <v>3415.15</v>
      </c>
      <c r="AD49">
        <v>3879.99</v>
      </c>
    </row>
    <row r="50" spans="1:30" x14ac:dyDescent="0.25">
      <c r="A50" t="s">
        <v>232</v>
      </c>
      <c r="B50" t="s">
        <v>82</v>
      </c>
      <c r="C50" t="s">
        <v>233</v>
      </c>
      <c r="D50" t="s">
        <v>234</v>
      </c>
      <c r="E50" t="str">
        <f>_xlfn.XLOOKUP(B50,'Rural population'!$C$2:$C$200,'Rural population'!$G$2:$G$200)</f>
        <v>Rest of South America</v>
      </c>
      <c r="F50">
        <v>67.433199999999999</v>
      </c>
      <c r="G50">
        <v>74.974599999999995</v>
      </c>
      <c r="H50">
        <v>82.947599999999994</v>
      </c>
      <c r="I50">
        <v>98.236599999999996</v>
      </c>
      <c r="J50">
        <v>103.684</v>
      </c>
      <c r="K50">
        <v>131.39500000000001</v>
      </c>
      <c r="L50">
        <v>155.22900000000001</v>
      </c>
      <c r="M50">
        <v>192.86500000000001</v>
      </c>
      <c r="N50">
        <v>182.16499999999999</v>
      </c>
      <c r="O50">
        <v>205.77600000000001</v>
      </c>
      <c r="P50">
        <v>235.005</v>
      </c>
      <c r="Q50">
        <v>270.48399999999998</v>
      </c>
      <c r="R50">
        <v>312.125</v>
      </c>
      <c r="S50">
        <v>360.57100000000003</v>
      </c>
      <c r="T50">
        <v>416.19099999999997</v>
      </c>
      <c r="U50">
        <v>479.20600000000002</v>
      </c>
      <c r="V50">
        <v>550.06600000000003</v>
      </c>
      <c r="W50">
        <v>628.96199999999999</v>
      </c>
      <c r="X50">
        <v>713.428</v>
      </c>
      <c r="Y50">
        <v>801.91800000000001</v>
      </c>
      <c r="Z50">
        <v>892.46699999999998</v>
      </c>
      <c r="AA50">
        <v>984.39</v>
      </c>
      <c r="AB50">
        <v>1077.3599999999999</v>
      </c>
      <c r="AC50">
        <v>1171.25</v>
      </c>
      <c r="AD50">
        <v>1266.06</v>
      </c>
    </row>
    <row r="51" spans="1:30" x14ac:dyDescent="0.25">
      <c r="A51" t="s">
        <v>232</v>
      </c>
      <c r="B51" t="s">
        <v>83</v>
      </c>
      <c r="C51" t="s">
        <v>233</v>
      </c>
      <c r="D51" t="s">
        <v>234</v>
      </c>
      <c r="E51" t="str">
        <f>_xlfn.XLOOKUP(B51,'Rural population'!$C$2:$C$200,'Rural population'!$G$2:$G$200)</f>
        <v>Northern Africa</v>
      </c>
      <c r="F51">
        <v>216.864</v>
      </c>
      <c r="G51">
        <v>300.44299999999998</v>
      </c>
      <c r="H51">
        <v>359.77</v>
      </c>
      <c r="I51">
        <v>412.69799999999998</v>
      </c>
      <c r="J51">
        <v>551.31899999999996</v>
      </c>
      <c r="K51">
        <v>660.89300000000003</v>
      </c>
      <c r="L51">
        <v>891.81399999999996</v>
      </c>
      <c r="M51">
        <v>1029.48</v>
      </c>
      <c r="N51">
        <v>1288.6600000000001</v>
      </c>
      <c r="O51">
        <v>1608.55</v>
      </c>
      <c r="P51">
        <v>2138.34</v>
      </c>
      <c r="Q51">
        <v>2823</v>
      </c>
      <c r="R51">
        <v>3654.92</v>
      </c>
      <c r="S51">
        <v>4643.7700000000004</v>
      </c>
      <c r="T51">
        <v>5804.68</v>
      </c>
      <c r="U51">
        <v>7154.67</v>
      </c>
      <c r="V51">
        <v>8692.43</v>
      </c>
      <c r="W51">
        <v>10395.9</v>
      </c>
      <c r="X51">
        <v>12201.9</v>
      </c>
      <c r="Y51">
        <v>14116.3</v>
      </c>
      <c r="Z51">
        <v>16121.9</v>
      </c>
      <c r="AA51">
        <v>18209.900000000001</v>
      </c>
      <c r="AB51">
        <v>20387.599999999999</v>
      </c>
      <c r="AC51">
        <v>22651</v>
      </c>
      <c r="AD51">
        <v>24978.5</v>
      </c>
    </row>
    <row r="52" spans="1:30" x14ac:dyDescent="0.25">
      <c r="A52" t="s">
        <v>232</v>
      </c>
      <c r="B52" t="s">
        <v>84</v>
      </c>
      <c r="C52" t="s">
        <v>233</v>
      </c>
      <c r="D52" t="s">
        <v>234</v>
      </c>
      <c r="E52" t="str">
        <f>_xlfn.XLOOKUP(B52,'Rural population'!$C$2:$C$200,'Rural population'!$G$2:$G$200)</f>
        <v>Eastern Africa</v>
      </c>
      <c r="F52" t="s">
        <v>252</v>
      </c>
      <c r="G52" t="s">
        <v>252</v>
      </c>
      <c r="H52" t="s">
        <v>252</v>
      </c>
      <c r="I52">
        <v>3.7832600000000003</v>
      </c>
      <c r="J52">
        <v>3.9888599999999999</v>
      </c>
      <c r="K52">
        <v>4.5264899999999999</v>
      </c>
      <c r="L52">
        <v>4.5549900000000001</v>
      </c>
      <c r="M52">
        <v>5.4295200000000001</v>
      </c>
      <c r="N52">
        <v>6.1254999999999997</v>
      </c>
      <c r="O52">
        <v>7.0400700000000001</v>
      </c>
      <c r="P52">
        <v>8.3942099999999993</v>
      </c>
      <c r="Q52">
        <v>10.652900000000001</v>
      </c>
      <c r="R52">
        <v>14.0091</v>
      </c>
      <c r="S52">
        <v>18.692599999999999</v>
      </c>
      <c r="T52">
        <v>24.841200000000001</v>
      </c>
      <c r="U52">
        <v>32.563200000000002</v>
      </c>
      <c r="V52">
        <v>41.935600000000001</v>
      </c>
      <c r="W52">
        <v>53.174999999999997</v>
      </c>
      <c r="X52">
        <v>66.367400000000004</v>
      </c>
      <c r="Y52">
        <v>81.779899999999998</v>
      </c>
      <c r="Z52">
        <v>99.3583</v>
      </c>
      <c r="AA52">
        <v>118.999</v>
      </c>
      <c r="AB52">
        <v>140.71799999999999</v>
      </c>
      <c r="AC52">
        <v>164.751</v>
      </c>
      <c r="AD52">
        <v>191.48599999999999</v>
      </c>
    </row>
    <row r="53" spans="1:30" x14ac:dyDescent="0.25">
      <c r="A53" t="s">
        <v>232</v>
      </c>
      <c r="B53" t="s">
        <v>85</v>
      </c>
      <c r="C53" t="s">
        <v>233</v>
      </c>
      <c r="D53" t="s">
        <v>234</v>
      </c>
      <c r="E53" t="str">
        <f>_xlfn.XLOOKUP(B53,'Rural population'!$C$2:$C$200,'Rural population'!$G$2:$G$200)</f>
        <v>Northern Africa</v>
      </c>
      <c r="F53" t="s">
        <v>252</v>
      </c>
      <c r="G53" t="s">
        <v>252</v>
      </c>
      <c r="H53" t="s">
        <v>252</v>
      </c>
      <c r="I53" t="s">
        <v>252</v>
      </c>
      <c r="J53" t="s">
        <v>252</v>
      </c>
      <c r="K53" t="s">
        <v>252</v>
      </c>
      <c r="L53" t="s">
        <v>252</v>
      </c>
      <c r="M53" t="s">
        <v>252</v>
      </c>
      <c r="N53">
        <v>0.98215299999999994</v>
      </c>
      <c r="O53">
        <v>1.1495599999999999</v>
      </c>
      <c r="P53">
        <v>1.2688900000000001</v>
      </c>
      <c r="Q53">
        <v>1.4841299999999999</v>
      </c>
      <c r="R53">
        <v>1.7751600000000001</v>
      </c>
      <c r="S53">
        <v>2.1526999999999998</v>
      </c>
      <c r="T53">
        <v>2.64181</v>
      </c>
      <c r="U53">
        <v>3.2801499999999999</v>
      </c>
      <c r="V53">
        <v>4.1124799999999997</v>
      </c>
      <c r="W53">
        <v>5.1776999999999997</v>
      </c>
      <c r="X53">
        <v>6.5034200000000002</v>
      </c>
      <c r="Y53">
        <v>8.1392399999999991</v>
      </c>
      <c r="Z53">
        <v>10.140499999999999</v>
      </c>
      <c r="AA53">
        <v>12.5496</v>
      </c>
      <c r="AB53">
        <v>15.3971</v>
      </c>
      <c r="AC53">
        <v>18.6934</v>
      </c>
      <c r="AD53">
        <v>22.4255</v>
      </c>
    </row>
    <row r="54" spans="1:30" x14ac:dyDescent="0.25">
      <c r="A54" t="s">
        <v>232</v>
      </c>
      <c r="B54" t="s">
        <v>86</v>
      </c>
      <c r="C54" t="s">
        <v>233</v>
      </c>
      <c r="D54" t="s">
        <v>234</v>
      </c>
      <c r="E54" t="str">
        <f>_xlfn.XLOOKUP(B54,'Rural population'!$C$2:$C$200,'Rural population'!$G$2:$G$200)</f>
        <v>Western Europe</v>
      </c>
      <c r="F54">
        <v>801.702</v>
      </c>
      <c r="G54">
        <v>859.17</v>
      </c>
      <c r="H54">
        <v>1070.56</v>
      </c>
      <c r="I54">
        <v>1153.6600000000001</v>
      </c>
      <c r="J54">
        <v>1316.71</v>
      </c>
      <c r="K54">
        <v>1547.53</v>
      </c>
      <c r="L54">
        <v>1623.17</v>
      </c>
      <c r="M54">
        <v>1621.84</v>
      </c>
      <c r="N54">
        <v>1594.61</v>
      </c>
      <c r="O54">
        <v>1900.93</v>
      </c>
      <c r="P54">
        <v>2035.67</v>
      </c>
      <c r="Q54">
        <v>2218.54</v>
      </c>
      <c r="R54">
        <v>2430.13</v>
      </c>
      <c r="S54">
        <v>2654.03</v>
      </c>
      <c r="T54">
        <v>2884.21</v>
      </c>
      <c r="U54">
        <v>3121.68</v>
      </c>
      <c r="V54">
        <v>3363.09</v>
      </c>
      <c r="W54">
        <v>3595.26</v>
      </c>
      <c r="X54">
        <v>3800.88</v>
      </c>
      <c r="Y54">
        <v>3982.46</v>
      </c>
      <c r="Z54">
        <v>4146.6499999999996</v>
      </c>
      <c r="AA54">
        <v>4299.8100000000004</v>
      </c>
      <c r="AB54">
        <v>4442.6099999999997</v>
      </c>
      <c r="AC54">
        <v>4569.6000000000004</v>
      </c>
      <c r="AD54">
        <v>4671.2700000000004</v>
      </c>
    </row>
    <row r="55" spans="1:30" x14ac:dyDescent="0.25">
      <c r="A55" t="s">
        <v>232</v>
      </c>
      <c r="B55" t="s">
        <v>87</v>
      </c>
      <c r="C55" t="s">
        <v>233</v>
      </c>
      <c r="D55" t="s">
        <v>234</v>
      </c>
      <c r="E55" t="str">
        <f>_xlfn.XLOOKUP(B55,'Rural population'!$C$2:$C$200,'Rural population'!$G$2:$G$200)</f>
        <v>Central Europe</v>
      </c>
      <c r="F55" t="s">
        <v>252</v>
      </c>
      <c r="G55" t="s">
        <v>252</v>
      </c>
      <c r="H55" t="s">
        <v>252</v>
      </c>
      <c r="I55">
        <v>18.3139</v>
      </c>
      <c r="J55">
        <v>23.253699999999998</v>
      </c>
      <c r="K55">
        <v>33.082999999999998</v>
      </c>
      <c r="L55">
        <v>32.532800000000002</v>
      </c>
      <c r="M55">
        <v>38.356000000000002</v>
      </c>
      <c r="N55">
        <v>44.700800000000001</v>
      </c>
      <c r="O55">
        <v>47.963299999999997</v>
      </c>
      <c r="P55">
        <v>56.752000000000002</v>
      </c>
      <c r="Q55">
        <v>62.433500000000002</v>
      </c>
      <c r="R55">
        <v>66.567400000000006</v>
      </c>
      <c r="S55">
        <v>69.351299999999995</v>
      </c>
      <c r="T55">
        <v>71.454300000000003</v>
      </c>
      <c r="U55">
        <v>73.335599999999999</v>
      </c>
      <c r="V55">
        <v>75.390199999999993</v>
      </c>
      <c r="W55">
        <v>77.424000000000007</v>
      </c>
      <c r="X55">
        <v>79.090699999999998</v>
      </c>
      <c r="Y55">
        <v>80.314499999999995</v>
      </c>
      <c r="Z55">
        <v>81.102500000000006</v>
      </c>
      <c r="AA55">
        <v>81.561800000000005</v>
      </c>
      <c r="AB55">
        <v>81.818399999999997</v>
      </c>
      <c r="AC55">
        <v>81.919399999999996</v>
      </c>
      <c r="AD55">
        <v>81.7684</v>
      </c>
    </row>
    <row r="56" spans="1:30" x14ac:dyDescent="0.25">
      <c r="A56" t="s">
        <v>232</v>
      </c>
      <c r="B56" t="s">
        <v>88</v>
      </c>
      <c r="C56" t="s">
        <v>233</v>
      </c>
      <c r="D56" t="s">
        <v>234</v>
      </c>
      <c r="E56" t="str">
        <f>_xlfn.XLOOKUP(B56,'Rural population'!$C$2:$C$200,'Rural population'!$G$2:$G$200)</f>
        <v>Eastern Africa</v>
      </c>
      <c r="F56">
        <v>29.6188</v>
      </c>
      <c r="G56">
        <v>27.910499999999999</v>
      </c>
      <c r="H56">
        <v>35.810099999999998</v>
      </c>
      <c r="I56">
        <v>37.679900000000004</v>
      </c>
      <c r="J56">
        <v>49.2136</v>
      </c>
      <c r="K56">
        <v>66.123699999999999</v>
      </c>
      <c r="L56">
        <v>111.51300000000001</v>
      </c>
      <c r="M56">
        <v>180.71100000000001</v>
      </c>
      <c r="N56">
        <v>267.89699999999999</v>
      </c>
      <c r="O56">
        <v>363.20699999999999</v>
      </c>
      <c r="P56">
        <v>508.13499999999999</v>
      </c>
      <c r="Q56">
        <v>702.46799999999996</v>
      </c>
      <c r="R56">
        <v>947.49300000000005</v>
      </c>
      <c r="S56">
        <v>1261.73</v>
      </c>
      <c r="T56">
        <v>1658.1</v>
      </c>
      <c r="U56">
        <v>2150.23</v>
      </c>
      <c r="V56">
        <v>2751.48</v>
      </c>
      <c r="W56">
        <v>3479.28</v>
      </c>
      <c r="X56">
        <v>4334.97</v>
      </c>
      <c r="Y56">
        <v>5328.9</v>
      </c>
      <c r="Z56">
        <v>6453.35</v>
      </c>
      <c r="AA56">
        <v>7700.59</v>
      </c>
      <c r="AB56">
        <v>9069.1200000000008</v>
      </c>
      <c r="AC56">
        <v>10558.5</v>
      </c>
      <c r="AD56">
        <v>12171.6</v>
      </c>
    </row>
    <row r="57" spans="1:30" x14ac:dyDescent="0.25">
      <c r="A57" t="s">
        <v>232</v>
      </c>
      <c r="B57" t="s">
        <v>89</v>
      </c>
      <c r="C57" t="s">
        <v>233</v>
      </c>
      <c r="D57" t="s">
        <v>234</v>
      </c>
      <c r="E57" t="str">
        <f>_xlfn.XLOOKUP(B57,'Rural population'!$C$2:$C$200,'Rural population'!$G$2:$G$200)</f>
        <v>Western Europe</v>
      </c>
      <c r="F57">
        <v>121.535</v>
      </c>
      <c r="G57">
        <v>139.042</v>
      </c>
      <c r="H57">
        <v>164.339</v>
      </c>
      <c r="I57">
        <v>160.98599999999999</v>
      </c>
      <c r="J57">
        <v>194.702</v>
      </c>
      <c r="K57">
        <v>221.52500000000001</v>
      </c>
      <c r="L57">
        <v>231.98099999999999</v>
      </c>
      <c r="M57">
        <v>232.86500000000001</v>
      </c>
      <c r="N57">
        <v>246.971</v>
      </c>
      <c r="O57">
        <v>265.78800000000001</v>
      </c>
      <c r="P57">
        <v>285.82299999999998</v>
      </c>
      <c r="Q57">
        <v>302.77600000000001</v>
      </c>
      <c r="R57">
        <v>320.19799999999998</v>
      </c>
      <c r="S57">
        <v>337.99799999999999</v>
      </c>
      <c r="T57">
        <v>356.37700000000001</v>
      </c>
      <c r="U57">
        <v>376.25700000000001</v>
      </c>
      <c r="V57">
        <v>398.12599999999998</v>
      </c>
      <c r="W57">
        <v>421.685</v>
      </c>
      <c r="X57">
        <v>445.04399999999998</v>
      </c>
      <c r="Y57">
        <v>467.173</v>
      </c>
      <c r="Z57">
        <v>487.71600000000001</v>
      </c>
      <c r="AA57">
        <v>507.00299999999999</v>
      </c>
      <c r="AB57">
        <v>525.34500000000003</v>
      </c>
      <c r="AC57">
        <v>542.78499999999997</v>
      </c>
      <c r="AD57">
        <v>558.80899999999997</v>
      </c>
    </row>
    <row r="58" spans="1:30" x14ac:dyDescent="0.25">
      <c r="A58" t="s">
        <v>232</v>
      </c>
      <c r="B58" t="s">
        <v>90</v>
      </c>
      <c r="C58" t="s">
        <v>233</v>
      </c>
      <c r="D58" t="s">
        <v>234</v>
      </c>
      <c r="E58" t="str">
        <f>_xlfn.XLOOKUP(B58,'Rural population'!$C$2:$C$200,'Rural population'!$G$2:$G$200)</f>
        <v>Oceania</v>
      </c>
      <c r="F58">
        <v>4.7847200000000001</v>
      </c>
      <c r="G58">
        <v>5.0913199999999996</v>
      </c>
      <c r="H58">
        <v>6.2800900000000004</v>
      </c>
      <c r="I58">
        <v>7.1725200000000005</v>
      </c>
      <c r="J58">
        <v>7.9407199999999998</v>
      </c>
      <c r="K58">
        <v>8.7567900000000005</v>
      </c>
      <c r="L58">
        <v>9.0702300000000005</v>
      </c>
      <c r="M58">
        <v>10.918900000000001</v>
      </c>
      <c r="N58">
        <v>10.090299999999999</v>
      </c>
      <c r="O58">
        <v>13.3352</v>
      </c>
      <c r="P58">
        <v>15.6828</v>
      </c>
      <c r="Q58">
        <v>18.3736</v>
      </c>
      <c r="R58">
        <v>21.529499999999999</v>
      </c>
      <c r="S58">
        <v>25.146899999999999</v>
      </c>
      <c r="T58">
        <v>29.212299999999999</v>
      </c>
      <c r="U58">
        <v>33.754399999999997</v>
      </c>
      <c r="V58">
        <v>38.733199999999997</v>
      </c>
      <c r="W58">
        <v>44.1496</v>
      </c>
      <c r="X58">
        <v>49.933599999999998</v>
      </c>
      <c r="Y58">
        <v>56.0852</v>
      </c>
      <c r="Z58">
        <v>62.626399999999997</v>
      </c>
      <c r="AA58">
        <v>69.582499999999996</v>
      </c>
      <c r="AB58">
        <v>76.949100000000001</v>
      </c>
      <c r="AC58">
        <v>84.750799999999998</v>
      </c>
      <c r="AD58">
        <v>92.982399999999998</v>
      </c>
    </row>
    <row r="59" spans="1:30" x14ac:dyDescent="0.25">
      <c r="A59" t="s">
        <v>232</v>
      </c>
      <c r="B59" t="s">
        <v>91</v>
      </c>
      <c r="C59" t="s">
        <v>233</v>
      </c>
      <c r="D59" t="s">
        <v>234</v>
      </c>
      <c r="E59" t="str">
        <f>_xlfn.XLOOKUP(B59,'Rural population'!$C$2:$C$200,'Rural population'!$G$2:$G$200)</f>
        <v>Western Europe</v>
      </c>
      <c r="F59">
        <v>1537.29</v>
      </c>
      <c r="G59">
        <v>1665.42</v>
      </c>
      <c r="H59">
        <v>1965.34</v>
      </c>
      <c r="I59">
        <v>2096.5100000000002</v>
      </c>
      <c r="J59">
        <v>2283.48</v>
      </c>
      <c r="K59">
        <v>2477.34</v>
      </c>
      <c r="L59">
        <v>2580.44</v>
      </c>
      <c r="M59">
        <v>2719.94</v>
      </c>
      <c r="N59">
        <v>2695.32</v>
      </c>
      <c r="O59">
        <v>3022.77</v>
      </c>
      <c r="P59">
        <v>3265.75</v>
      </c>
      <c r="Q59">
        <v>3486.36</v>
      </c>
      <c r="R59">
        <v>3711.23</v>
      </c>
      <c r="S59">
        <v>3940.75</v>
      </c>
      <c r="T59">
        <v>4178.93</v>
      </c>
      <c r="U59">
        <v>4428.96</v>
      </c>
      <c r="V59">
        <v>4693.29</v>
      </c>
      <c r="W59">
        <v>4968.2299999999996</v>
      </c>
      <c r="X59">
        <v>5243.91</v>
      </c>
      <c r="Y59">
        <v>5522.48</v>
      </c>
      <c r="Z59">
        <v>5807.52</v>
      </c>
      <c r="AA59">
        <v>6099.91</v>
      </c>
      <c r="AB59">
        <v>6398.21</v>
      </c>
      <c r="AC59">
        <v>6696.51</v>
      </c>
      <c r="AD59">
        <v>6982.91</v>
      </c>
    </row>
    <row r="60" spans="1:30" x14ac:dyDescent="0.25">
      <c r="A60" t="s">
        <v>232</v>
      </c>
      <c r="B60" t="s">
        <v>92</v>
      </c>
      <c r="C60" t="s">
        <v>233</v>
      </c>
      <c r="D60" t="s">
        <v>234</v>
      </c>
      <c r="E60" t="str">
        <f>_xlfn.XLOOKUP(B60,'Rural population'!$C$2:$C$200,'Rural population'!$G$2:$G$200)</f>
        <v>Oceania</v>
      </c>
      <c r="F60" t="s">
        <v>252</v>
      </c>
      <c r="G60" t="s">
        <v>252</v>
      </c>
      <c r="H60">
        <v>0.28844900000000001</v>
      </c>
      <c r="I60">
        <v>0.326602</v>
      </c>
      <c r="J60">
        <v>0.325235</v>
      </c>
      <c r="K60">
        <v>0.33480099999999996</v>
      </c>
      <c r="L60">
        <v>0.33206799999999997</v>
      </c>
      <c r="M60">
        <v>0.33070099999999997</v>
      </c>
      <c r="N60">
        <v>0.337534</v>
      </c>
      <c r="O60">
        <v>0.35393199999999997</v>
      </c>
      <c r="P60">
        <v>0.37526499999999996</v>
      </c>
      <c r="Q60">
        <v>0.428452</v>
      </c>
      <c r="R60">
        <v>0.51525699999999997</v>
      </c>
      <c r="S60">
        <v>0.640459</v>
      </c>
      <c r="T60">
        <v>0.81223499999999993</v>
      </c>
      <c r="U60">
        <v>1.0384199999999999</v>
      </c>
      <c r="V60">
        <v>1.3268500000000001</v>
      </c>
      <c r="W60">
        <v>1.6912600000000002</v>
      </c>
      <c r="X60">
        <v>2.1368999999999998</v>
      </c>
      <c r="Y60">
        <v>2.6733700000000002</v>
      </c>
      <c r="Z60">
        <v>3.30457</v>
      </c>
      <c r="AA60">
        <v>4.0330399999999997</v>
      </c>
      <c r="AB60">
        <v>4.8594100000000005</v>
      </c>
      <c r="AC60">
        <v>5.7852399999999999</v>
      </c>
      <c r="AD60">
        <v>6.8191300000000004</v>
      </c>
    </row>
    <row r="61" spans="1:30" x14ac:dyDescent="0.25">
      <c r="A61" t="s">
        <v>232</v>
      </c>
      <c r="B61" t="s">
        <v>93</v>
      </c>
      <c r="C61" t="s">
        <v>233</v>
      </c>
      <c r="D61" t="s">
        <v>234</v>
      </c>
      <c r="E61" t="str">
        <f>_xlfn.XLOOKUP(B61,'Rural population'!$C$2:$C$200,'Rural population'!$G$2:$G$200)</f>
        <v>Western Africa</v>
      </c>
      <c r="F61">
        <v>14.662599999999999</v>
      </c>
      <c r="G61">
        <v>16.588000000000001</v>
      </c>
      <c r="H61">
        <v>17.258600000000001</v>
      </c>
      <c r="I61">
        <v>20.087399999999999</v>
      </c>
      <c r="J61">
        <v>20.348099999999999</v>
      </c>
      <c r="K61">
        <v>21.247299999999999</v>
      </c>
      <c r="L61">
        <v>23.4133</v>
      </c>
      <c r="M61">
        <v>30.209399999999999</v>
      </c>
      <c r="N61">
        <v>31.8749</v>
      </c>
      <c r="O61">
        <v>36.002499999999998</v>
      </c>
      <c r="P61">
        <v>42.019799999999996</v>
      </c>
      <c r="Q61">
        <v>50.812800000000003</v>
      </c>
      <c r="R61">
        <v>60.228700000000003</v>
      </c>
      <c r="S61">
        <v>70.372200000000007</v>
      </c>
      <c r="T61">
        <v>81.394599999999997</v>
      </c>
      <c r="U61">
        <v>93.558899999999994</v>
      </c>
      <c r="V61">
        <v>107.051</v>
      </c>
      <c r="W61">
        <v>121.914</v>
      </c>
      <c r="X61">
        <v>137.75</v>
      </c>
      <c r="Y61">
        <v>154.46799999999999</v>
      </c>
      <c r="Z61">
        <v>171.83799999999999</v>
      </c>
      <c r="AA61">
        <v>189.667</v>
      </c>
      <c r="AB61">
        <v>207.947</v>
      </c>
      <c r="AC61">
        <v>226.66</v>
      </c>
      <c r="AD61">
        <v>245.77199999999999</v>
      </c>
    </row>
    <row r="62" spans="1:30" x14ac:dyDescent="0.25">
      <c r="A62" t="s">
        <v>232</v>
      </c>
      <c r="B62" t="s">
        <v>94</v>
      </c>
      <c r="C62" t="s">
        <v>233</v>
      </c>
      <c r="D62" t="s">
        <v>234</v>
      </c>
      <c r="E62" t="str">
        <f>_xlfn.XLOOKUP(B62,'Rural population'!$C$2:$C$200,'Rural population'!$G$2:$G$200)</f>
        <v>Western Europe</v>
      </c>
      <c r="F62">
        <v>1342.44</v>
      </c>
      <c r="G62">
        <v>1506.67</v>
      </c>
      <c r="H62">
        <v>1777.11</v>
      </c>
      <c r="I62">
        <v>1901.7</v>
      </c>
      <c r="J62">
        <v>2166.1999999999998</v>
      </c>
      <c r="K62">
        <v>2455.11</v>
      </c>
      <c r="L62">
        <v>2509.92</v>
      </c>
      <c r="M62">
        <v>2767.2</v>
      </c>
      <c r="N62">
        <v>2674.93</v>
      </c>
      <c r="O62">
        <v>3105.54</v>
      </c>
      <c r="P62">
        <v>3383.03</v>
      </c>
      <c r="Q62">
        <v>3699.61</v>
      </c>
      <c r="R62">
        <v>4073.84</v>
      </c>
      <c r="S62">
        <v>4498.01</v>
      </c>
      <c r="T62">
        <v>4950.09</v>
      </c>
      <c r="U62">
        <v>5420.84</v>
      </c>
      <c r="V62">
        <v>5916.74</v>
      </c>
      <c r="W62">
        <v>6433.38</v>
      </c>
      <c r="X62">
        <v>6947.3</v>
      </c>
      <c r="Y62">
        <v>7446.74</v>
      </c>
      <c r="Z62">
        <v>7922.94</v>
      </c>
      <c r="AA62">
        <v>8372.4500000000007</v>
      </c>
      <c r="AB62">
        <v>8794.75</v>
      </c>
      <c r="AC62">
        <v>9187.9699999999993</v>
      </c>
      <c r="AD62">
        <v>9544.02</v>
      </c>
    </row>
    <row r="63" spans="1:30" x14ac:dyDescent="0.25">
      <c r="A63" t="s">
        <v>232</v>
      </c>
      <c r="B63" t="s">
        <v>95</v>
      </c>
      <c r="C63" t="s">
        <v>233</v>
      </c>
      <c r="D63" t="s">
        <v>234</v>
      </c>
      <c r="E63" t="str">
        <f>_xlfn.XLOOKUP(B63,'Rural population'!$C$2:$C$200,'Rural population'!$G$2:$G$200)</f>
        <v>Russia region</v>
      </c>
      <c r="F63" t="s">
        <v>252</v>
      </c>
      <c r="G63" t="s">
        <v>252</v>
      </c>
      <c r="H63">
        <v>53.832000000000001</v>
      </c>
      <c r="I63">
        <v>15.210100000000001</v>
      </c>
      <c r="J63">
        <v>20.064299999999999</v>
      </c>
      <c r="K63">
        <v>28.557700000000001</v>
      </c>
      <c r="L63">
        <v>36.8643</v>
      </c>
      <c r="M63">
        <v>46.957300000000004</v>
      </c>
      <c r="N63">
        <v>51.992800000000003</v>
      </c>
      <c r="O63">
        <v>74.022000000000006</v>
      </c>
      <c r="P63">
        <v>96.486900000000006</v>
      </c>
      <c r="Q63">
        <v>120.571</v>
      </c>
      <c r="R63">
        <v>139.84100000000001</v>
      </c>
      <c r="S63">
        <v>153.983</v>
      </c>
      <c r="T63">
        <v>163.99600000000001</v>
      </c>
      <c r="U63">
        <v>171.459</v>
      </c>
      <c r="V63">
        <v>177.471</v>
      </c>
      <c r="W63">
        <v>182.726</v>
      </c>
      <c r="X63">
        <v>186.56299999999999</v>
      </c>
      <c r="Y63">
        <v>189.328</v>
      </c>
      <c r="Z63">
        <v>191.59700000000001</v>
      </c>
      <c r="AA63">
        <v>194.19300000000001</v>
      </c>
      <c r="AB63">
        <v>197.69900000000001</v>
      </c>
      <c r="AC63">
        <v>202.26</v>
      </c>
      <c r="AD63">
        <v>207.67599999999999</v>
      </c>
    </row>
    <row r="64" spans="1:30" x14ac:dyDescent="0.25">
      <c r="A64" t="s">
        <v>232</v>
      </c>
      <c r="B64" t="s">
        <v>96</v>
      </c>
      <c r="C64" t="s">
        <v>233</v>
      </c>
      <c r="D64" t="s">
        <v>234</v>
      </c>
      <c r="E64" t="str">
        <f>_xlfn.XLOOKUP(B64,'Rural population'!$C$2:$C$200,'Rural population'!$G$2:$G$200)</f>
        <v>Western Africa</v>
      </c>
      <c r="F64">
        <v>27.921700000000001</v>
      </c>
      <c r="G64">
        <v>26.901299999999999</v>
      </c>
      <c r="H64">
        <v>35.131999999999998</v>
      </c>
      <c r="I64">
        <v>43.469799999999999</v>
      </c>
      <c r="J64">
        <v>54.7883</v>
      </c>
      <c r="K64">
        <v>70.0428</v>
      </c>
      <c r="L64">
        <v>95.768699999999995</v>
      </c>
      <c r="M64">
        <v>133.286</v>
      </c>
      <c r="N64">
        <v>169.38200000000001</v>
      </c>
      <c r="O64">
        <v>199.34200000000001</v>
      </c>
      <c r="P64">
        <v>256.02300000000002</v>
      </c>
      <c r="Q64">
        <v>327.60700000000003</v>
      </c>
      <c r="R64">
        <v>411.79500000000002</v>
      </c>
      <c r="S64">
        <v>512.625</v>
      </c>
      <c r="T64">
        <v>633.48699999999997</v>
      </c>
      <c r="U64">
        <v>778.41399999999999</v>
      </c>
      <c r="V64">
        <v>950.48299999999995</v>
      </c>
      <c r="W64">
        <v>1152.06</v>
      </c>
      <c r="X64">
        <v>1379.8</v>
      </c>
      <c r="Y64">
        <v>1635.82</v>
      </c>
      <c r="Z64">
        <v>1919.3</v>
      </c>
      <c r="AA64">
        <v>2230.46</v>
      </c>
      <c r="AB64">
        <v>2568.88</v>
      </c>
      <c r="AC64">
        <v>2932.76</v>
      </c>
      <c r="AD64">
        <v>3321.2</v>
      </c>
    </row>
    <row r="65" spans="1:30" x14ac:dyDescent="0.25">
      <c r="A65" t="s">
        <v>232</v>
      </c>
      <c r="B65" t="s">
        <v>97</v>
      </c>
      <c r="C65" t="s">
        <v>233</v>
      </c>
      <c r="D65" t="s">
        <v>234</v>
      </c>
      <c r="E65" t="str">
        <f>_xlfn.XLOOKUP(B65,'Rural population'!$C$2:$C$200,'Rural population'!$G$2:$G$200)</f>
        <v>Western Africa</v>
      </c>
      <c r="F65">
        <v>7.0560799999999997</v>
      </c>
      <c r="G65">
        <v>7.7944899999999997</v>
      </c>
      <c r="H65">
        <v>9.5764399999999998</v>
      </c>
      <c r="I65">
        <v>11.5928</v>
      </c>
      <c r="J65">
        <v>14.048</v>
      </c>
      <c r="K65">
        <v>16.343599999999999</v>
      </c>
      <c r="L65">
        <v>19.067599999999999</v>
      </c>
      <c r="M65">
        <v>23.869599999999998</v>
      </c>
      <c r="N65">
        <v>34.3172</v>
      </c>
      <c r="O65">
        <v>44.426900000000003</v>
      </c>
      <c r="P65">
        <v>58.432600000000001</v>
      </c>
      <c r="Q65">
        <v>79.475099999999998</v>
      </c>
      <c r="R65">
        <v>107.501</v>
      </c>
      <c r="S65">
        <v>143.67500000000001</v>
      </c>
      <c r="T65">
        <v>188.82</v>
      </c>
      <c r="U65">
        <v>243.81</v>
      </c>
      <c r="V65">
        <v>309.73099999999999</v>
      </c>
      <c r="W65">
        <v>387.81200000000001</v>
      </c>
      <c r="X65">
        <v>477.63400000000001</v>
      </c>
      <c r="Y65">
        <v>579.88199999999995</v>
      </c>
      <c r="Z65">
        <v>693.53200000000004</v>
      </c>
      <c r="AA65">
        <v>818.77300000000002</v>
      </c>
      <c r="AB65">
        <v>955.88800000000003</v>
      </c>
      <c r="AC65">
        <v>1105.32</v>
      </c>
      <c r="AD65">
        <v>1266.77</v>
      </c>
    </row>
    <row r="66" spans="1:30" x14ac:dyDescent="0.25">
      <c r="A66" t="s">
        <v>232</v>
      </c>
      <c r="B66" t="s">
        <v>99</v>
      </c>
      <c r="C66" t="s">
        <v>233</v>
      </c>
      <c r="D66" t="s">
        <v>234</v>
      </c>
      <c r="E66" t="str">
        <f>_xlfn.XLOOKUP(B66,'Rural population'!$C$2:$C$200,'Rural population'!$G$2:$G$200)</f>
        <v>Western Africa</v>
      </c>
      <c r="F66">
        <v>1.5884</v>
      </c>
      <c r="G66">
        <v>1.88636</v>
      </c>
      <c r="H66">
        <v>2.22621</v>
      </c>
      <c r="I66">
        <v>2.39859</v>
      </c>
      <c r="J66">
        <v>2.9933300000000003</v>
      </c>
      <c r="K66">
        <v>3.42144</v>
      </c>
      <c r="L66">
        <v>4.20845</v>
      </c>
      <c r="M66">
        <v>4.29434</v>
      </c>
      <c r="N66">
        <v>5.2580400000000003</v>
      </c>
      <c r="O66">
        <v>6.8865499999999997</v>
      </c>
      <c r="P66">
        <v>8.9575099999999992</v>
      </c>
      <c r="Q66">
        <v>12.0192</v>
      </c>
      <c r="R66">
        <v>15.6493</v>
      </c>
      <c r="S66">
        <v>20.050599999999999</v>
      </c>
      <c r="T66">
        <v>25.435300000000002</v>
      </c>
      <c r="U66">
        <v>31.968800000000002</v>
      </c>
      <c r="V66">
        <v>39.802199999999999</v>
      </c>
      <c r="W66">
        <v>49.0578</v>
      </c>
      <c r="X66">
        <v>59.775100000000002</v>
      </c>
      <c r="Y66">
        <v>71.985200000000006</v>
      </c>
      <c r="Z66">
        <v>85.621399999999994</v>
      </c>
      <c r="AA66">
        <v>100.66500000000001</v>
      </c>
      <c r="AB66">
        <v>117.095</v>
      </c>
      <c r="AC66">
        <v>134.845</v>
      </c>
      <c r="AD66">
        <v>153.99199999999999</v>
      </c>
    </row>
    <row r="67" spans="1:30" x14ac:dyDescent="0.25">
      <c r="A67" t="s">
        <v>232</v>
      </c>
      <c r="B67" t="s">
        <v>100</v>
      </c>
      <c r="C67" t="s">
        <v>233</v>
      </c>
      <c r="D67" t="s">
        <v>234</v>
      </c>
      <c r="E67" t="str">
        <f>_xlfn.XLOOKUP(B67,'Rural population'!$C$2:$C$200,'Rural population'!$G$2:$G$200)</f>
        <v>Western Africa</v>
      </c>
      <c r="F67">
        <v>1.3769200000000001</v>
      </c>
      <c r="G67">
        <v>1.51749</v>
      </c>
      <c r="H67">
        <v>1.7410800000000002</v>
      </c>
      <c r="I67">
        <v>2.1097399999999999</v>
      </c>
      <c r="J67">
        <v>2.1249099999999999</v>
      </c>
      <c r="K67">
        <v>2.4810699999999999</v>
      </c>
      <c r="L67">
        <v>2.9542900000000003</v>
      </c>
      <c r="M67">
        <v>3.4725999999999999</v>
      </c>
      <c r="N67">
        <v>4.21739</v>
      </c>
      <c r="O67">
        <v>5.3870100000000001</v>
      </c>
      <c r="P67">
        <v>6.8418900000000002</v>
      </c>
      <c r="Q67">
        <v>8.7017299999999995</v>
      </c>
      <c r="R67">
        <v>10.982799999999999</v>
      </c>
      <c r="S67">
        <v>13.8323</v>
      </c>
      <c r="T67">
        <v>17.388300000000001</v>
      </c>
      <c r="U67">
        <v>21.785699999999999</v>
      </c>
      <c r="V67">
        <v>27.150600000000001</v>
      </c>
      <c r="W67">
        <v>33.5867</v>
      </c>
      <c r="X67">
        <v>41.1404</v>
      </c>
      <c r="Y67">
        <v>49.866100000000003</v>
      </c>
      <c r="Z67">
        <v>59.765099999999997</v>
      </c>
      <c r="AA67">
        <v>70.814700000000002</v>
      </c>
      <c r="AB67">
        <v>83.030799999999999</v>
      </c>
      <c r="AC67">
        <v>96.444699999999997</v>
      </c>
      <c r="AD67">
        <v>111.136</v>
      </c>
    </row>
    <row r="68" spans="1:30" x14ac:dyDescent="0.25">
      <c r="A68" t="s">
        <v>232</v>
      </c>
      <c r="B68" t="s">
        <v>101</v>
      </c>
      <c r="C68" t="s">
        <v>233</v>
      </c>
      <c r="D68" t="s">
        <v>234</v>
      </c>
      <c r="E68" t="str">
        <f>_xlfn.XLOOKUP(B68,'Rural population'!$C$2:$C$200,'Rural population'!$G$2:$G$200)</f>
        <v>Western Africa</v>
      </c>
      <c r="F68">
        <v>0.214617</v>
      </c>
      <c r="G68">
        <v>0.27782699999999999</v>
      </c>
      <c r="H68">
        <v>0.29462899999999997</v>
      </c>
      <c r="I68">
        <v>0.63167499999999999</v>
      </c>
      <c r="J68">
        <v>7.9420200000000003</v>
      </c>
      <c r="K68">
        <v>24.551300000000001</v>
      </c>
      <c r="L68">
        <v>32.774099999999997</v>
      </c>
      <c r="M68">
        <v>33.085799999999999</v>
      </c>
      <c r="N68">
        <v>24.0139</v>
      </c>
      <c r="O68">
        <v>21.0139</v>
      </c>
      <c r="P68">
        <v>20.492599999999999</v>
      </c>
      <c r="Q68">
        <v>24.262599999999999</v>
      </c>
      <c r="R68">
        <v>29.1189</v>
      </c>
      <c r="S68">
        <v>35.180799999999998</v>
      </c>
      <c r="T68">
        <v>42.626100000000001</v>
      </c>
      <c r="U68">
        <v>51.613500000000002</v>
      </c>
      <c r="V68">
        <v>62.311300000000003</v>
      </c>
      <c r="W68">
        <v>74.681899999999999</v>
      </c>
      <c r="X68">
        <v>88.302000000000007</v>
      </c>
      <c r="Y68">
        <v>103.181</v>
      </c>
      <c r="Z68">
        <v>119.271</v>
      </c>
      <c r="AA68">
        <v>136.42599999999999</v>
      </c>
      <c r="AB68">
        <v>154.37200000000001</v>
      </c>
      <c r="AC68">
        <v>172.767</v>
      </c>
      <c r="AD68">
        <v>191.47</v>
      </c>
    </row>
    <row r="69" spans="1:30" x14ac:dyDescent="0.25">
      <c r="A69" t="s">
        <v>232</v>
      </c>
      <c r="B69" t="s">
        <v>102</v>
      </c>
      <c r="C69" t="s">
        <v>233</v>
      </c>
      <c r="D69" t="s">
        <v>234</v>
      </c>
      <c r="E69" t="str">
        <f>_xlfn.XLOOKUP(B69,'Rural population'!$C$2:$C$200,'Rural population'!$G$2:$G$200)</f>
        <v>Western Europe</v>
      </c>
      <c r="F69">
        <v>231.05199999999999</v>
      </c>
      <c r="G69">
        <v>232.62799999999999</v>
      </c>
      <c r="H69">
        <v>247.40700000000001</v>
      </c>
      <c r="I69">
        <v>263.221</v>
      </c>
      <c r="J69">
        <v>298.11</v>
      </c>
      <c r="K69">
        <v>360.71899999999999</v>
      </c>
      <c r="L69">
        <v>354.82900000000001</v>
      </c>
      <c r="M69">
        <v>289.57499999999999</v>
      </c>
      <c r="N69">
        <v>274.31900000000002</v>
      </c>
      <c r="O69">
        <v>336.85599999999999</v>
      </c>
      <c r="P69">
        <v>372.79700000000003</v>
      </c>
      <c r="Q69">
        <v>402.45699999999999</v>
      </c>
      <c r="R69">
        <v>435.57299999999998</v>
      </c>
      <c r="S69">
        <v>468.37099999999998</v>
      </c>
      <c r="T69">
        <v>500.041</v>
      </c>
      <c r="U69">
        <v>531.47900000000004</v>
      </c>
      <c r="V69">
        <v>562.07299999999998</v>
      </c>
      <c r="W69">
        <v>590.73500000000001</v>
      </c>
      <c r="X69">
        <v>615.60500000000002</v>
      </c>
      <c r="Y69">
        <v>636.83399999999995</v>
      </c>
      <c r="Z69">
        <v>655.21299999999997</v>
      </c>
      <c r="AA69">
        <v>671.85</v>
      </c>
      <c r="AB69">
        <v>687.02800000000002</v>
      </c>
      <c r="AC69">
        <v>700.03800000000001</v>
      </c>
      <c r="AD69">
        <v>709.54399999999998</v>
      </c>
    </row>
    <row r="70" spans="1:30" x14ac:dyDescent="0.25">
      <c r="A70" t="s">
        <v>232</v>
      </c>
      <c r="B70" t="s">
        <v>103</v>
      </c>
      <c r="C70" t="s">
        <v>233</v>
      </c>
      <c r="D70" t="s">
        <v>234</v>
      </c>
      <c r="E70" t="str">
        <f>_xlfn.XLOOKUP(B70,'Rural population'!$C$2:$C$200,'Rural population'!$G$2:$G$200)</f>
        <v>Central America</v>
      </c>
      <c r="F70">
        <v>0.54015899999999994</v>
      </c>
      <c r="G70">
        <v>0.64864599999999994</v>
      </c>
      <c r="H70">
        <v>0.845136</v>
      </c>
      <c r="I70">
        <v>0.86789499999999997</v>
      </c>
      <c r="J70">
        <v>1.19411</v>
      </c>
      <c r="K70">
        <v>1.49075</v>
      </c>
      <c r="L70">
        <v>1.4247400000000001</v>
      </c>
      <c r="M70">
        <v>1.65917</v>
      </c>
      <c r="N70">
        <v>1.6288200000000002</v>
      </c>
      <c r="O70">
        <v>2.0240800000000001</v>
      </c>
      <c r="P70">
        <v>2.33697</v>
      </c>
      <c r="Q70">
        <v>2.7022699999999999</v>
      </c>
      <c r="R70">
        <v>3.1067399999999998</v>
      </c>
      <c r="S70">
        <v>3.5402300000000002</v>
      </c>
      <c r="T70">
        <v>4.0076600000000004</v>
      </c>
      <c r="U70">
        <v>4.5266400000000004</v>
      </c>
      <c r="V70">
        <v>5.1190100000000003</v>
      </c>
      <c r="W70">
        <v>5.7972099999999998</v>
      </c>
      <c r="X70">
        <v>6.5255200000000002</v>
      </c>
      <c r="Y70">
        <v>7.2868300000000001</v>
      </c>
      <c r="Z70">
        <v>8.0744000000000007</v>
      </c>
      <c r="AA70">
        <v>8.8986699999999992</v>
      </c>
      <c r="AB70">
        <v>9.7754799999999999</v>
      </c>
      <c r="AC70">
        <v>10.7159</v>
      </c>
      <c r="AD70">
        <v>11.718</v>
      </c>
    </row>
    <row r="71" spans="1:30" x14ac:dyDescent="0.25">
      <c r="A71" t="s">
        <v>232</v>
      </c>
      <c r="B71" t="s">
        <v>104</v>
      </c>
      <c r="C71" t="s">
        <v>233</v>
      </c>
      <c r="D71" t="s">
        <v>234</v>
      </c>
      <c r="E71" t="str">
        <f>_xlfn.XLOOKUP(B71,'Rural population'!$C$2:$C$200,'Rural population'!$G$2:$G$200)</f>
        <v>Central America</v>
      </c>
      <c r="F71">
        <v>47.836399999999998</v>
      </c>
      <c r="G71">
        <v>45.223700000000001</v>
      </c>
      <c r="H71">
        <v>52.205100000000002</v>
      </c>
      <c r="I71">
        <v>62.840899999999998</v>
      </c>
      <c r="J71">
        <v>74.768900000000002</v>
      </c>
      <c r="K71">
        <v>87.448499999999996</v>
      </c>
      <c r="L71">
        <v>104.60899999999999</v>
      </c>
      <c r="M71">
        <v>126.496</v>
      </c>
      <c r="N71">
        <v>141.42599999999999</v>
      </c>
      <c r="O71">
        <v>176.37799999999999</v>
      </c>
      <c r="P71">
        <v>213.09100000000001</v>
      </c>
      <c r="Q71">
        <v>258.11700000000002</v>
      </c>
      <c r="R71">
        <v>312.892</v>
      </c>
      <c r="S71">
        <v>378.09500000000003</v>
      </c>
      <c r="T71">
        <v>452.95800000000003</v>
      </c>
      <c r="U71">
        <v>537.255</v>
      </c>
      <c r="V71">
        <v>630.29899999999998</v>
      </c>
      <c r="W71">
        <v>731.16499999999996</v>
      </c>
      <c r="X71">
        <v>836.15300000000002</v>
      </c>
      <c r="Y71">
        <v>944.84</v>
      </c>
      <c r="Z71">
        <v>1054.71</v>
      </c>
      <c r="AA71">
        <v>1164.55</v>
      </c>
      <c r="AB71">
        <v>1274.8900000000001</v>
      </c>
      <c r="AC71">
        <v>1385.58</v>
      </c>
      <c r="AD71">
        <v>1497.02</v>
      </c>
    </row>
    <row r="72" spans="1:30" x14ac:dyDescent="0.25">
      <c r="A72" t="s">
        <v>232</v>
      </c>
      <c r="B72" t="s">
        <v>105</v>
      </c>
      <c r="C72" t="s">
        <v>233</v>
      </c>
      <c r="D72" t="s">
        <v>234</v>
      </c>
      <c r="E72" t="str">
        <f>_xlfn.XLOOKUP(B72,'Rural population'!$C$2:$C$200,'Rural population'!$G$2:$G$200)</f>
        <v>Rest of South America</v>
      </c>
      <c r="F72" t="s">
        <v>252</v>
      </c>
      <c r="G72" t="s">
        <v>252</v>
      </c>
      <c r="H72" t="s">
        <v>252</v>
      </c>
      <c r="I72" t="s">
        <v>252</v>
      </c>
      <c r="J72" t="s">
        <v>252</v>
      </c>
      <c r="K72" t="s">
        <v>252</v>
      </c>
      <c r="L72" t="s">
        <v>252</v>
      </c>
      <c r="M72" t="s">
        <v>252</v>
      </c>
      <c r="N72">
        <v>10.187099999999999</v>
      </c>
      <c r="O72">
        <v>16.065999999999999</v>
      </c>
      <c r="P72">
        <v>18.5609</v>
      </c>
      <c r="Q72">
        <v>21.276499999999999</v>
      </c>
      <c r="R72">
        <v>24.258099999999999</v>
      </c>
      <c r="S72">
        <v>27.543600000000001</v>
      </c>
      <c r="T72">
        <v>31.180700000000002</v>
      </c>
      <c r="U72">
        <v>35.201900000000002</v>
      </c>
      <c r="V72">
        <v>39.630499999999998</v>
      </c>
      <c r="W72">
        <v>44.494300000000003</v>
      </c>
      <c r="X72">
        <v>49.680599999999998</v>
      </c>
      <c r="Y72">
        <v>55.264400000000002</v>
      </c>
      <c r="Z72">
        <v>61.118499999999997</v>
      </c>
      <c r="AA72">
        <v>67.195099999999996</v>
      </c>
      <c r="AB72">
        <v>73.522800000000004</v>
      </c>
      <c r="AC72">
        <v>80.129599999999996</v>
      </c>
      <c r="AD72">
        <v>87.010599999999997</v>
      </c>
    </row>
    <row r="73" spans="1:30" x14ac:dyDescent="0.25">
      <c r="A73" t="s">
        <v>232</v>
      </c>
      <c r="B73" t="s">
        <v>106</v>
      </c>
      <c r="C73" t="s">
        <v>233</v>
      </c>
      <c r="D73" t="s">
        <v>234</v>
      </c>
      <c r="E73" t="str">
        <f>_xlfn.XLOOKUP(B73,'Rural population'!$C$2:$C$200,'Rural population'!$G$2:$G$200)</f>
        <v>Oceania</v>
      </c>
      <c r="F73" t="s">
        <v>252</v>
      </c>
      <c r="G73" t="s">
        <v>252</v>
      </c>
      <c r="H73" t="s">
        <v>252</v>
      </c>
      <c r="I73" t="s">
        <v>252</v>
      </c>
      <c r="J73" t="s">
        <v>252</v>
      </c>
      <c r="K73" t="s">
        <v>252</v>
      </c>
      <c r="L73" t="s">
        <v>252</v>
      </c>
      <c r="M73" t="s">
        <v>252</v>
      </c>
      <c r="N73">
        <v>3.6185</v>
      </c>
      <c r="O73">
        <v>6.75847</v>
      </c>
      <c r="P73">
        <v>8.4414999999999996</v>
      </c>
      <c r="Q73">
        <v>10.039899999999999</v>
      </c>
      <c r="R73">
        <v>11.566599999999999</v>
      </c>
      <c r="S73">
        <v>13.0449</v>
      </c>
      <c r="T73">
        <v>14.4701</v>
      </c>
      <c r="U73">
        <v>15.8217</v>
      </c>
      <c r="V73">
        <v>17.117899999999999</v>
      </c>
      <c r="W73">
        <v>18.396999999999998</v>
      </c>
      <c r="X73">
        <v>19.6447</v>
      </c>
      <c r="Y73">
        <v>20.893899999999999</v>
      </c>
      <c r="Z73">
        <v>22.1586</v>
      </c>
      <c r="AA73">
        <v>23.453199999999999</v>
      </c>
      <c r="AB73">
        <v>24.789300000000001</v>
      </c>
      <c r="AC73">
        <v>26.165199999999999</v>
      </c>
      <c r="AD73">
        <v>27.5916</v>
      </c>
    </row>
    <row r="74" spans="1:30" x14ac:dyDescent="0.25">
      <c r="A74" t="s">
        <v>232</v>
      </c>
      <c r="B74" t="s">
        <v>107</v>
      </c>
      <c r="C74" t="s">
        <v>233</v>
      </c>
      <c r="D74" t="s">
        <v>234</v>
      </c>
      <c r="E74" t="str">
        <f>_xlfn.XLOOKUP(B74,'Rural population'!$C$2:$C$200,'Rural population'!$G$2:$G$200)</f>
        <v>Brazil</v>
      </c>
      <c r="F74">
        <v>5.0155599999999998</v>
      </c>
      <c r="G74">
        <v>4.1693300000000004</v>
      </c>
      <c r="H74">
        <v>3.6008300000000002</v>
      </c>
      <c r="I74">
        <v>5.0730599999999999</v>
      </c>
      <c r="J74">
        <v>5.80755</v>
      </c>
      <c r="K74">
        <v>5.94367</v>
      </c>
      <c r="L74">
        <v>7.3534899999999999</v>
      </c>
      <c r="M74">
        <v>8.6428700000000003</v>
      </c>
      <c r="N74">
        <v>14.693200000000001</v>
      </c>
      <c r="O74">
        <v>59.573300000000003</v>
      </c>
      <c r="P74">
        <v>123.572</v>
      </c>
      <c r="Q74">
        <v>189.22900000000001</v>
      </c>
      <c r="R74">
        <v>250.89500000000001</v>
      </c>
      <c r="S74">
        <v>289.82499999999999</v>
      </c>
      <c r="T74">
        <v>295.18</v>
      </c>
      <c r="U74">
        <v>276.36099999999999</v>
      </c>
      <c r="V74">
        <v>248.47399999999999</v>
      </c>
      <c r="W74">
        <v>221.93199999999999</v>
      </c>
      <c r="X74">
        <v>199.86</v>
      </c>
      <c r="Y74">
        <v>182.185</v>
      </c>
      <c r="Z74">
        <v>167.922</v>
      </c>
      <c r="AA74">
        <v>156.416</v>
      </c>
      <c r="AB74">
        <v>147.167</v>
      </c>
      <c r="AC74">
        <v>139.82</v>
      </c>
      <c r="AD74">
        <v>134.10300000000001</v>
      </c>
    </row>
    <row r="75" spans="1:30" x14ac:dyDescent="0.25">
      <c r="A75" t="s">
        <v>232</v>
      </c>
      <c r="B75" t="s">
        <v>108</v>
      </c>
      <c r="C75" t="s">
        <v>233</v>
      </c>
      <c r="D75" t="s">
        <v>234</v>
      </c>
      <c r="E75" t="e">
        <f>_xlfn.XLOOKUP(B75,'Rural population'!$C$2:$C$200,'Rural population'!$G$2:$G$200)</f>
        <v>#N/A</v>
      </c>
      <c r="F75">
        <v>85.754999999999995</v>
      </c>
      <c r="G75">
        <v>113.155</v>
      </c>
      <c r="H75">
        <v>164.27600000000001</v>
      </c>
      <c r="I75">
        <v>212.66499999999999</v>
      </c>
      <c r="J75">
        <v>242.04900000000001</v>
      </c>
      <c r="K75">
        <v>297.66399999999999</v>
      </c>
      <c r="L75">
        <v>360.762</v>
      </c>
      <c r="M75">
        <v>417.17</v>
      </c>
      <c r="N75">
        <v>418.13</v>
      </c>
      <c r="O75">
        <v>474.86399999999998</v>
      </c>
      <c r="P75">
        <v>535.46299999999997</v>
      </c>
      <c r="Q75">
        <v>574.64</v>
      </c>
      <c r="R75">
        <v>590.19100000000003</v>
      </c>
      <c r="S75">
        <v>592.14200000000005</v>
      </c>
      <c r="T75">
        <v>586.39300000000003</v>
      </c>
      <c r="U75">
        <v>577.02</v>
      </c>
      <c r="V75">
        <v>568.00300000000004</v>
      </c>
      <c r="W75">
        <v>561.78800000000001</v>
      </c>
      <c r="X75">
        <v>556.57799999999997</v>
      </c>
      <c r="Y75">
        <v>551.63300000000004</v>
      </c>
      <c r="Z75">
        <v>545.22400000000005</v>
      </c>
      <c r="AA75">
        <v>538.21799999999996</v>
      </c>
      <c r="AB75">
        <v>531.64</v>
      </c>
      <c r="AC75">
        <v>526.32500000000005</v>
      </c>
      <c r="AD75">
        <v>522.41099999999994</v>
      </c>
    </row>
    <row r="76" spans="1:30" x14ac:dyDescent="0.25">
      <c r="A76" t="s">
        <v>232</v>
      </c>
      <c r="B76" t="s">
        <v>109</v>
      </c>
      <c r="C76" t="s">
        <v>233</v>
      </c>
      <c r="D76" t="s">
        <v>234</v>
      </c>
      <c r="E76" t="str">
        <f>_xlfn.XLOOKUP(B76,'Rural population'!$C$2:$C$200,'Rural population'!$G$2:$G$200)</f>
        <v>Central America</v>
      </c>
      <c r="F76">
        <v>14.9459</v>
      </c>
      <c r="G76">
        <v>16.383800000000001</v>
      </c>
      <c r="H76">
        <v>19.771899999999999</v>
      </c>
      <c r="I76">
        <v>22.9786</v>
      </c>
      <c r="J76">
        <v>27.013100000000001</v>
      </c>
      <c r="K76">
        <v>33.910400000000003</v>
      </c>
      <c r="L76">
        <v>40.480899999999998</v>
      </c>
      <c r="M76">
        <v>48.147100000000002</v>
      </c>
      <c r="N76">
        <v>50.893700000000003</v>
      </c>
      <c r="O76">
        <v>65.458699999999993</v>
      </c>
      <c r="P76">
        <v>78.968800000000002</v>
      </c>
      <c r="Q76">
        <v>96.575699999999998</v>
      </c>
      <c r="R76">
        <v>119.462</v>
      </c>
      <c r="S76">
        <v>148.572</v>
      </c>
      <c r="T76">
        <v>184.92400000000001</v>
      </c>
      <c r="U76">
        <v>229.327</v>
      </c>
      <c r="V76">
        <v>282.33600000000001</v>
      </c>
      <c r="W76">
        <v>344.76</v>
      </c>
      <c r="X76">
        <v>416.40100000000001</v>
      </c>
      <c r="Y76">
        <v>496.22399999999999</v>
      </c>
      <c r="Z76">
        <v>582.17399999999998</v>
      </c>
      <c r="AA76">
        <v>673.06200000000001</v>
      </c>
      <c r="AB76">
        <v>768.39300000000003</v>
      </c>
      <c r="AC76">
        <v>867.76900000000001</v>
      </c>
      <c r="AD76">
        <v>971.04399999999998</v>
      </c>
    </row>
    <row r="77" spans="1:30" x14ac:dyDescent="0.25">
      <c r="A77" t="s">
        <v>232</v>
      </c>
      <c r="B77" t="s">
        <v>110</v>
      </c>
      <c r="C77" t="s">
        <v>233</v>
      </c>
      <c r="D77" t="s">
        <v>234</v>
      </c>
      <c r="E77" t="str">
        <f>_xlfn.XLOOKUP(B77,'Rural population'!$C$2:$C$200,'Rural population'!$G$2:$G$200)</f>
        <v>Central Europe</v>
      </c>
      <c r="F77" t="s">
        <v>252</v>
      </c>
      <c r="G77" t="s">
        <v>252</v>
      </c>
      <c r="H77" t="s">
        <v>252</v>
      </c>
      <c r="I77">
        <v>69.237399999999994</v>
      </c>
      <c r="J77">
        <v>81.844899999999996</v>
      </c>
      <c r="K77">
        <v>102.479</v>
      </c>
      <c r="L77">
        <v>105.526</v>
      </c>
      <c r="M77">
        <v>104.702</v>
      </c>
      <c r="N77">
        <v>109.04300000000001</v>
      </c>
      <c r="O77">
        <v>141.74199999999999</v>
      </c>
      <c r="P77">
        <v>161.02699999999999</v>
      </c>
      <c r="Q77">
        <v>174.43100000000001</v>
      </c>
      <c r="R77">
        <v>183.1</v>
      </c>
      <c r="S77">
        <v>188.79</v>
      </c>
      <c r="T77">
        <v>192.643</v>
      </c>
      <c r="U77">
        <v>195.613</v>
      </c>
      <c r="V77">
        <v>198.49799999999999</v>
      </c>
      <c r="W77">
        <v>201.64</v>
      </c>
      <c r="X77">
        <v>204.846</v>
      </c>
      <c r="Y77">
        <v>208.035</v>
      </c>
      <c r="Z77">
        <v>211.16300000000001</v>
      </c>
      <c r="AA77">
        <v>214.46799999999999</v>
      </c>
      <c r="AB77">
        <v>218.15299999999999</v>
      </c>
      <c r="AC77">
        <v>222.291</v>
      </c>
      <c r="AD77">
        <v>226.82</v>
      </c>
    </row>
    <row r="78" spans="1:30" x14ac:dyDescent="0.25">
      <c r="A78" t="s">
        <v>232</v>
      </c>
      <c r="B78" t="s">
        <v>111</v>
      </c>
      <c r="C78" t="s">
        <v>233</v>
      </c>
      <c r="D78" t="s">
        <v>234</v>
      </c>
      <c r="E78" t="str">
        <f>_xlfn.XLOOKUP(B78,'Rural population'!$C$2:$C$200,'Rural population'!$G$2:$G$200)</f>
        <v>Central America</v>
      </c>
      <c r="F78">
        <v>24.932099999999998</v>
      </c>
      <c r="G78">
        <v>24.354700000000001</v>
      </c>
      <c r="H78">
        <v>24.0687</v>
      </c>
      <c r="I78">
        <v>22.003699999999998</v>
      </c>
      <c r="J78">
        <v>24.915299999999998</v>
      </c>
      <c r="K78">
        <v>26.409400000000002</v>
      </c>
      <c r="L78">
        <v>28.862300000000001</v>
      </c>
      <c r="M78">
        <v>33.1815</v>
      </c>
      <c r="N78">
        <v>33.458100000000002</v>
      </c>
      <c r="O78">
        <v>32.748699999999999</v>
      </c>
      <c r="P78">
        <v>36.604599999999998</v>
      </c>
      <c r="Q78">
        <v>45.690399999999997</v>
      </c>
      <c r="R78">
        <v>58.027000000000001</v>
      </c>
      <c r="S78">
        <v>74.485399999999998</v>
      </c>
      <c r="T78">
        <v>96.0899</v>
      </c>
      <c r="U78">
        <v>124.05200000000001</v>
      </c>
      <c r="V78">
        <v>159.66800000000001</v>
      </c>
      <c r="W78">
        <v>204.4</v>
      </c>
      <c r="X78">
        <v>257.93700000000001</v>
      </c>
      <c r="Y78">
        <v>321.15600000000001</v>
      </c>
      <c r="Z78">
        <v>394.33100000000002</v>
      </c>
      <c r="AA78">
        <v>477.81299999999999</v>
      </c>
      <c r="AB78">
        <v>572.09299999999996</v>
      </c>
      <c r="AC78">
        <v>677.15200000000004</v>
      </c>
      <c r="AD78">
        <v>792.577</v>
      </c>
    </row>
    <row r="79" spans="1:30" x14ac:dyDescent="0.25">
      <c r="A79" t="s">
        <v>232</v>
      </c>
      <c r="B79" t="s">
        <v>112</v>
      </c>
      <c r="C79" t="s">
        <v>233</v>
      </c>
      <c r="D79" t="s">
        <v>234</v>
      </c>
      <c r="E79" t="str">
        <f>_xlfn.XLOOKUP(B79,'Rural population'!$C$2:$C$200,'Rural population'!$G$2:$G$200)</f>
        <v>Central Europe</v>
      </c>
      <c r="F79">
        <v>172.7</v>
      </c>
      <c r="G79">
        <v>188.43199999999999</v>
      </c>
      <c r="H79">
        <v>193.40299999999999</v>
      </c>
      <c r="I79">
        <v>171.56899999999999</v>
      </c>
      <c r="J79">
        <v>192.94300000000001</v>
      </c>
      <c r="K79">
        <v>239.71899999999999</v>
      </c>
      <c r="L79">
        <v>238.26300000000001</v>
      </c>
      <c r="M79">
        <v>263.75200000000001</v>
      </c>
      <c r="N79">
        <v>296.46499999999997</v>
      </c>
      <c r="O79">
        <v>347.096</v>
      </c>
      <c r="P79">
        <v>394.76299999999998</v>
      </c>
      <c r="Q79">
        <v>433.98899999999998</v>
      </c>
      <c r="R79">
        <v>465.28</v>
      </c>
      <c r="S79">
        <v>490.46</v>
      </c>
      <c r="T79">
        <v>512.14499999999998</v>
      </c>
      <c r="U79">
        <v>531.11599999999999</v>
      </c>
      <c r="V79">
        <v>548.24300000000005</v>
      </c>
      <c r="W79">
        <v>563.28300000000002</v>
      </c>
      <c r="X79">
        <v>575.50900000000001</v>
      </c>
      <c r="Y79">
        <v>584.92200000000003</v>
      </c>
      <c r="Z79">
        <v>591.82500000000005</v>
      </c>
      <c r="AA79">
        <v>596.36900000000003</v>
      </c>
      <c r="AB79">
        <v>598.36400000000003</v>
      </c>
      <c r="AC79">
        <v>598.01599999999996</v>
      </c>
      <c r="AD79">
        <v>595.32799999999997</v>
      </c>
    </row>
    <row r="80" spans="1:30" x14ac:dyDescent="0.25">
      <c r="A80" t="s">
        <v>232</v>
      </c>
      <c r="B80" t="s">
        <v>113</v>
      </c>
      <c r="C80" t="s">
        <v>233</v>
      </c>
      <c r="D80" t="s">
        <v>234</v>
      </c>
      <c r="E80" t="str">
        <f>_xlfn.XLOOKUP(B80,'Rural population'!$C$2:$C$200,'Rural population'!$G$2:$G$200)</f>
        <v>Indonesia region</v>
      </c>
      <c r="F80">
        <v>433.45499999999998</v>
      </c>
      <c r="G80">
        <v>555.40200000000004</v>
      </c>
      <c r="H80">
        <v>794.14700000000005</v>
      </c>
      <c r="I80">
        <v>1157.74</v>
      </c>
      <c r="J80">
        <v>1212.19</v>
      </c>
      <c r="K80">
        <v>1527.1</v>
      </c>
      <c r="L80">
        <v>2023.05</v>
      </c>
      <c r="M80">
        <v>2647.4</v>
      </c>
      <c r="N80">
        <v>3160.37</v>
      </c>
      <c r="O80">
        <v>4005.26</v>
      </c>
      <c r="P80">
        <v>4982.92</v>
      </c>
      <c r="Q80">
        <v>5963.77</v>
      </c>
      <c r="R80">
        <v>6990.08</v>
      </c>
      <c r="S80">
        <v>8019.88</v>
      </c>
      <c r="T80">
        <v>9026.6200000000008</v>
      </c>
      <c r="U80">
        <v>10057.799999999999</v>
      </c>
      <c r="V80">
        <v>11099.5</v>
      </c>
      <c r="W80">
        <v>12130.5</v>
      </c>
      <c r="X80">
        <v>13142.7</v>
      </c>
      <c r="Y80">
        <v>14129.7</v>
      </c>
      <c r="Z80">
        <v>15069.4</v>
      </c>
      <c r="AA80">
        <v>15957.2</v>
      </c>
      <c r="AB80">
        <v>16783.599999999999</v>
      </c>
      <c r="AC80">
        <v>17541.8</v>
      </c>
      <c r="AD80">
        <v>18228.099999999999</v>
      </c>
    </row>
    <row r="81" spans="1:30" x14ac:dyDescent="0.25">
      <c r="A81" t="s">
        <v>232</v>
      </c>
      <c r="B81" t="s">
        <v>114</v>
      </c>
      <c r="C81" t="s">
        <v>233</v>
      </c>
      <c r="D81" t="s">
        <v>234</v>
      </c>
      <c r="E81" t="str">
        <f>_xlfn.XLOOKUP(B81,'Rural population'!$C$2:$C$200,'Rural population'!$G$2:$G$200)</f>
        <v>India</v>
      </c>
      <c r="F81">
        <v>900.73599999999999</v>
      </c>
      <c r="G81">
        <v>1174.67</v>
      </c>
      <c r="H81">
        <v>1564.3</v>
      </c>
      <c r="I81">
        <v>1966.12</v>
      </c>
      <c r="J81">
        <v>2690.85</v>
      </c>
      <c r="K81">
        <v>3630.31</v>
      </c>
      <c r="L81">
        <v>5102.7700000000004</v>
      </c>
      <c r="M81">
        <v>6962.1</v>
      </c>
      <c r="N81">
        <v>8503.83</v>
      </c>
      <c r="O81">
        <v>11852.9</v>
      </c>
      <c r="P81">
        <v>15709.5</v>
      </c>
      <c r="Q81">
        <v>19813.099999999999</v>
      </c>
      <c r="R81">
        <v>24247.7</v>
      </c>
      <c r="S81">
        <v>29018.400000000001</v>
      </c>
      <c r="T81">
        <v>34135.9</v>
      </c>
      <c r="U81">
        <v>39637.4</v>
      </c>
      <c r="V81">
        <v>45474.7</v>
      </c>
      <c r="W81">
        <v>51544.2</v>
      </c>
      <c r="X81">
        <v>57627.1</v>
      </c>
      <c r="Y81">
        <v>63676.1</v>
      </c>
      <c r="Z81">
        <v>69509.7</v>
      </c>
      <c r="AA81">
        <v>75080.7</v>
      </c>
      <c r="AB81">
        <v>80380.7</v>
      </c>
      <c r="AC81">
        <v>85418.1</v>
      </c>
      <c r="AD81">
        <v>90238.2</v>
      </c>
    </row>
    <row r="82" spans="1:30" x14ac:dyDescent="0.25">
      <c r="A82" t="s">
        <v>232</v>
      </c>
      <c r="B82" t="s">
        <v>115</v>
      </c>
      <c r="C82" t="s">
        <v>233</v>
      </c>
      <c r="D82" t="s">
        <v>234</v>
      </c>
      <c r="E82" t="str">
        <f>_xlfn.XLOOKUP(B82,'Rural population'!$C$2:$C$200,'Rural population'!$G$2:$G$200)</f>
        <v>Western Europe</v>
      </c>
      <c r="F82">
        <v>66.895600000000002</v>
      </c>
      <c r="G82">
        <v>75.867500000000007</v>
      </c>
      <c r="H82">
        <v>95.479699999999994</v>
      </c>
      <c r="I82">
        <v>119.752</v>
      </c>
      <c r="J82">
        <v>179.989</v>
      </c>
      <c r="K82">
        <v>236.32300000000001</v>
      </c>
      <c r="L82">
        <v>239.01499999999999</v>
      </c>
      <c r="M82">
        <v>325.44799999999998</v>
      </c>
      <c r="N82">
        <v>444.26400000000001</v>
      </c>
      <c r="O82">
        <v>584.221</v>
      </c>
      <c r="P82">
        <v>659.38099999999997</v>
      </c>
      <c r="Q82">
        <v>732.49300000000005</v>
      </c>
      <c r="R82">
        <v>821.01800000000003</v>
      </c>
      <c r="S82">
        <v>929.85</v>
      </c>
      <c r="T82">
        <v>1050.97</v>
      </c>
      <c r="U82">
        <v>1169.33</v>
      </c>
      <c r="V82">
        <v>1283.07</v>
      </c>
      <c r="W82">
        <v>1389.48</v>
      </c>
      <c r="X82">
        <v>1482.63</v>
      </c>
      <c r="Y82">
        <v>1561.67</v>
      </c>
      <c r="Z82">
        <v>1629.47</v>
      </c>
      <c r="AA82">
        <v>1690.17</v>
      </c>
      <c r="AB82">
        <v>1745.71</v>
      </c>
      <c r="AC82">
        <v>1794.5</v>
      </c>
      <c r="AD82">
        <v>1833.15</v>
      </c>
    </row>
    <row r="83" spans="1:30" x14ac:dyDescent="0.25">
      <c r="A83" t="s">
        <v>232</v>
      </c>
      <c r="B83" t="s">
        <v>116</v>
      </c>
      <c r="C83" t="s">
        <v>233</v>
      </c>
      <c r="D83" t="s">
        <v>234</v>
      </c>
      <c r="E83" t="str">
        <f>_xlfn.XLOOKUP(B83,'Rural population'!$C$2:$C$200,'Rural population'!$G$2:$G$200)</f>
        <v>Middle East</v>
      </c>
      <c r="F83">
        <v>423.26499999999999</v>
      </c>
      <c r="G83">
        <v>516.62599999999998</v>
      </c>
      <c r="H83">
        <v>526.81899999999996</v>
      </c>
      <c r="I83">
        <v>608.37199999999996</v>
      </c>
      <c r="J83">
        <v>722.702</v>
      </c>
      <c r="K83">
        <v>935.46400000000006</v>
      </c>
      <c r="L83">
        <v>1138.1099999999999</v>
      </c>
      <c r="M83">
        <v>1145.96</v>
      </c>
      <c r="N83">
        <v>1259.81</v>
      </c>
      <c r="O83">
        <v>1473.82</v>
      </c>
      <c r="P83">
        <v>1638.13</v>
      </c>
      <c r="Q83">
        <v>1832.95</v>
      </c>
      <c r="R83">
        <v>2000.67</v>
      </c>
      <c r="S83">
        <v>2159.58</v>
      </c>
      <c r="T83">
        <v>2317.34</v>
      </c>
      <c r="U83">
        <v>2480.96</v>
      </c>
      <c r="V83">
        <v>2662.07</v>
      </c>
      <c r="W83">
        <v>2859.69</v>
      </c>
      <c r="X83">
        <v>3050.68</v>
      </c>
      <c r="Y83">
        <v>3229.22</v>
      </c>
      <c r="Z83">
        <v>3398.72</v>
      </c>
      <c r="AA83">
        <v>3566.62</v>
      </c>
      <c r="AB83">
        <v>3741.6</v>
      </c>
      <c r="AC83">
        <v>3927.62</v>
      </c>
      <c r="AD83">
        <v>4120.7</v>
      </c>
    </row>
    <row r="84" spans="1:30" x14ac:dyDescent="0.25">
      <c r="A84" t="s">
        <v>232</v>
      </c>
      <c r="B84" t="s">
        <v>117</v>
      </c>
      <c r="C84" t="s">
        <v>233</v>
      </c>
      <c r="D84" t="s">
        <v>234</v>
      </c>
      <c r="E84" t="str">
        <f>_xlfn.XLOOKUP(B84,'Rural population'!$C$2:$C$200,'Rural population'!$G$2:$G$200)</f>
        <v>Middle East</v>
      </c>
      <c r="F84" t="s">
        <v>252</v>
      </c>
      <c r="G84" t="s">
        <v>252</v>
      </c>
      <c r="H84">
        <v>131.54599999999999</v>
      </c>
      <c r="I84">
        <v>86.651300000000006</v>
      </c>
      <c r="J84">
        <v>85.458200000000005</v>
      </c>
      <c r="K84">
        <v>208.715</v>
      </c>
      <c r="L84">
        <v>267.43900000000002</v>
      </c>
      <c r="M84">
        <v>364.322</v>
      </c>
      <c r="N84">
        <v>393.363</v>
      </c>
      <c r="O84">
        <v>445.30399999999997</v>
      </c>
      <c r="P84">
        <v>518.26199999999994</v>
      </c>
      <c r="Q84">
        <v>674.06399999999996</v>
      </c>
      <c r="R84">
        <v>987.702</v>
      </c>
      <c r="S84">
        <v>1379.73</v>
      </c>
      <c r="T84">
        <v>1821.18</v>
      </c>
      <c r="U84">
        <v>2308.5700000000002</v>
      </c>
      <c r="V84">
        <v>2841.41</v>
      </c>
      <c r="W84">
        <v>3418.01</v>
      </c>
      <c r="X84">
        <v>4026.05</v>
      </c>
      <c r="Y84">
        <v>4659.6400000000003</v>
      </c>
      <c r="Z84">
        <v>5306.44</v>
      </c>
      <c r="AA84">
        <v>5962.11</v>
      </c>
      <c r="AB84">
        <v>6628.35</v>
      </c>
      <c r="AC84">
        <v>7306.94</v>
      </c>
      <c r="AD84">
        <v>7998.72</v>
      </c>
    </row>
    <row r="85" spans="1:30" x14ac:dyDescent="0.25">
      <c r="A85" t="s">
        <v>232</v>
      </c>
      <c r="B85" t="s">
        <v>118</v>
      </c>
      <c r="C85" t="s">
        <v>233</v>
      </c>
      <c r="D85" t="s">
        <v>234</v>
      </c>
      <c r="E85" t="str">
        <f>_xlfn.XLOOKUP(B85,'Rural population'!$C$2:$C$200,'Rural population'!$G$2:$G$200)</f>
        <v>Western Europe</v>
      </c>
      <c r="F85">
        <v>6.7830300000000001</v>
      </c>
      <c r="G85">
        <v>7.60358</v>
      </c>
      <c r="H85">
        <v>8.88842</v>
      </c>
      <c r="I85">
        <v>9.0056999999999992</v>
      </c>
      <c r="J85">
        <v>11.021000000000001</v>
      </c>
      <c r="K85">
        <v>13.470499999999999</v>
      </c>
      <c r="L85">
        <v>14.243600000000001</v>
      </c>
      <c r="M85">
        <v>16.278400000000001</v>
      </c>
      <c r="N85">
        <v>17.873899999999999</v>
      </c>
      <c r="O85">
        <v>21.9315</v>
      </c>
      <c r="P85">
        <v>25.052600000000002</v>
      </c>
      <c r="Q85">
        <v>28.1631</v>
      </c>
      <c r="R85">
        <v>31.2788</v>
      </c>
      <c r="S85">
        <v>34.276600000000002</v>
      </c>
      <c r="T85">
        <v>37.019300000000001</v>
      </c>
      <c r="U85">
        <v>39.487099999999998</v>
      </c>
      <c r="V85">
        <v>41.795200000000001</v>
      </c>
      <c r="W85">
        <v>44.014400000000002</v>
      </c>
      <c r="X85">
        <v>46.041899999999998</v>
      </c>
      <c r="Y85">
        <v>47.830199999999998</v>
      </c>
      <c r="Z85">
        <v>49.354700000000001</v>
      </c>
      <c r="AA85">
        <v>50.6006</v>
      </c>
      <c r="AB85">
        <v>51.591099999999997</v>
      </c>
      <c r="AC85">
        <v>52.376300000000001</v>
      </c>
      <c r="AD85">
        <v>53.012099999999997</v>
      </c>
    </row>
    <row r="86" spans="1:30" x14ac:dyDescent="0.25">
      <c r="A86" t="s">
        <v>232</v>
      </c>
      <c r="B86" t="s">
        <v>119</v>
      </c>
      <c r="C86" t="s">
        <v>233</v>
      </c>
      <c r="D86" t="s">
        <v>234</v>
      </c>
      <c r="E86" t="str">
        <f>_xlfn.XLOOKUP(B86,'Rural population'!$C$2:$C$200,'Rural population'!$G$2:$G$200)</f>
        <v>Middle East</v>
      </c>
      <c r="F86">
        <v>74.170599999999993</v>
      </c>
      <c r="G86">
        <v>86.565799999999996</v>
      </c>
      <c r="H86">
        <v>107.33199999999999</v>
      </c>
      <c r="I86">
        <v>148.56399999999999</v>
      </c>
      <c r="J86">
        <v>182.78100000000001</v>
      </c>
      <c r="K86">
        <v>202.547</v>
      </c>
      <c r="L86">
        <v>249.48699999999999</v>
      </c>
      <c r="M86">
        <v>299.85599999999999</v>
      </c>
      <c r="N86">
        <v>348.26600000000002</v>
      </c>
      <c r="O86">
        <v>439.57799999999997</v>
      </c>
      <c r="P86">
        <v>525.96</v>
      </c>
      <c r="Q86">
        <v>616.95699999999999</v>
      </c>
      <c r="R86">
        <v>716.10900000000004</v>
      </c>
      <c r="S86">
        <v>821.22</v>
      </c>
      <c r="T86">
        <v>926.75800000000004</v>
      </c>
      <c r="U86">
        <v>1039.75</v>
      </c>
      <c r="V86">
        <v>1161.18</v>
      </c>
      <c r="W86">
        <v>1290.1099999999999</v>
      </c>
      <c r="X86">
        <v>1422.95</v>
      </c>
      <c r="Y86">
        <v>1558.88</v>
      </c>
      <c r="Z86">
        <v>1697.19</v>
      </c>
      <c r="AA86">
        <v>1838.64</v>
      </c>
      <c r="AB86">
        <v>1984.22</v>
      </c>
      <c r="AC86">
        <v>2134.2800000000002</v>
      </c>
      <c r="AD86">
        <v>2288.35</v>
      </c>
    </row>
    <row r="87" spans="1:30" x14ac:dyDescent="0.25">
      <c r="A87" t="s">
        <v>232</v>
      </c>
      <c r="B87" t="s">
        <v>120</v>
      </c>
      <c r="C87" t="s">
        <v>233</v>
      </c>
      <c r="D87" t="s">
        <v>234</v>
      </c>
      <c r="E87" t="str">
        <f>_xlfn.XLOOKUP(B87,'Rural population'!$C$2:$C$200,'Rural population'!$G$2:$G$200)</f>
        <v>Western Europe</v>
      </c>
      <c r="F87">
        <v>1638.26</v>
      </c>
      <c r="G87">
        <v>1782.16</v>
      </c>
      <c r="H87">
        <v>2078.9</v>
      </c>
      <c r="I87">
        <v>2219.1799999999998</v>
      </c>
      <c r="J87">
        <v>2251.41</v>
      </c>
      <c r="K87">
        <v>2353.27</v>
      </c>
      <c r="L87">
        <v>2315.75</v>
      </c>
      <c r="M87">
        <v>2239.31</v>
      </c>
      <c r="N87">
        <v>2128.59</v>
      </c>
      <c r="O87">
        <v>2455.89</v>
      </c>
      <c r="P87">
        <v>2580.89</v>
      </c>
      <c r="Q87">
        <v>2741.28</v>
      </c>
      <c r="R87">
        <v>2905.58</v>
      </c>
      <c r="S87">
        <v>3072.76</v>
      </c>
      <c r="T87">
        <v>3235.22</v>
      </c>
      <c r="U87">
        <v>3389.39</v>
      </c>
      <c r="V87">
        <v>3532.56</v>
      </c>
      <c r="W87">
        <v>3666.15</v>
      </c>
      <c r="X87">
        <v>3786.96</v>
      </c>
      <c r="Y87">
        <v>3896.69</v>
      </c>
      <c r="Z87">
        <v>3999.05</v>
      </c>
      <c r="AA87">
        <v>4094.38</v>
      </c>
      <c r="AB87">
        <v>4179.41</v>
      </c>
      <c r="AC87">
        <v>4249.91</v>
      </c>
      <c r="AD87">
        <v>4300.3599999999997</v>
      </c>
    </row>
    <row r="88" spans="1:30" x14ac:dyDescent="0.25">
      <c r="A88" t="s">
        <v>232</v>
      </c>
      <c r="B88" t="s">
        <v>121</v>
      </c>
      <c r="C88" t="s">
        <v>233</v>
      </c>
      <c r="D88" t="s">
        <v>234</v>
      </c>
      <c r="E88" t="str">
        <f>_xlfn.XLOOKUP(B88,'Rural population'!$C$2:$C$200,'Rural population'!$G$2:$G$200)</f>
        <v>Central America</v>
      </c>
      <c r="F88">
        <v>16.805399999999999</v>
      </c>
      <c r="G88">
        <v>18.8476</v>
      </c>
      <c r="H88">
        <v>22.896999999999998</v>
      </c>
      <c r="I88">
        <v>25.331600000000002</v>
      </c>
      <c r="J88">
        <v>25.107900000000001</v>
      </c>
      <c r="K88">
        <v>27.131399999999999</v>
      </c>
      <c r="L88">
        <v>26.742000000000001</v>
      </c>
      <c r="M88">
        <v>27.439699999999998</v>
      </c>
      <c r="N88">
        <v>25.9695</v>
      </c>
      <c r="O88">
        <v>30.183800000000002</v>
      </c>
      <c r="P88">
        <v>32.5349</v>
      </c>
      <c r="Q88">
        <v>35.503900000000002</v>
      </c>
      <c r="R88">
        <v>39.5336</v>
      </c>
      <c r="S88">
        <v>44.600099999999998</v>
      </c>
      <c r="T88">
        <v>50.709299999999999</v>
      </c>
      <c r="U88">
        <v>57.923299999999998</v>
      </c>
      <c r="V88">
        <v>66.346000000000004</v>
      </c>
      <c r="W88">
        <v>76.009399999999999</v>
      </c>
      <c r="X88">
        <v>86.595500000000001</v>
      </c>
      <c r="Y88">
        <v>97.938400000000001</v>
      </c>
      <c r="Z88">
        <v>109.749</v>
      </c>
      <c r="AA88">
        <v>121.985</v>
      </c>
      <c r="AB88">
        <v>134.667</v>
      </c>
      <c r="AC88">
        <v>147.881</v>
      </c>
      <c r="AD88">
        <v>161.708</v>
      </c>
    </row>
    <row r="89" spans="1:30" x14ac:dyDescent="0.25">
      <c r="A89" t="s">
        <v>232</v>
      </c>
      <c r="B89" t="s">
        <v>122</v>
      </c>
      <c r="C89" t="s">
        <v>233</v>
      </c>
      <c r="D89" t="s">
        <v>234</v>
      </c>
      <c r="E89" t="str">
        <f>_xlfn.XLOOKUP(B89,'Rural population'!$C$2:$C$200,'Rural population'!$G$2:$G$200)</f>
        <v>Middle East</v>
      </c>
      <c r="F89">
        <v>23.239000000000001</v>
      </c>
      <c r="G89">
        <v>29.9053</v>
      </c>
      <c r="H89">
        <v>29.430900000000001</v>
      </c>
      <c r="I89">
        <v>37.673099999999998</v>
      </c>
      <c r="J89">
        <v>44.2209</v>
      </c>
      <c r="K89">
        <v>60.613900000000001</v>
      </c>
      <c r="L89">
        <v>82.253299999999996</v>
      </c>
      <c r="M89">
        <v>94.115099999999998</v>
      </c>
      <c r="N89">
        <v>100.371</v>
      </c>
      <c r="O89">
        <v>114.145</v>
      </c>
      <c r="P89">
        <v>132.59700000000001</v>
      </c>
      <c r="Q89">
        <v>155.834</v>
      </c>
      <c r="R89">
        <v>185.619</v>
      </c>
      <c r="S89">
        <v>222.40299999999999</v>
      </c>
      <c r="T89">
        <v>266.64100000000002</v>
      </c>
      <c r="U89">
        <v>318.47000000000003</v>
      </c>
      <c r="V89">
        <v>377.71600000000001</v>
      </c>
      <c r="W89">
        <v>443.29700000000003</v>
      </c>
      <c r="X89">
        <v>513.91800000000001</v>
      </c>
      <c r="Y89">
        <v>588.673</v>
      </c>
      <c r="Z89">
        <v>667.09799999999996</v>
      </c>
      <c r="AA89">
        <v>749.11800000000005</v>
      </c>
      <c r="AB89">
        <v>834.08399999999995</v>
      </c>
      <c r="AC89">
        <v>921.13499999999999</v>
      </c>
      <c r="AD89">
        <v>1009.6</v>
      </c>
    </row>
    <row r="90" spans="1:30" x14ac:dyDescent="0.25">
      <c r="A90" t="s">
        <v>232</v>
      </c>
      <c r="B90" t="s">
        <v>123</v>
      </c>
      <c r="C90" t="s">
        <v>233</v>
      </c>
      <c r="D90" t="s">
        <v>234</v>
      </c>
      <c r="E90" t="str">
        <f>_xlfn.XLOOKUP(B90,'Rural population'!$C$2:$C$200,'Rural population'!$G$2:$G$200)</f>
        <v>Japan</v>
      </c>
      <c r="F90">
        <v>2574.5</v>
      </c>
      <c r="G90">
        <v>3174.06</v>
      </c>
      <c r="H90">
        <v>4050.12</v>
      </c>
      <c r="I90">
        <v>4374.8999999999996</v>
      </c>
      <c r="J90">
        <v>4663.91</v>
      </c>
      <c r="K90">
        <v>4947.42</v>
      </c>
      <c r="L90">
        <v>4935.49</v>
      </c>
      <c r="M90">
        <v>5199.91</v>
      </c>
      <c r="N90">
        <v>5113.07</v>
      </c>
      <c r="O90">
        <v>5485.67</v>
      </c>
      <c r="P90">
        <v>5705.2</v>
      </c>
      <c r="Q90">
        <v>5948.75</v>
      </c>
      <c r="R90">
        <v>6157.06</v>
      </c>
      <c r="S90">
        <v>6371.42</v>
      </c>
      <c r="T90">
        <v>6598.6</v>
      </c>
      <c r="U90">
        <v>6815.61</v>
      </c>
      <c r="V90">
        <v>7007.88</v>
      </c>
      <c r="W90">
        <v>7173.6</v>
      </c>
      <c r="X90">
        <v>7306.8</v>
      </c>
      <c r="Y90">
        <v>7413.1</v>
      </c>
      <c r="Z90">
        <v>7508.57</v>
      </c>
      <c r="AA90">
        <v>7601.83</v>
      </c>
      <c r="AB90">
        <v>7687.09</v>
      </c>
      <c r="AC90">
        <v>7751.97</v>
      </c>
      <c r="AD90">
        <v>7782.79</v>
      </c>
    </row>
    <row r="91" spans="1:30" x14ac:dyDescent="0.25">
      <c r="A91" t="s">
        <v>232</v>
      </c>
      <c r="B91" t="s">
        <v>124</v>
      </c>
      <c r="C91" t="s">
        <v>233</v>
      </c>
      <c r="D91" t="s">
        <v>234</v>
      </c>
      <c r="E91" t="str">
        <f>_xlfn.XLOOKUP(B91,'Rural population'!$C$2:$C$200,'Rural population'!$G$2:$G$200)</f>
        <v>Central Asia</v>
      </c>
      <c r="F91" t="s">
        <v>252</v>
      </c>
      <c r="G91" t="s">
        <v>252</v>
      </c>
      <c r="H91">
        <v>220.3</v>
      </c>
      <c r="I91">
        <v>135.678</v>
      </c>
      <c r="J91">
        <v>153.405</v>
      </c>
      <c r="K91">
        <v>251.23099999999999</v>
      </c>
      <c r="L91">
        <v>339.72199999999998</v>
      </c>
      <c r="M91">
        <v>427.78699999999998</v>
      </c>
      <c r="N91">
        <v>475.18200000000002</v>
      </c>
      <c r="O91">
        <v>582.08299999999997</v>
      </c>
      <c r="P91">
        <v>668.59699999999998</v>
      </c>
      <c r="Q91">
        <v>767.13499999999999</v>
      </c>
      <c r="R91">
        <v>861.13599999999997</v>
      </c>
      <c r="S91">
        <v>945.83</v>
      </c>
      <c r="T91">
        <v>1024.2</v>
      </c>
      <c r="U91">
        <v>1105.99</v>
      </c>
      <c r="V91">
        <v>1197.07</v>
      </c>
      <c r="W91">
        <v>1302.08</v>
      </c>
      <c r="X91">
        <v>1417.33</v>
      </c>
      <c r="Y91">
        <v>1539.17</v>
      </c>
      <c r="Z91">
        <v>1667.96</v>
      </c>
      <c r="AA91">
        <v>1806.77</v>
      </c>
      <c r="AB91">
        <v>1957.78</v>
      </c>
      <c r="AC91">
        <v>2120.88</v>
      </c>
      <c r="AD91">
        <v>2293.84</v>
      </c>
    </row>
    <row r="92" spans="1:30" x14ac:dyDescent="0.25">
      <c r="A92" t="s">
        <v>232</v>
      </c>
      <c r="B92" t="s">
        <v>125</v>
      </c>
      <c r="C92" t="s">
        <v>233</v>
      </c>
      <c r="D92" t="s">
        <v>234</v>
      </c>
      <c r="E92" t="str">
        <f>_xlfn.XLOOKUP(B92,'Rural population'!$C$2:$C$200,'Rural population'!$G$2:$G$200)</f>
        <v>Eastern Africa</v>
      </c>
      <c r="F92">
        <v>56.559199999999997</v>
      </c>
      <c r="G92">
        <v>66.444100000000006</v>
      </c>
      <c r="H92">
        <v>86.877499999999998</v>
      </c>
      <c r="I92">
        <v>93.034099999999995</v>
      </c>
      <c r="J92">
        <v>103.07899999999999</v>
      </c>
      <c r="K92">
        <v>122.583</v>
      </c>
      <c r="L92">
        <v>155.136</v>
      </c>
      <c r="M92">
        <v>195.12799999999999</v>
      </c>
      <c r="N92">
        <v>233.85</v>
      </c>
      <c r="O92">
        <v>307.03500000000003</v>
      </c>
      <c r="P92">
        <v>399.36700000000002</v>
      </c>
      <c r="Q92">
        <v>511.68099999999998</v>
      </c>
      <c r="R92">
        <v>645.00300000000004</v>
      </c>
      <c r="S92">
        <v>806.32600000000002</v>
      </c>
      <c r="T92">
        <v>999.74699999999996</v>
      </c>
      <c r="U92">
        <v>1228.95</v>
      </c>
      <c r="V92">
        <v>1496.23</v>
      </c>
      <c r="W92">
        <v>1804.5</v>
      </c>
      <c r="X92">
        <v>2149.4699999999998</v>
      </c>
      <c r="Y92">
        <v>2532.94</v>
      </c>
      <c r="Z92">
        <v>2951.69</v>
      </c>
      <c r="AA92">
        <v>3403.44</v>
      </c>
      <c r="AB92">
        <v>3886.4</v>
      </c>
      <c r="AC92">
        <v>4401.41</v>
      </c>
      <c r="AD92">
        <v>4950.03</v>
      </c>
    </row>
    <row r="93" spans="1:30" x14ac:dyDescent="0.25">
      <c r="A93" t="s">
        <v>232</v>
      </c>
      <c r="B93" t="s">
        <v>126</v>
      </c>
      <c r="C93" t="s">
        <v>233</v>
      </c>
      <c r="D93" t="s">
        <v>234</v>
      </c>
      <c r="E93" t="str">
        <f>_xlfn.XLOOKUP(B93,'Rural population'!$C$2:$C$200,'Rural population'!$G$2:$G$200)</f>
        <v>Central Asia</v>
      </c>
      <c r="F93" t="s">
        <v>252</v>
      </c>
      <c r="G93" t="s">
        <v>252</v>
      </c>
      <c r="H93">
        <v>22.651199999999999</v>
      </c>
      <c r="I93">
        <v>11.5688</v>
      </c>
      <c r="J93">
        <v>15.198600000000001</v>
      </c>
      <c r="K93">
        <v>18.301300000000001</v>
      </c>
      <c r="L93">
        <v>22.559799999999999</v>
      </c>
      <c r="M93">
        <v>28.6233</v>
      </c>
      <c r="N93">
        <v>31.430900000000001</v>
      </c>
      <c r="O93">
        <v>39.495199999999997</v>
      </c>
      <c r="P93">
        <v>48.104300000000002</v>
      </c>
      <c r="Q93">
        <v>58.598100000000002</v>
      </c>
      <c r="R93">
        <v>70.433599999999998</v>
      </c>
      <c r="S93">
        <v>83.660300000000007</v>
      </c>
      <c r="T93">
        <v>98.793099999999995</v>
      </c>
      <c r="U93">
        <v>116.379</v>
      </c>
      <c r="V93">
        <v>136.67500000000001</v>
      </c>
      <c r="W93">
        <v>159.964</v>
      </c>
      <c r="X93">
        <v>186.02699999999999</v>
      </c>
      <c r="Y93">
        <v>214.66200000000001</v>
      </c>
      <c r="Z93">
        <v>245.815</v>
      </c>
      <c r="AA93">
        <v>279.88400000000001</v>
      </c>
      <c r="AB93">
        <v>317.334</v>
      </c>
      <c r="AC93">
        <v>358.17700000000002</v>
      </c>
      <c r="AD93">
        <v>402.13499999999999</v>
      </c>
    </row>
    <row r="94" spans="1:30" x14ac:dyDescent="0.25">
      <c r="A94" t="s">
        <v>232</v>
      </c>
      <c r="B94" t="s">
        <v>127</v>
      </c>
      <c r="C94" t="s">
        <v>233</v>
      </c>
      <c r="D94" t="s">
        <v>234</v>
      </c>
      <c r="E94" t="str">
        <f>_xlfn.XLOOKUP(B94,'Rural population'!$C$2:$C$200,'Rural population'!$G$2:$G$200)</f>
        <v>Southeastern Asia</v>
      </c>
      <c r="F94" t="s">
        <v>252</v>
      </c>
      <c r="G94" t="s">
        <v>252</v>
      </c>
      <c r="H94">
        <v>9.1697600000000001</v>
      </c>
      <c r="I94">
        <v>12.600300000000001</v>
      </c>
      <c r="J94">
        <v>17.941400000000002</v>
      </c>
      <c r="K94">
        <v>28.146899999999999</v>
      </c>
      <c r="L94">
        <v>38.881999999999998</v>
      </c>
      <c r="M94">
        <v>55.003399999999999</v>
      </c>
      <c r="N94">
        <v>70.116</v>
      </c>
      <c r="O94">
        <v>90.6875</v>
      </c>
      <c r="P94">
        <v>123.392</v>
      </c>
      <c r="Q94">
        <v>164.70599999999999</v>
      </c>
      <c r="R94">
        <v>214.184</v>
      </c>
      <c r="S94">
        <v>273.70299999999997</v>
      </c>
      <c r="T94">
        <v>344.863</v>
      </c>
      <c r="U94">
        <v>427.52300000000002</v>
      </c>
      <c r="V94">
        <v>526.096</v>
      </c>
      <c r="W94">
        <v>639.322</v>
      </c>
      <c r="X94">
        <v>761.26499999999999</v>
      </c>
      <c r="Y94">
        <v>889.16600000000005</v>
      </c>
      <c r="Z94">
        <v>1021.17</v>
      </c>
      <c r="AA94">
        <v>1156.99</v>
      </c>
      <c r="AB94">
        <v>1295.8800000000001</v>
      </c>
      <c r="AC94">
        <v>1436.25</v>
      </c>
      <c r="AD94">
        <v>1576.47</v>
      </c>
    </row>
    <row r="95" spans="1:30" x14ac:dyDescent="0.25">
      <c r="A95" t="s">
        <v>232</v>
      </c>
      <c r="B95" t="s">
        <v>128</v>
      </c>
      <c r="C95" t="s">
        <v>233</v>
      </c>
      <c r="D95" t="s">
        <v>234</v>
      </c>
      <c r="E95" t="str">
        <f>_xlfn.XLOOKUP(B95,'Rural population'!$C$2:$C$200,'Rural population'!$G$2:$G$200)</f>
        <v>Oceania</v>
      </c>
      <c r="F95">
        <v>0.135545</v>
      </c>
      <c r="G95">
        <v>0.129494</v>
      </c>
      <c r="H95">
        <v>0.13796600000000001</v>
      </c>
      <c r="I95">
        <v>0.14280699999999999</v>
      </c>
      <c r="J95">
        <v>0.16459099999999999</v>
      </c>
      <c r="K95">
        <v>0.17669299999999999</v>
      </c>
      <c r="L95">
        <v>0.17669299999999999</v>
      </c>
      <c r="M95">
        <v>0.21421000000000001</v>
      </c>
      <c r="N95">
        <v>0.21542000000000003</v>
      </c>
      <c r="O95">
        <v>0.25293699999999997</v>
      </c>
      <c r="P95">
        <v>0.29004000000000002</v>
      </c>
      <c r="Q95">
        <v>0.37406</v>
      </c>
      <c r="R95">
        <v>0.498859</v>
      </c>
      <c r="S95">
        <v>0.67634299999999992</v>
      </c>
      <c r="T95">
        <v>0.92466000000000004</v>
      </c>
      <c r="U95">
        <v>1.27251</v>
      </c>
      <c r="V95">
        <v>1.7597200000000002</v>
      </c>
      <c r="W95">
        <v>2.4304100000000002</v>
      </c>
      <c r="X95">
        <v>3.32368</v>
      </c>
      <c r="Y95">
        <v>4.4787600000000003</v>
      </c>
      <c r="Z95">
        <v>5.92638</v>
      </c>
      <c r="AA95">
        <v>7.7091399999999997</v>
      </c>
      <c r="AB95">
        <v>9.8683599999999991</v>
      </c>
      <c r="AC95">
        <v>12.430400000000001</v>
      </c>
      <c r="AD95">
        <v>15.4064</v>
      </c>
    </row>
    <row r="96" spans="1:30" x14ac:dyDescent="0.25">
      <c r="A96" t="s">
        <v>232</v>
      </c>
      <c r="B96" t="s">
        <v>129</v>
      </c>
      <c r="C96" t="s">
        <v>233</v>
      </c>
      <c r="D96" t="s">
        <v>234</v>
      </c>
      <c r="E96" t="str">
        <f>_xlfn.XLOOKUP(B96,'Rural population'!$C$2:$C$200,'Rural population'!$G$2:$G$200)</f>
        <v>Korea region</v>
      </c>
      <c r="F96">
        <v>208.95500000000001</v>
      </c>
      <c r="G96">
        <v>328.15499999999997</v>
      </c>
      <c r="H96">
        <v>542.56799999999998</v>
      </c>
      <c r="I96">
        <v>817.10299999999995</v>
      </c>
      <c r="J96">
        <v>1053.72</v>
      </c>
      <c r="K96">
        <v>1347.11</v>
      </c>
      <c r="L96">
        <v>1663.72</v>
      </c>
      <c r="M96">
        <v>1933.58</v>
      </c>
      <c r="N96">
        <v>2145.25</v>
      </c>
      <c r="O96">
        <v>2430.62</v>
      </c>
      <c r="P96">
        <v>2670.11</v>
      </c>
      <c r="Q96">
        <v>2844.86</v>
      </c>
      <c r="R96">
        <v>2969.21</v>
      </c>
      <c r="S96">
        <v>3058.72</v>
      </c>
      <c r="T96">
        <v>3120.21</v>
      </c>
      <c r="U96">
        <v>3148.34</v>
      </c>
      <c r="V96">
        <v>3147.11</v>
      </c>
      <c r="W96">
        <v>3133.4</v>
      </c>
      <c r="X96">
        <v>3104.19</v>
      </c>
      <c r="Y96">
        <v>3059.14</v>
      </c>
      <c r="Z96">
        <v>2999.27</v>
      </c>
      <c r="AA96">
        <v>2928.87</v>
      </c>
      <c r="AB96">
        <v>2850</v>
      </c>
      <c r="AC96">
        <v>2764.51</v>
      </c>
      <c r="AD96">
        <v>2675.99</v>
      </c>
    </row>
    <row r="97" spans="1:30" x14ac:dyDescent="0.25">
      <c r="A97" t="s">
        <v>232</v>
      </c>
      <c r="B97" t="s">
        <v>130</v>
      </c>
      <c r="C97" t="s">
        <v>233</v>
      </c>
      <c r="D97" t="s">
        <v>234</v>
      </c>
      <c r="E97" t="str">
        <f>_xlfn.XLOOKUP(B97,'Rural population'!$C$2:$C$200,'Rural population'!$G$2:$G$200)</f>
        <v>Middle East</v>
      </c>
      <c r="F97">
        <v>83.318899999999999</v>
      </c>
      <c r="G97">
        <v>64.834900000000005</v>
      </c>
      <c r="H97">
        <v>63.590200000000003</v>
      </c>
      <c r="I97">
        <v>102.33499999999999</v>
      </c>
      <c r="J97">
        <v>112.452</v>
      </c>
      <c r="K97">
        <v>166.07900000000001</v>
      </c>
      <c r="L97">
        <v>175.952</v>
      </c>
      <c r="M97">
        <v>210.31899999999999</v>
      </c>
      <c r="N97">
        <v>191.52099999999999</v>
      </c>
      <c r="O97">
        <v>225.983</v>
      </c>
      <c r="P97">
        <v>255.53700000000001</v>
      </c>
      <c r="Q97">
        <v>290.21100000000001</v>
      </c>
      <c r="R97">
        <v>326.78699999999998</v>
      </c>
      <c r="S97">
        <v>361.137</v>
      </c>
      <c r="T97">
        <v>394.71800000000002</v>
      </c>
      <c r="U97">
        <v>426.84300000000002</v>
      </c>
      <c r="V97">
        <v>457.35</v>
      </c>
      <c r="W97">
        <v>483.29</v>
      </c>
      <c r="X97">
        <v>502.95299999999997</v>
      </c>
      <c r="Y97">
        <v>521.44799999999998</v>
      </c>
      <c r="Z97">
        <v>540.26</v>
      </c>
      <c r="AA97">
        <v>560.69500000000005</v>
      </c>
      <c r="AB97">
        <v>582.91</v>
      </c>
      <c r="AC97">
        <v>605.69899999999996</v>
      </c>
      <c r="AD97">
        <v>627.29300000000001</v>
      </c>
    </row>
    <row r="98" spans="1:30" x14ac:dyDescent="0.25">
      <c r="A98" t="s">
        <v>232</v>
      </c>
      <c r="B98" t="s">
        <v>131</v>
      </c>
      <c r="C98" t="s">
        <v>233</v>
      </c>
      <c r="D98" t="s">
        <v>234</v>
      </c>
      <c r="E98" t="str">
        <f>_xlfn.XLOOKUP(B98,'Rural population'!$C$2:$C$200,'Rural population'!$G$2:$G$200)</f>
        <v>Southeastern Asia</v>
      </c>
      <c r="F98">
        <v>4.9003199999999998</v>
      </c>
      <c r="G98">
        <v>7.0799300000000001</v>
      </c>
      <c r="H98">
        <v>8.4369099999999992</v>
      </c>
      <c r="I98">
        <v>11.5076</v>
      </c>
      <c r="J98">
        <v>15.182600000000001</v>
      </c>
      <c r="K98">
        <v>20.6784</v>
      </c>
      <c r="L98">
        <v>30.386900000000001</v>
      </c>
      <c r="M98">
        <v>44.112499999999997</v>
      </c>
      <c r="N98">
        <v>55.867699999999999</v>
      </c>
      <c r="O98">
        <v>65.644499999999994</v>
      </c>
      <c r="P98">
        <v>81.981300000000005</v>
      </c>
      <c r="Q98">
        <v>102.21299999999999</v>
      </c>
      <c r="R98">
        <v>124.81100000000001</v>
      </c>
      <c r="S98">
        <v>150.53800000000001</v>
      </c>
      <c r="T98">
        <v>179.80799999999999</v>
      </c>
      <c r="U98">
        <v>212.77699999999999</v>
      </c>
      <c r="V98">
        <v>249.41</v>
      </c>
      <c r="W98">
        <v>289.69799999999998</v>
      </c>
      <c r="X98">
        <v>331.851</v>
      </c>
      <c r="Y98">
        <v>375.77800000000002</v>
      </c>
      <c r="Z98">
        <v>420.464</v>
      </c>
      <c r="AA98">
        <v>465.97</v>
      </c>
      <c r="AB98">
        <v>512.49199999999996</v>
      </c>
      <c r="AC98">
        <v>560.20500000000004</v>
      </c>
      <c r="AD98">
        <v>609.00400000000002</v>
      </c>
    </row>
    <row r="99" spans="1:30" x14ac:dyDescent="0.25">
      <c r="A99" t="s">
        <v>232</v>
      </c>
      <c r="B99" t="s">
        <v>132</v>
      </c>
      <c r="C99" t="s">
        <v>233</v>
      </c>
      <c r="D99" t="s">
        <v>234</v>
      </c>
      <c r="E99" t="str">
        <f>_xlfn.XLOOKUP(B99,'Rural population'!$C$2:$C$200,'Rural population'!$G$2:$G$200)</f>
        <v>Middle East</v>
      </c>
      <c r="F99">
        <v>48.433999999999997</v>
      </c>
      <c r="G99">
        <v>67.839100000000002</v>
      </c>
      <c r="H99">
        <v>26.5243</v>
      </c>
      <c r="I99">
        <v>47.151299999999999</v>
      </c>
      <c r="J99">
        <v>56.325699999999998</v>
      </c>
      <c r="K99">
        <v>66.619500000000002</v>
      </c>
      <c r="L99">
        <v>96.000799999999998</v>
      </c>
      <c r="M99">
        <v>106.16800000000001</v>
      </c>
      <c r="N99">
        <v>73.619900000000001</v>
      </c>
      <c r="O99">
        <v>69.806100000000001</v>
      </c>
      <c r="P99">
        <v>78.523600000000002</v>
      </c>
      <c r="Q99">
        <v>88.692899999999995</v>
      </c>
      <c r="R99">
        <v>101.354</v>
      </c>
      <c r="S99">
        <v>117.04600000000001</v>
      </c>
      <c r="T99">
        <v>135.69399999999999</v>
      </c>
      <c r="U99">
        <v>157.21600000000001</v>
      </c>
      <c r="V99">
        <v>181.44900000000001</v>
      </c>
      <c r="W99">
        <v>208.13200000000001</v>
      </c>
      <c r="X99">
        <v>236.61799999999999</v>
      </c>
      <c r="Y99">
        <v>266.40600000000001</v>
      </c>
      <c r="Z99">
        <v>297.20400000000001</v>
      </c>
      <c r="AA99">
        <v>329.01299999999998</v>
      </c>
      <c r="AB99">
        <v>361.39400000000001</v>
      </c>
      <c r="AC99">
        <v>393.601</v>
      </c>
      <c r="AD99">
        <v>425.39699999999999</v>
      </c>
    </row>
    <row r="100" spans="1:30" x14ac:dyDescent="0.25">
      <c r="A100" t="s">
        <v>232</v>
      </c>
      <c r="B100" t="s">
        <v>133</v>
      </c>
      <c r="C100" t="s">
        <v>233</v>
      </c>
      <c r="D100" t="s">
        <v>234</v>
      </c>
      <c r="E100" t="str">
        <f>_xlfn.XLOOKUP(B100,'Rural population'!$C$2:$C$200,'Rural population'!$G$2:$G$200)</f>
        <v>Western Africa</v>
      </c>
      <c r="F100" t="s">
        <v>252</v>
      </c>
      <c r="G100" t="s">
        <v>252</v>
      </c>
      <c r="H100" t="s">
        <v>252</v>
      </c>
      <c r="I100" t="s">
        <v>252</v>
      </c>
      <c r="J100">
        <v>4.5711300000000001</v>
      </c>
      <c r="K100">
        <v>3.83385</v>
      </c>
      <c r="L100">
        <v>5.5832199999999998</v>
      </c>
      <c r="M100">
        <v>7.1471499999999999</v>
      </c>
      <c r="N100">
        <v>6.8991500000000006</v>
      </c>
      <c r="O100">
        <v>8.8920399999999997</v>
      </c>
      <c r="P100">
        <v>12.139200000000001</v>
      </c>
      <c r="Q100">
        <v>16.0059</v>
      </c>
      <c r="R100">
        <v>20.8005</v>
      </c>
      <c r="S100">
        <v>26.934100000000001</v>
      </c>
      <c r="T100">
        <v>34.784999999999997</v>
      </c>
      <c r="U100">
        <v>44.753399999999999</v>
      </c>
      <c r="V100">
        <v>57.232399999999998</v>
      </c>
      <c r="W100">
        <v>72.607699999999994</v>
      </c>
      <c r="X100">
        <v>91.181799999999996</v>
      </c>
      <c r="Y100">
        <v>113.39100000000001</v>
      </c>
      <c r="Z100">
        <v>139.47399999999999</v>
      </c>
      <c r="AA100">
        <v>169.55699999999999</v>
      </c>
      <c r="AB100">
        <v>203.77799999999999</v>
      </c>
      <c r="AC100">
        <v>242.238</v>
      </c>
      <c r="AD100">
        <v>285.18299999999999</v>
      </c>
    </row>
    <row r="101" spans="1:30" x14ac:dyDescent="0.25">
      <c r="A101" t="s">
        <v>232</v>
      </c>
      <c r="B101" t="s">
        <v>134</v>
      </c>
      <c r="C101" t="s">
        <v>233</v>
      </c>
      <c r="D101" t="s">
        <v>234</v>
      </c>
      <c r="E101" t="str">
        <f>_xlfn.XLOOKUP(B101,'Rural population'!$C$2:$C$200,'Rural population'!$G$2:$G$200)</f>
        <v>Northern Africa</v>
      </c>
      <c r="F101">
        <v>231.10400000000001</v>
      </c>
      <c r="G101">
        <v>164.90700000000001</v>
      </c>
      <c r="H101">
        <v>149.15299999999999</v>
      </c>
      <c r="I101">
        <v>139.006</v>
      </c>
      <c r="J101">
        <v>142.053</v>
      </c>
      <c r="K101">
        <v>190.86</v>
      </c>
      <c r="L101">
        <v>203.809</v>
      </c>
      <c r="M101">
        <v>118.327</v>
      </c>
      <c r="N101">
        <v>104.432</v>
      </c>
      <c r="O101">
        <v>156.52500000000001</v>
      </c>
      <c r="P101">
        <v>178.875</v>
      </c>
      <c r="Q101">
        <v>191.822</v>
      </c>
      <c r="R101">
        <v>219.285</v>
      </c>
      <c r="S101">
        <v>260.95600000000002</v>
      </c>
      <c r="T101">
        <v>315.62900000000002</v>
      </c>
      <c r="U101">
        <v>382.30700000000002</v>
      </c>
      <c r="V101">
        <v>458.94</v>
      </c>
      <c r="W101">
        <v>543.16700000000003</v>
      </c>
      <c r="X101">
        <v>632.25599999999997</v>
      </c>
      <c r="Y101">
        <v>726.53899999999999</v>
      </c>
      <c r="Z101">
        <v>826.35900000000004</v>
      </c>
      <c r="AA101">
        <v>931.91200000000003</v>
      </c>
      <c r="AB101">
        <v>1043.22</v>
      </c>
      <c r="AC101">
        <v>1159.08</v>
      </c>
      <c r="AD101">
        <v>1277.96</v>
      </c>
    </row>
    <row r="102" spans="1:30" x14ac:dyDescent="0.25">
      <c r="A102" t="s">
        <v>232</v>
      </c>
      <c r="B102" t="s">
        <v>135</v>
      </c>
      <c r="C102" t="s">
        <v>233</v>
      </c>
      <c r="D102" t="s">
        <v>234</v>
      </c>
      <c r="E102" t="e">
        <f>_xlfn.XLOOKUP(B102,'Rural population'!$C$2:$C$200,'Rural population'!$G$2:$G$200)</f>
        <v>#N/A</v>
      </c>
      <c r="F102">
        <v>0.72673100000000002</v>
      </c>
      <c r="G102">
        <v>0.98713499999999998</v>
      </c>
      <c r="H102">
        <v>1.6004100000000001</v>
      </c>
      <c r="I102">
        <v>1.8033300000000001</v>
      </c>
      <c r="J102">
        <v>2.0122599999999999</v>
      </c>
      <c r="K102">
        <v>2.1737000000000002</v>
      </c>
      <c r="L102">
        <v>2.4405999999999999</v>
      </c>
      <c r="M102">
        <v>2.5195699999999999</v>
      </c>
      <c r="N102">
        <v>2.1212200000000001</v>
      </c>
      <c r="O102">
        <v>2.9504100000000002</v>
      </c>
      <c r="P102">
        <v>3.1797399999999998</v>
      </c>
      <c r="Q102">
        <v>3.44794</v>
      </c>
      <c r="R102">
        <v>3.7971300000000001</v>
      </c>
      <c r="S102">
        <v>4.22112</v>
      </c>
      <c r="T102">
        <v>4.7099700000000002</v>
      </c>
      <c r="U102">
        <v>5.2577800000000003</v>
      </c>
      <c r="V102">
        <v>5.8691000000000004</v>
      </c>
      <c r="W102">
        <v>6.5534699999999999</v>
      </c>
      <c r="X102">
        <v>7.2895399999999997</v>
      </c>
      <c r="Y102">
        <v>8.06325</v>
      </c>
      <c r="Z102">
        <v>8.8555100000000007</v>
      </c>
      <c r="AA102">
        <v>9.6600900000000003</v>
      </c>
      <c r="AB102">
        <v>10.4796</v>
      </c>
      <c r="AC102">
        <v>11.321999999999999</v>
      </c>
      <c r="AD102">
        <v>12.193899999999999</v>
      </c>
    </row>
    <row r="103" spans="1:30" x14ac:dyDescent="0.25">
      <c r="A103" t="s">
        <v>232</v>
      </c>
      <c r="B103" t="s">
        <v>136</v>
      </c>
      <c r="C103" t="s">
        <v>233</v>
      </c>
      <c r="D103" t="s">
        <v>234</v>
      </c>
      <c r="E103" t="str">
        <f>_xlfn.XLOOKUP(B103,'Rural population'!$C$2:$C$200,'Rural population'!$G$2:$G$200)</f>
        <v>Rest of South Asia</v>
      </c>
      <c r="F103">
        <v>42.844799999999999</v>
      </c>
      <c r="G103">
        <v>54.966799999999999</v>
      </c>
      <c r="H103">
        <v>64.836399999999998</v>
      </c>
      <c r="I103">
        <v>85.704400000000007</v>
      </c>
      <c r="J103">
        <v>116.30800000000001</v>
      </c>
      <c r="K103">
        <v>140.39099999999999</v>
      </c>
      <c r="L103">
        <v>191.28399999999999</v>
      </c>
      <c r="M103">
        <v>260.459</v>
      </c>
      <c r="N103">
        <v>283.61900000000003</v>
      </c>
      <c r="O103">
        <v>273.45499999999998</v>
      </c>
      <c r="P103">
        <v>320.47699999999998</v>
      </c>
      <c r="Q103">
        <v>372.36200000000002</v>
      </c>
      <c r="R103">
        <v>426.68900000000002</v>
      </c>
      <c r="S103">
        <v>484.22699999999998</v>
      </c>
      <c r="T103">
        <v>546.04600000000005</v>
      </c>
      <c r="U103">
        <v>613.91999999999996</v>
      </c>
      <c r="V103">
        <v>687.80799999999999</v>
      </c>
      <c r="W103">
        <v>767.13499999999999</v>
      </c>
      <c r="X103">
        <v>850.70699999999999</v>
      </c>
      <c r="Y103">
        <v>938.08900000000006</v>
      </c>
      <c r="Z103">
        <v>1028.92</v>
      </c>
      <c r="AA103">
        <v>1123.06</v>
      </c>
      <c r="AB103">
        <v>1219.1400000000001</v>
      </c>
      <c r="AC103">
        <v>1316.13</v>
      </c>
      <c r="AD103">
        <v>1413.5</v>
      </c>
    </row>
    <row r="104" spans="1:30" x14ac:dyDescent="0.25">
      <c r="A104" t="s">
        <v>232</v>
      </c>
      <c r="B104" t="s">
        <v>137</v>
      </c>
      <c r="C104" t="s">
        <v>233</v>
      </c>
      <c r="D104" t="s">
        <v>234</v>
      </c>
      <c r="E104" t="str">
        <f>_xlfn.XLOOKUP(B104,'Rural population'!$C$2:$C$200,'Rural population'!$G$2:$G$200)</f>
        <v>Rest of Southern Africa</v>
      </c>
      <c r="F104">
        <v>1.4984</v>
      </c>
      <c r="G104">
        <v>1.8122</v>
      </c>
      <c r="H104">
        <v>2.3494299999999999</v>
      </c>
      <c r="I104">
        <v>3.0508099999999998</v>
      </c>
      <c r="J104">
        <v>3.52691</v>
      </c>
      <c r="K104">
        <v>4.1020799999999999</v>
      </c>
      <c r="L104">
        <v>4.8748699999999996</v>
      </c>
      <c r="M104">
        <v>5.7754300000000001</v>
      </c>
      <c r="N104">
        <v>5.3209299999999997</v>
      </c>
      <c r="O104">
        <v>5.9242999999999997</v>
      </c>
      <c r="P104">
        <v>6.62934</v>
      </c>
      <c r="Q104">
        <v>7.9044299999999996</v>
      </c>
      <c r="R104">
        <v>9.3873300000000004</v>
      </c>
      <c r="S104">
        <v>11.081200000000001</v>
      </c>
      <c r="T104">
        <v>13.045400000000001</v>
      </c>
      <c r="U104">
        <v>15.3378</v>
      </c>
      <c r="V104">
        <v>18.0061</v>
      </c>
      <c r="W104">
        <v>21.122199999999999</v>
      </c>
      <c r="X104">
        <v>24.679600000000001</v>
      </c>
      <c r="Y104">
        <v>28.6692</v>
      </c>
      <c r="Z104">
        <v>33.074800000000003</v>
      </c>
      <c r="AA104">
        <v>37.9392</v>
      </c>
      <c r="AB104">
        <v>43.317</v>
      </c>
      <c r="AC104">
        <v>49.264200000000002</v>
      </c>
      <c r="AD104">
        <v>55.820300000000003</v>
      </c>
    </row>
    <row r="105" spans="1:30" x14ac:dyDescent="0.25">
      <c r="A105" t="s">
        <v>232</v>
      </c>
      <c r="B105" t="s">
        <v>138</v>
      </c>
      <c r="C105" t="s">
        <v>233</v>
      </c>
      <c r="D105" t="s">
        <v>234</v>
      </c>
      <c r="E105" t="str">
        <f>_xlfn.XLOOKUP(B105,'Rural population'!$C$2:$C$200,'Rural population'!$G$2:$G$200)</f>
        <v>Central Europe</v>
      </c>
      <c r="F105" t="s">
        <v>252</v>
      </c>
      <c r="G105" t="s">
        <v>252</v>
      </c>
      <c r="H105" t="s">
        <v>252</v>
      </c>
      <c r="I105">
        <v>38.6143</v>
      </c>
      <c r="J105">
        <v>45.440199999999997</v>
      </c>
      <c r="K105">
        <v>65.594999999999999</v>
      </c>
      <c r="L105">
        <v>69.540800000000004</v>
      </c>
      <c r="M105">
        <v>83.76</v>
      </c>
      <c r="N105">
        <v>97.444000000000003</v>
      </c>
      <c r="O105">
        <v>110.76300000000001</v>
      </c>
      <c r="P105">
        <v>125.879</v>
      </c>
      <c r="Q105">
        <v>133.29400000000001</v>
      </c>
      <c r="R105">
        <v>137.37899999999999</v>
      </c>
      <c r="S105">
        <v>139.566</v>
      </c>
      <c r="T105">
        <v>139.81800000000001</v>
      </c>
      <c r="U105">
        <v>139.268</v>
      </c>
      <c r="V105">
        <v>138.55500000000001</v>
      </c>
      <c r="W105">
        <v>138.124</v>
      </c>
      <c r="X105">
        <v>137.95699999999999</v>
      </c>
      <c r="Y105">
        <v>137.667</v>
      </c>
      <c r="Z105">
        <v>137.25200000000001</v>
      </c>
      <c r="AA105">
        <v>136.779</v>
      </c>
      <c r="AB105">
        <v>136.404</v>
      </c>
      <c r="AC105">
        <v>136.26499999999999</v>
      </c>
      <c r="AD105">
        <v>136.33000000000001</v>
      </c>
    </row>
    <row r="106" spans="1:30" x14ac:dyDescent="0.25">
      <c r="A106" t="s">
        <v>232</v>
      </c>
      <c r="B106" t="s">
        <v>139</v>
      </c>
      <c r="C106" t="s">
        <v>233</v>
      </c>
      <c r="D106" t="s">
        <v>234</v>
      </c>
      <c r="E106" t="str">
        <f>_xlfn.XLOOKUP(B106,'Rural population'!$C$2:$C$200,'Rural population'!$G$2:$G$200)</f>
        <v>Western Europe</v>
      </c>
      <c r="F106">
        <v>16.7364</v>
      </c>
      <c r="G106">
        <v>18.9221</v>
      </c>
      <c r="H106">
        <v>27.1341</v>
      </c>
      <c r="I106">
        <v>32.936999999999998</v>
      </c>
      <c r="J106">
        <v>41.390700000000002</v>
      </c>
      <c r="K106">
        <v>48.316499999999998</v>
      </c>
      <c r="L106">
        <v>55.372500000000002</v>
      </c>
      <c r="M106">
        <v>61.569800000000001</v>
      </c>
      <c r="N106">
        <v>67.648399999999995</v>
      </c>
      <c r="O106">
        <v>76.042000000000002</v>
      </c>
      <c r="P106">
        <v>87.374600000000001</v>
      </c>
      <c r="Q106">
        <v>94.328800000000001</v>
      </c>
      <c r="R106">
        <v>99.262</v>
      </c>
      <c r="S106">
        <v>102.41</v>
      </c>
      <c r="T106">
        <v>104.988</v>
      </c>
      <c r="U106">
        <v>107.28</v>
      </c>
      <c r="V106">
        <v>109.599</v>
      </c>
      <c r="W106">
        <v>112.023</v>
      </c>
      <c r="X106">
        <v>114.167</v>
      </c>
      <c r="Y106">
        <v>115.898</v>
      </c>
      <c r="Z106">
        <v>117.167</v>
      </c>
      <c r="AA106">
        <v>118.035</v>
      </c>
      <c r="AB106">
        <v>118.589</v>
      </c>
      <c r="AC106">
        <v>118.90900000000001</v>
      </c>
      <c r="AD106">
        <v>118.988</v>
      </c>
    </row>
    <row r="107" spans="1:30" x14ac:dyDescent="0.25">
      <c r="A107" t="s">
        <v>232</v>
      </c>
      <c r="B107" t="s">
        <v>140</v>
      </c>
      <c r="C107" t="s">
        <v>233</v>
      </c>
      <c r="D107" t="s">
        <v>234</v>
      </c>
      <c r="E107" t="str">
        <f>_xlfn.XLOOKUP(B107,'Rural population'!$C$2:$C$200,'Rural population'!$G$2:$G$200)</f>
        <v>Central Europe</v>
      </c>
      <c r="F107" t="s">
        <v>252</v>
      </c>
      <c r="G107" t="s">
        <v>252</v>
      </c>
      <c r="H107" t="s">
        <v>252</v>
      </c>
      <c r="I107">
        <v>23.854099999999999</v>
      </c>
      <c r="J107">
        <v>28.841799999999999</v>
      </c>
      <c r="K107">
        <v>42.688000000000002</v>
      </c>
      <c r="L107">
        <v>41.650599999999997</v>
      </c>
      <c r="M107">
        <v>49.383699999999997</v>
      </c>
      <c r="N107">
        <v>52.711599999999997</v>
      </c>
      <c r="O107">
        <v>60.795000000000002</v>
      </c>
      <c r="P107">
        <v>66.513400000000004</v>
      </c>
      <c r="Q107">
        <v>70.804100000000005</v>
      </c>
      <c r="R107">
        <v>73.974299999999999</v>
      </c>
      <c r="S107">
        <v>76.082099999999997</v>
      </c>
      <c r="T107">
        <v>78.1404</v>
      </c>
      <c r="U107">
        <v>80.000500000000002</v>
      </c>
      <c r="V107">
        <v>82.158699999999996</v>
      </c>
      <c r="W107">
        <v>84.680099999999996</v>
      </c>
      <c r="X107">
        <v>87.306100000000001</v>
      </c>
      <c r="Y107">
        <v>89.869900000000001</v>
      </c>
      <c r="Z107">
        <v>92.364800000000002</v>
      </c>
      <c r="AA107">
        <v>94.861699999999999</v>
      </c>
      <c r="AB107">
        <v>97.4636</v>
      </c>
      <c r="AC107">
        <v>100.176</v>
      </c>
      <c r="AD107">
        <v>102.821</v>
      </c>
    </row>
    <row r="108" spans="1:30" x14ac:dyDescent="0.25">
      <c r="A108" t="s">
        <v>232</v>
      </c>
      <c r="B108" t="s">
        <v>141</v>
      </c>
      <c r="C108" t="s">
        <v>233</v>
      </c>
      <c r="D108" t="s">
        <v>234</v>
      </c>
      <c r="E108" t="e">
        <f>_xlfn.XLOOKUP(B108,'Rural population'!$C$2:$C$200,'Rural population'!$G$2:$G$200)</f>
        <v>#N/A</v>
      </c>
      <c r="F108" t="s">
        <v>252</v>
      </c>
      <c r="G108" t="s">
        <v>252</v>
      </c>
      <c r="H108">
        <v>16.768999999999998</v>
      </c>
      <c r="I108">
        <v>22.308700000000002</v>
      </c>
      <c r="J108">
        <v>21.827999999999999</v>
      </c>
      <c r="K108">
        <v>37.371699999999997</v>
      </c>
      <c r="L108">
        <v>63.555799999999998</v>
      </c>
      <c r="M108">
        <v>71.894599999999997</v>
      </c>
      <c r="N108">
        <v>37.303100000000001</v>
      </c>
      <c r="O108">
        <v>82.766400000000004</v>
      </c>
      <c r="P108">
        <v>100.733</v>
      </c>
      <c r="Q108">
        <v>118.91500000000001</v>
      </c>
      <c r="R108">
        <v>136.28899999999999</v>
      </c>
      <c r="S108">
        <v>151.93700000000001</v>
      </c>
      <c r="T108">
        <v>164.93899999999999</v>
      </c>
      <c r="U108">
        <v>175.42</v>
      </c>
      <c r="V108">
        <v>184.17599999999999</v>
      </c>
      <c r="W108">
        <v>191.53</v>
      </c>
      <c r="X108">
        <v>196.15</v>
      </c>
      <c r="Y108">
        <v>197.852</v>
      </c>
      <c r="Z108">
        <v>196.511</v>
      </c>
      <c r="AA108">
        <v>192.578</v>
      </c>
      <c r="AB108">
        <v>186.77799999999999</v>
      </c>
      <c r="AC108">
        <v>179.84</v>
      </c>
      <c r="AD108">
        <v>172.202</v>
      </c>
    </row>
    <row r="109" spans="1:30" x14ac:dyDescent="0.25">
      <c r="A109" t="s">
        <v>232</v>
      </c>
      <c r="B109" t="s">
        <v>142</v>
      </c>
      <c r="C109" t="s">
        <v>233</v>
      </c>
      <c r="D109" t="s">
        <v>234</v>
      </c>
      <c r="E109" t="str">
        <f>_xlfn.XLOOKUP(B109,'Rural population'!$C$2:$C$200,'Rural population'!$G$2:$G$200)</f>
        <v>Northern Africa</v>
      </c>
      <c r="F109">
        <v>71.277299999999997</v>
      </c>
      <c r="G109">
        <v>83.811499999999995</v>
      </c>
      <c r="H109">
        <v>104.01600000000001</v>
      </c>
      <c r="I109">
        <v>112.29600000000001</v>
      </c>
      <c r="J109">
        <v>137.68199999999999</v>
      </c>
      <c r="K109">
        <v>175.542</v>
      </c>
      <c r="L109">
        <v>222.708</v>
      </c>
      <c r="M109">
        <v>270.392</v>
      </c>
      <c r="N109">
        <v>281.07600000000002</v>
      </c>
      <c r="O109">
        <v>336.53300000000002</v>
      </c>
      <c r="P109">
        <v>398.53300000000002</v>
      </c>
      <c r="Q109">
        <v>475.142</v>
      </c>
      <c r="R109">
        <v>561.93899999999996</v>
      </c>
      <c r="S109">
        <v>661.67</v>
      </c>
      <c r="T109">
        <v>778.58299999999997</v>
      </c>
      <c r="U109">
        <v>916.52499999999998</v>
      </c>
      <c r="V109">
        <v>1078.19</v>
      </c>
      <c r="W109">
        <v>1263.27</v>
      </c>
      <c r="X109">
        <v>1465.04</v>
      </c>
      <c r="Y109">
        <v>1684.43</v>
      </c>
      <c r="Z109">
        <v>1923.25</v>
      </c>
      <c r="AA109">
        <v>2180.33</v>
      </c>
      <c r="AB109">
        <v>2455.9499999999998</v>
      </c>
      <c r="AC109">
        <v>2750.32</v>
      </c>
      <c r="AD109">
        <v>3062.16</v>
      </c>
    </row>
    <row r="110" spans="1:30" x14ac:dyDescent="0.25">
      <c r="A110" t="s">
        <v>232</v>
      </c>
      <c r="B110" t="s">
        <v>143</v>
      </c>
      <c r="C110" t="s">
        <v>233</v>
      </c>
      <c r="D110" t="s">
        <v>234</v>
      </c>
      <c r="E110" t="str">
        <f>_xlfn.XLOOKUP(B110,'Rural population'!$C$2:$C$200,'Rural population'!$G$2:$G$200)</f>
        <v>Ukraine region</v>
      </c>
      <c r="F110" t="s">
        <v>252</v>
      </c>
      <c r="G110" t="s">
        <v>252</v>
      </c>
      <c r="H110" t="s">
        <v>252</v>
      </c>
      <c r="I110">
        <v>16.636400000000002</v>
      </c>
      <c r="J110">
        <v>14.667199999999999</v>
      </c>
      <c r="K110">
        <v>20.646599999999999</v>
      </c>
      <c r="L110">
        <v>24.186900000000001</v>
      </c>
      <c r="M110">
        <v>29.031500000000001</v>
      </c>
      <c r="N110">
        <v>31.236799999999999</v>
      </c>
      <c r="O110">
        <v>37.7605</v>
      </c>
      <c r="P110">
        <v>48.152700000000003</v>
      </c>
      <c r="Q110">
        <v>58.644500000000001</v>
      </c>
      <c r="R110">
        <v>67.370099999999994</v>
      </c>
      <c r="S110">
        <v>74.396100000000004</v>
      </c>
      <c r="T110">
        <v>80.124899999999997</v>
      </c>
      <c r="U110">
        <v>85.084400000000002</v>
      </c>
      <c r="V110">
        <v>89.657300000000006</v>
      </c>
      <c r="W110">
        <v>94.087299999999999</v>
      </c>
      <c r="X110">
        <v>97.968500000000006</v>
      </c>
      <c r="Y110">
        <v>101.241</v>
      </c>
      <c r="Z110">
        <v>104.102</v>
      </c>
      <c r="AA110">
        <v>106.929</v>
      </c>
      <c r="AB110">
        <v>109.999</v>
      </c>
      <c r="AC110">
        <v>113.34699999999999</v>
      </c>
      <c r="AD110">
        <v>116.78700000000001</v>
      </c>
    </row>
    <row r="111" spans="1:30" x14ac:dyDescent="0.25">
      <c r="A111" t="s">
        <v>232</v>
      </c>
      <c r="B111" t="s">
        <v>144</v>
      </c>
      <c r="C111" t="s">
        <v>233</v>
      </c>
      <c r="D111" t="s">
        <v>234</v>
      </c>
      <c r="E111" t="str">
        <f>_xlfn.XLOOKUP(B111,'Rural population'!$C$2:$C$200,'Rural population'!$G$2:$G$200)</f>
        <v>Eastern Africa</v>
      </c>
      <c r="F111">
        <v>20.425899999999999</v>
      </c>
      <c r="G111">
        <v>18.772400000000001</v>
      </c>
      <c r="H111">
        <v>21.493099999999998</v>
      </c>
      <c r="I111">
        <v>21.143699999999999</v>
      </c>
      <c r="J111">
        <v>25.453900000000001</v>
      </c>
      <c r="K111">
        <v>28.603300000000001</v>
      </c>
      <c r="L111">
        <v>32.857399999999998</v>
      </c>
      <c r="M111">
        <v>37.484900000000003</v>
      </c>
      <c r="N111">
        <v>40.537700000000001</v>
      </c>
      <c r="O111">
        <v>50.871400000000001</v>
      </c>
      <c r="P111">
        <v>64.391900000000007</v>
      </c>
      <c r="Q111">
        <v>83.946200000000005</v>
      </c>
      <c r="R111">
        <v>109.279</v>
      </c>
      <c r="S111">
        <v>142.53899999999999</v>
      </c>
      <c r="T111">
        <v>185.989</v>
      </c>
      <c r="U111">
        <v>242.011</v>
      </c>
      <c r="V111">
        <v>313.47699999999998</v>
      </c>
      <c r="W111">
        <v>403.69</v>
      </c>
      <c r="X111">
        <v>514.86800000000005</v>
      </c>
      <c r="Y111">
        <v>649.68600000000004</v>
      </c>
      <c r="Z111">
        <v>808.60199999999998</v>
      </c>
      <c r="AA111">
        <v>992.80899999999997</v>
      </c>
      <c r="AB111">
        <v>1204.1500000000001</v>
      </c>
      <c r="AC111">
        <v>1444.93</v>
      </c>
      <c r="AD111">
        <v>1717.3</v>
      </c>
    </row>
    <row r="112" spans="1:30" x14ac:dyDescent="0.25">
      <c r="A112" t="s">
        <v>232</v>
      </c>
      <c r="B112" t="s">
        <v>145</v>
      </c>
      <c r="C112" t="s">
        <v>233</v>
      </c>
      <c r="D112" t="s">
        <v>234</v>
      </c>
      <c r="E112" t="str">
        <f>_xlfn.XLOOKUP(B112,'Rural population'!$C$2:$C$200,'Rural population'!$G$2:$G$200)</f>
        <v>Rest of South Asia</v>
      </c>
      <c r="F112">
        <v>0.70877699999999999</v>
      </c>
      <c r="G112">
        <v>1.14622</v>
      </c>
      <c r="H112">
        <v>1.5449600000000001</v>
      </c>
      <c r="I112">
        <v>2.13964</v>
      </c>
      <c r="J112">
        <v>3.1783399999999999</v>
      </c>
      <c r="K112">
        <v>4.0293000000000001</v>
      </c>
      <c r="L112">
        <v>5.9633200000000004</v>
      </c>
      <c r="M112">
        <v>7.8628</v>
      </c>
      <c r="N112">
        <v>6.9033899999999999</v>
      </c>
      <c r="O112">
        <v>13.464700000000001</v>
      </c>
      <c r="P112">
        <v>17.395</v>
      </c>
      <c r="Q112">
        <v>21.4209</v>
      </c>
      <c r="R112">
        <v>25.458200000000001</v>
      </c>
      <c r="S112">
        <v>29.380199999999999</v>
      </c>
      <c r="T112">
        <v>33.119399999999999</v>
      </c>
      <c r="U112">
        <v>36.760399999999997</v>
      </c>
      <c r="V112">
        <v>40.438200000000002</v>
      </c>
      <c r="W112">
        <v>44.100900000000003</v>
      </c>
      <c r="X112">
        <v>47.211100000000002</v>
      </c>
      <c r="Y112">
        <v>49.7455</v>
      </c>
      <c r="Z112">
        <v>51.586300000000001</v>
      </c>
      <c r="AA112">
        <v>52.854999999999997</v>
      </c>
      <c r="AB112">
        <v>53.722000000000001</v>
      </c>
      <c r="AC112">
        <v>54.430100000000003</v>
      </c>
      <c r="AD112">
        <v>55.091500000000003</v>
      </c>
    </row>
    <row r="113" spans="1:30" x14ac:dyDescent="0.25">
      <c r="A113" t="s">
        <v>232</v>
      </c>
      <c r="B113" t="s">
        <v>146</v>
      </c>
      <c r="C113" t="s">
        <v>233</v>
      </c>
      <c r="D113" t="s">
        <v>234</v>
      </c>
      <c r="E113" t="str">
        <f>_xlfn.XLOOKUP(B113,'Rural population'!$C$2:$C$200,'Rural population'!$G$2:$G$200)</f>
        <v>Mexico</v>
      </c>
      <c r="F113">
        <v>1119.28</v>
      </c>
      <c r="G113">
        <v>1232.22</v>
      </c>
      <c r="H113">
        <v>1346.92</v>
      </c>
      <c r="I113">
        <v>1455.52</v>
      </c>
      <c r="J113">
        <v>1798.32</v>
      </c>
      <c r="K113">
        <v>1911.13</v>
      </c>
      <c r="L113">
        <v>2030.08</v>
      </c>
      <c r="M113">
        <v>2308.81</v>
      </c>
      <c r="N113">
        <v>2223.54</v>
      </c>
      <c r="O113">
        <v>2645.37</v>
      </c>
      <c r="P113">
        <v>3024.44</v>
      </c>
      <c r="Q113">
        <v>3462.18</v>
      </c>
      <c r="R113">
        <v>3949.5</v>
      </c>
      <c r="S113">
        <v>4487.26</v>
      </c>
      <c r="T113">
        <v>5066.04</v>
      </c>
      <c r="U113">
        <v>5672.71</v>
      </c>
      <c r="V113">
        <v>6286.07</v>
      </c>
      <c r="W113">
        <v>6908.03</v>
      </c>
      <c r="X113">
        <v>7532.75</v>
      </c>
      <c r="Y113">
        <v>8145.45</v>
      </c>
      <c r="Z113">
        <v>8730.4699999999993</v>
      </c>
      <c r="AA113">
        <v>9282.26</v>
      </c>
      <c r="AB113">
        <v>9795.09</v>
      </c>
      <c r="AC113">
        <v>10264.299999999999</v>
      </c>
      <c r="AD113">
        <v>10685.5</v>
      </c>
    </row>
    <row r="114" spans="1:30" x14ac:dyDescent="0.25">
      <c r="A114" t="s">
        <v>232</v>
      </c>
      <c r="B114" t="s">
        <v>147</v>
      </c>
      <c r="C114" t="s">
        <v>233</v>
      </c>
      <c r="D114" t="s">
        <v>234</v>
      </c>
      <c r="E114" t="str">
        <f>_xlfn.XLOOKUP(B114,'Rural population'!$C$2:$C$200,'Rural population'!$G$2:$G$200)</f>
        <v>Central Europe</v>
      </c>
      <c r="F114" t="s">
        <v>252</v>
      </c>
      <c r="G114" t="s">
        <v>252</v>
      </c>
      <c r="H114">
        <v>22.7133</v>
      </c>
      <c r="I114">
        <v>17.843800000000002</v>
      </c>
      <c r="J114">
        <v>20.639299999999999</v>
      </c>
      <c r="K114">
        <v>22.7529</v>
      </c>
      <c r="L114">
        <v>27.666799999999999</v>
      </c>
      <c r="M114">
        <v>31.221399999999999</v>
      </c>
      <c r="N114">
        <v>33.072000000000003</v>
      </c>
      <c r="O114">
        <v>38.4392</v>
      </c>
      <c r="P114">
        <v>45.576900000000002</v>
      </c>
      <c r="Q114">
        <v>51.954500000000003</v>
      </c>
      <c r="R114">
        <v>58.1873</v>
      </c>
      <c r="S114">
        <v>64.543899999999994</v>
      </c>
      <c r="T114">
        <v>71.1173</v>
      </c>
      <c r="U114">
        <v>78.012900000000002</v>
      </c>
      <c r="V114">
        <v>85.153000000000006</v>
      </c>
      <c r="W114">
        <v>93.366799999999998</v>
      </c>
      <c r="X114">
        <v>102.85</v>
      </c>
      <c r="Y114">
        <v>112.929</v>
      </c>
      <c r="Z114">
        <v>123.105</v>
      </c>
      <c r="AA114">
        <v>133.15199999999999</v>
      </c>
      <c r="AB114">
        <v>143.07499999999999</v>
      </c>
      <c r="AC114">
        <v>152.91200000000001</v>
      </c>
      <c r="AD114">
        <v>162.70500000000001</v>
      </c>
    </row>
    <row r="115" spans="1:30" x14ac:dyDescent="0.25">
      <c r="A115" t="s">
        <v>232</v>
      </c>
      <c r="B115" t="s">
        <v>148</v>
      </c>
      <c r="C115" t="s">
        <v>233</v>
      </c>
      <c r="D115" t="s">
        <v>234</v>
      </c>
      <c r="E115" t="str">
        <f>_xlfn.XLOOKUP(B115,'Rural population'!$C$2:$C$200,'Rural population'!$G$2:$G$200)</f>
        <v>Western Africa</v>
      </c>
      <c r="F115">
        <v>10.1858</v>
      </c>
      <c r="G115">
        <v>9.3866399999999999</v>
      </c>
      <c r="H115">
        <v>12.356199999999999</v>
      </c>
      <c r="I115">
        <v>14.5014</v>
      </c>
      <c r="J115">
        <v>17.817599999999999</v>
      </c>
      <c r="K115">
        <v>25.0245</v>
      </c>
      <c r="L115">
        <v>31.3384</v>
      </c>
      <c r="M115">
        <v>37.313800000000001</v>
      </c>
      <c r="N115">
        <v>45.075600000000001</v>
      </c>
      <c r="O115">
        <v>55.553400000000003</v>
      </c>
      <c r="P115">
        <v>72.546800000000005</v>
      </c>
      <c r="Q115">
        <v>99.550799999999995</v>
      </c>
      <c r="R115">
        <v>136.07599999999999</v>
      </c>
      <c r="S115">
        <v>185.00899999999999</v>
      </c>
      <c r="T115">
        <v>249.209</v>
      </c>
      <c r="U115">
        <v>331.36</v>
      </c>
      <c r="V115">
        <v>434.07600000000002</v>
      </c>
      <c r="W115">
        <v>560.08199999999999</v>
      </c>
      <c r="X115">
        <v>711.91600000000005</v>
      </c>
      <c r="Y115">
        <v>891.774</v>
      </c>
      <c r="Z115">
        <v>1101.03</v>
      </c>
      <c r="AA115">
        <v>1340.34</v>
      </c>
      <c r="AB115">
        <v>1610.95</v>
      </c>
      <c r="AC115">
        <v>1915</v>
      </c>
      <c r="AD115">
        <v>2251.94</v>
      </c>
    </row>
    <row r="116" spans="1:30" x14ac:dyDescent="0.25">
      <c r="A116" t="s">
        <v>232</v>
      </c>
      <c r="B116" t="s">
        <v>149</v>
      </c>
      <c r="C116" t="s">
        <v>233</v>
      </c>
      <c r="D116" t="s">
        <v>234</v>
      </c>
      <c r="E116" t="str">
        <f>_xlfn.XLOOKUP(B116,'Rural population'!$C$2:$C$200,'Rural population'!$G$2:$G$200)</f>
        <v>Western Europe</v>
      </c>
      <c r="F116">
        <v>4.9444600000000003</v>
      </c>
      <c r="G116">
        <v>5.3830999999999998</v>
      </c>
      <c r="H116">
        <v>7.0704900000000004</v>
      </c>
      <c r="I116">
        <v>9.4035700000000002</v>
      </c>
      <c r="J116">
        <v>10.894299999999999</v>
      </c>
      <c r="K116">
        <v>11.8965</v>
      </c>
      <c r="L116">
        <v>13.8432</v>
      </c>
      <c r="M116">
        <v>18.019600000000001</v>
      </c>
      <c r="N116">
        <v>21.831800000000001</v>
      </c>
      <c r="O116">
        <v>29.0761</v>
      </c>
      <c r="P116">
        <v>34.647599999999997</v>
      </c>
      <c r="Q116">
        <v>39.825899999999997</v>
      </c>
      <c r="R116">
        <v>43.742899999999999</v>
      </c>
      <c r="S116">
        <v>46.811999999999998</v>
      </c>
      <c r="T116">
        <v>49.281799999999997</v>
      </c>
      <c r="U116">
        <v>51.435099999999998</v>
      </c>
      <c r="V116">
        <v>53.491999999999997</v>
      </c>
      <c r="W116">
        <v>55.233899999999998</v>
      </c>
      <c r="X116">
        <v>56.722299999999997</v>
      </c>
      <c r="Y116">
        <v>57.778399999999998</v>
      </c>
      <c r="Z116">
        <v>58.3934</v>
      </c>
      <c r="AA116">
        <v>58.625599999999999</v>
      </c>
      <c r="AB116">
        <v>58.661099999999998</v>
      </c>
      <c r="AC116">
        <v>58.728900000000003</v>
      </c>
      <c r="AD116">
        <v>58.978400000000001</v>
      </c>
    </row>
    <row r="117" spans="1:30" x14ac:dyDescent="0.25">
      <c r="A117" t="s">
        <v>232</v>
      </c>
      <c r="B117" t="s">
        <v>150</v>
      </c>
      <c r="C117" t="s">
        <v>233</v>
      </c>
      <c r="D117" t="s">
        <v>234</v>
      </c>
      <c r="E117" t="str">
        <f>_xlfn.XLOOKUP(B117,'Rural population'!$C$2:$C$200,'Rural population'!$G$2:$G$200)</f>
        <v>Southeastern Asia</v>
      </c>
      <c r="F117" t="s">
        <v>252</v>
      </c>
      <c r="G117" t="s">
        <v>252</v>
      </c>
      <c r="H117">
        <v>23.322400000000002</v>
      </c>
      <c r="I117">
        <v>30.380800000000001</v>
      </c>
      <c r="J117">
        <v>51.515700000000002</v>
      </c>
      <c r="K117">
        <v>94.417599999999993</v>
      </c>
      <c r="L117">
        <v>142.21799999999999</v>
      </c>
      <c r="M117">
        <v>200.41200000000001</v>
      </c>
      <c r="N117">
        <v>264.33</v>
      </c>
      <c r="O117">
        <v>238.78100000000001</v>
      </c>
      <c r="P117">
        <v>279.238</v>
      </c>
      <c r="Q117">
        <v>331.04399999999998</v>
      </c>
      <c r="R117">
        <v>388.65100000000001</v>
      </c>
      <c r="S117">
        <v>453.54700000000003</v>
      </c>
      <c r="T117">
        <v>527.41800000000001</v>
      </c>
      <c r="U117">
        <v>612.01</v>
      </c>
      <c r="V117">
        <v>707.59199999999998</v>
      </c>
      <c r="W117">
        <v>814.86099999999999</v>
      </c>
      <c r="X117">
        <v>933.01599999999996</v>
      </c>
      <c r="Y117">
        <v>1058.96</v>
      </c>
      <c r="Z117">
        <v>1190.71</v>
      </c>
      <c r="AA117">
        <v>1327.99</v>
      </c>
      <c r="AB117">
        <v>1470.83</v>
      </c>
      <c r="AC117">
        <v>1619.28</v>
      </c>
      <c r="AD117">
        <v>1772.66</v>
      </c>
    </row>
    <row r="118" spans="1:30" x14ac:dyDescent="0.25">
      <c r="A118" t="s">
        <v>232</v>
      </c>
      <c r="B118" t="s">
        <v>151</v>
      </c>
      <c r="C118" t="s">
        <v>233</v>
      </c>
      <c r="D118" t="s">
        <v>234</v>
      </c>
      <c r="E118" t="str">
        <f>_xlfn.XLOOKUP(B118,'Rural population'!$C$2:$C$200,'Rural population'!$G$2:$G$200)</f>
        <v>Central Europe</v>
      </c>
      <c r="F118" t="s">
        <v>252</v>
      </c>
      <c r="G118" t="s">
        <v>252</v>
      </c>
      <c r="H118" t="s">
        <v>252</v>
      </c>
      <c r="I118" t="s">
        <v>252</v>
      </c>
      <c r="J118">
        <v>7.5248299999999997</v>
      </c>
      <c r="K118">
        <v>8.6455400000000004</v>
      </c>
      <c r="L118">
        <v>10.398</v>
      </c>
      <c r="M118">
        <v>11.3759</v>
      </c>
      <c r="N118">
        <v>11.358599999999999</v>
      </c>
      <c r="O118">
        <v>15.24</v>
      </c>
      <c r="P118">
        <v>17.602</v>
      </c>
      <c r="Q118">
        <v>19.697299999999998</v>
      </c>
      <c r="R118">
        <v>21.365200000000002</v>
      </c>
      <c r="S118">
        <v>22.736000000000001</v>
      </c>
      <c r="T118">
        <v>23.949400000000001</v>
      </c>
      <c r="U118">
        <v>25.121099999999998</v>
      </c>
      <c r="V118">
        <v>26.290900000000001</v>
      </c>
      <c r="W118">
        <v>27.486699999999999</v>
      </c>
      <c r="X118">
        <v>28.662800000000001</v>
      </c>
      <c r="Y118">
        <v>29.798999999999999</v>
      </c>
      <c r="Z118">
        <v>30.914300000000001</v>
      </c>
      <c r="AA118">
        <v>32.031599999999997</v>
      </c>
      <c r="AB118">
        <v>33.192300000000003</v>
      </c>
      <c r="AC118">
        <v>34.401299999999999</v>
      </c>
      <c r="AD118">
        <v>35.650100000000002</v>
      </c>
    </row>
    <row r="119" spans="1:30" x14ac:dyDescent="0.25">
      <c r="A119" t="s">
        <v>232</v>
      </c>
      <c r="B119" t="s">
        <v>152</v>
      </c>
      <c r="C119" t="s">
        <v>233</v>
      </c>
      <c r="D119" t="s">
        <v>234</v>
      </c>
      <c r="E119" t="str">
        <f>_xlfn.XLOOKUP(B119,'Rural population'!$C$2:$C$200,'Rural population'!$G$2:$G$200)</f>
        <v>China region</v>
      </c>
      <c r="F119">
        <v>6.6252599999999999</v>
      </c>
      <c r="G119">
        <v>9.2105599999999992</v>
      </c>
      <c r="H119">
        <v>11.147600000000001</v>
      </c>
      <c r="I119">
        <v>9.6632300000000004</v>
      </c>
      <c r="J119">
        <v>11.058</v>
      </c>
      <c r="K119">
        <v>15.2401</v>
      </c>
      <c r="L119">
        <v>20.313600000000001</v>
      </c>
      <c r="M119">
        <v>33.011600000000001</v>
      </c>
      <c r="N119">
        <v>38.433999999999997</v>
      </c>
      <c r="O119">
        <v>46.816600000000001</v>
      </c>
      <c r="P119">
        <v>56.334200000000003</v>
      </c>
      <c r="Q119">
        <v>68.008899999999997</v>
      </c>
      <c r="R119">
        <v>80.702399999999997</v>
      </c>
      <c r="S119">
        <v>94.674300000000002</v>
      </c>
      <c r="T119">
        <v>110.563</v>
      </c>
      <c r="U119">
        <v>129.041</v>
      </c>
      <c r="V119">
        <v>150.506</v>
      </c>
      <c r="W119">
        <v>175.20699999999999</v>
      </c>
      <c r="X119">
        <v>202.339</v>
      </c>
      <c r="Y119">
        <v>231.524</v>
      </c>
      <c r="Z119">
        <v>262.87299999999999</v>
      </c>
      <c r="AA119">
        <v>296.553</v>
      </c>
      <c r="AB119">
        <v>332.77199999999999</v>
      </c>
      <c r="AC119">
        <v>371.48</v>
      </c>
      <c r="AD119">
        <v>412.447</v>
      </c>
    </row>
    <row r="120" spans="1:30" x14ac:dyDescent="0.25">
      <c r="A120" t="s">
        <v>232</v>
      </c>
      <c r="B120" t="s">
        <v>153</v>
      </c>
      <c r="C120" t="s">
        <v>233</v>
      </c>
      <c r="D120" t="s">
        <v>234</v>
      </c>
      <c r="E120" t="str">
        <f>_xlfn.XLOOKUP(B120,'Rural population'!$C$2:$C$200,'Rural population'!$G$2:$G$200)</f>
        <v>Rest of Southern Africa</v>
      </c>
      <c r="F120">
        <v>5.93893</v>
      </c>
      <c r="G120">
        <v>4.6217699999999997</v>
      </c>
      <c r="H120">
        <v>6.0279199999999999</v>
      </c>
      <c r="I120">
        <v>7.2646800000000002</v>
      </c>
      <c r="J120">
        <v>11.171099999999999</v>
      </c>
      <c r="K120">
        <v>16.832799999999999</v>
      </c>
      <c r="L120">
        <v>24.1721</v>
      </c>
      <c r="M120">
        <v>34.143999999999998</v>
      </c>
      <c r="N120">
        <v>38.456400000000002</v>
      </c>
      <c r="O120">
        <v>48.335099999999997</v>
      </c>
      <c r="P120">
        <v>78.493600000000001</v>
      </c>
      <c r="Q120">
        <v>123.435</v>
      </c>
      <c r="R120">
        <v>179.559</v>
      </c>
      <c r="S120">
        <v>250.99100000000001</v>
      </c>
      <c r="T120">
        <v>341.52199999999999</v>
      </c>
      <c r="U120">
        <v>455</v>
      </c>
      <c r="V120">
        <v>595.64099999999996</v>
      </c>
      <c r="W120">
        <v>767.63699999999994</v>
      </c>
      <c r="X120">
        <v>973.28499999999997</v>
      </c>
      <c r="Y120">
        <v>1215.28</v>
      </c>
      <c r="Z120">
        <v>1493.42</v>
      </c>
      <c r="AA120">
        <v>1808.62</v>
      </c>
      <c r="AB120">
        <v>2160.12</v>
      </c>
      <c r="AC120">
        <v>2547.91</v>
      </c>
      <c r="AD120">
        <v>2970.16</v>
      </c>
    </row>
    <row r="121" spans="1:30" x14ac:dyDescent="0.25">
      <c r="A121" t="s">
        <v>232</v>
      </c>
      <c r="B121" t="s">
        <v>154</v>
      </c>
      <c r="C121" t="s">
        <v>233</v>
      </c>
      <c r="D121" t="s">
        <v>234</v>
      </c>
      <c r="E121" t="str">
        <f>_xlfn.XLOOKUP(B121,'Rural population'!$C$2:$C$200,'Rural population'!$G$2:$G$200)</f>
        <v>Western Africa</v>
      </c>
      <c r="F121" t="s">
        <v>252</v>
      </c>
      <c r="G121" t="s">
        <v>252</v>
      </c>
      <c r="H121">
        <v>9.4265399999999993</v>
      </c>
      <c r="I121">
        <v>10.8132</v>
      </c>
      <c r="J121">
        <v>11.2407</v>
      </c>
      <c r="K121">
        <v>13.7447</v>
      </c>
      <c r="L121">
        <v>16.323699999999999</v>
      </c>
      <c r="M121">
        <v>20.3308</v>
      </c>
      <c r="N121">
        <v>23.939900000000002</v>
      </c>
      <c r="O121">
        <v>30.756</v>
      </c>
      <c r="P121">
        <v>38.469099999999997</v>
      </c>
      <c r="Q121">
        <v>49.598700000000001</v>
      </c>
      <c r="R121">
        <v>62.554900000000004</v>
      </c>
      <c r="S121">
        <v>78.03</v>
      </c>
      <c r="T121">
        <v>96.589100000000002</v>
      </c>
      <c r="U121">
        <v>118.696</v>
      </c>
      <c r="V121">
        <v>144.82499999999999</v>
      </c>
      <c r="W121">
        <v>175.35400000000001</v>
      </c>
      <c r="X121">
        <v>209.91300000000001</v>
      </c>
      <c r="Y121">
        <v>248.81299999999999</v>
      </c>
      <c r="Z121">
        <v>291.798</v>
      </c>
      <c r="AA121">
        <v>338.63799999999998</v>
      </c>
      <c r="AB121">
        <v>389.09899999999999</v>
      </c>
      <c r="AC121">
        <v>442.94099999999997</v>
      </c>
      <c r="AD121">
        <v>500.23</v>
      </c>
    </row>
    <row r="122" spans="1:30" x14ac:dyDescent="0.25">
      <c r="A122" t="s">
        <v>232</v>
      </c>
      <c r="B122" t="s">
        <v>156</v>
      </c>
      <c r="C122" t="s">
        <v>233</v>
      </c>
      <c r="D122" t="s">
        <v>234</v>
      </c>
      <c r="E122" t="str">
        <f>_xlfn.XLOOKUP(B122,'Rural population'!$C$2:$C$200,'Rural population'!$G$2:$G$200)</f>
        <v>Eastern Africa</v>
      </c>
      <c r="F122">
        <v>4.8391200000000003</v>
      </c>
      <c r="G122">
        <v>6.0762099999999997</v>
      </c>
      <c r="H122">
        <v>8.7839399999999994</v>
      </c>
      <c r="I122">
        <v>11.150700000000001</v>
      </c>
      <c r="J122">
        <v>14.6532</v>
      </c>
      <c r="K122">
        <v>17.237100000000002</v>
      </c>
      <c r="L122">
        <v>21.646100000000001</v>
      </c>
      <c r="M122">
        <v>25.945699999999999</v>
      </c>
      <c r="N122">
        <v>25.598099999999999</v>
      </c>
      <c r="O122">
        <v>32.459299999999999</v>
      </c>
      <c r="P122">
        <v>38.302500000000002</v>
      </c>
      <c r="Q122">
        <v>44.295699999999997</v>
      </c>
      <c r="R122">
        <v>50.262799999999999</v>
      </c>
      <c r="S122">
        <v>56.1843</v>
      </c>
      <c r="T122">
        <v>61.933199999999999</v>
      </c>
      <c r="U122">
        <v>67.642399999999995</v>
      </c>
      <c r="V122">
        <v>73.098600000000005</v>
      </c>
      <c r="W122">
        <v>78.144800000000004</v>
      </c>
      <c r="X122">
        <v>82.820800000000006</v>
      </c>
      <c r="Y122">
        <v>87.044799999999995</v>
      </c>
      <c r="Z122">
        <v>90.816800000000001</v>
      </c>
      <c r="AA122">
        <v>94.108099999999993</v>
      </c>
      <c r="AB122">
        <v>96.9803</v>
      </c>
      <c r="AC122">
        <v>99.539199999999994</v>
      </c>
      <c r="AD122">
        <v>101.93</v>
      </c>
    </row>
    <row r="123" spans="1:30" x14ac:dyDescent="0.25">
      <c r="A123" t="s">
        <v>232</v>
      </c>
      <c r="B123" t="s">
        <v>157</v>
      </c>
      <c r="C123" t="s">
        <v>233</v>
      </c>
      <c r="D123" t="s">
        <v>234</v>
      </c>
      <c r="E123" t="str">
        <f>_xlfn.XLOOKUP(B123,'Rural population'!$C$2:$C$200,'Rural population'!$G$2:$G$200)</f>
        <v>Rest of Southern Africa</v>
      </c>
      <c r="F123">
        <v>7.1757799999999996</v>
      </c>
      <c r="G123">
        <v>7.9644300000000001</v>
      </c>
      <c r="H123">
        <v>8.9258900000000008</v>
      </c>
      <c r="I123">
        <v>10.071300000000001</v>
      </c>
      <c r="J123">
        <v>12.4495</v>
      </c>
      <c r="K123">
        <v>13.9846</v>
      </c>
      <c r="L123">
        <v>19.9983</v>
      </c>
      <c r="M123">
        <v>24.4573</v>
      </c>
      <c r="N123">
        <v>28.8962</v>
      </c>
      <c r="O123">
        <v>33.198999999999998</v>
      </c>
      <c r="P123">
        <v>41.578299999999999</v>
      </c>
      <c r="Q123">
        <v>54.094999999999999</v>
      </c>
      <c r="R123">
        <v>73.257300000000001</v>
      </c>
      <c r="S123">
        <v>99.926100000000005</v>
      </c>
      <c r="T123">
        <v>135.28800000000001</v>
      </c>
      <c r="U123">
        <v>180.68299999999999</v>
      </c>
      <c r="V123">
        <v>237.68</v>
      </c>
      <c r="W123">
        <v>307.88799999999998</v>
      </c>
      <c r="X123">
        <v>392.61399999999998</v>
      </c>
      <c r="Y123">
        <v>493.791</v>
      </c>
      <c r="Z123">
        <v>612.36400000000003</v>
      </c>
      <c r="AA123">
        <v>749.41200000000003</v>
      </c>
      <c r="AB123">
        <v>905.322</v>
      </c>
      <c r="AC123">
        <v>1080.5</v>
      </c>
      <c r="AD123">
        <v>1274.9100000000001</v>
      </c>
    </row>
    <row r="124" spans="1:30" x14ac:dyDescent="0.25">
      <c r="A124" t="s">
        <v>232</v>
      </c>
      <c r="B124" t="s">
        <v>158</v>
      </c>
      <c r="C124" t="s">
        <v>233</v>
      </c>
      <c r="D124" t="s">
        <v>234</v>
      </c>
      <c r="E124" t="str">
        <f>_xlfn.XLOOKUP(B124,'Rural population'!$C$2:$C$200,'Rural population'!$G$2:$G$200)</f>
        <v>Southeastern Asia</v>
      </c>
      <c r="F124">
        <v>104.23399999999999</v>
      </c>
      <c r="G124">
        <v>134.029</v>
      </c>
      <c r="H124">
        <v>186.74</v>
      </c>
      <c r="I124">
        <v>293.61500000000001</v>
      </c>
      <c r="J124">
        <v>370.38099999999997</v>
      </c>
      <c r="K124">
        <v>465.29199999999997</v>
      </c>
      <c r="L124">
        <v>579.75699999999995</v>
      </c>
      <c r="M124">
        <v>750.35</v>
      </c>
      <c r="N124">
        <v>858.29200000000003</v>
      </c>
      <c r="O124">
        <v>1090.28</v>
      </c>
      <c r="P124">
        <v>1326.57</v>
      </c>
      <c r="Q124">
        <v>1559.3</v>
      </c>
      <c r="R124">
        <v>1761</v>
      </c>
      <c r="S124">
        <v>1942.03</v>
      </c>
      <c r="T124">
        <v>2111.3200000000002</v>
      </c>
      <c r="U124">
        <v>2274.73</v>
      </c>
      <c r="V124">
        <v>2437.4299999999998</v>
      </c>
      <c r="W124">
        <v>2598.9</v>
      </c>
      <c r="X124">
        <v>2752.29</v>
      </c>
      <c r="Y124">
        <v>2895.04</v>
      </c>
      <c r="Z124">
        <v>3026.99</v>
      </c>
      <c r="AA124">
        <v>3149.53</v>
      </c>
      <c r="AB124">
        <v>3266.09</v>
      </c>
      <c r="AC124">
        <v>3379.55</v>
      </c>
      <c r="AD124">
        <v>3490.31</v>
      </c>
    </row>
    <row r="125" spans="1:30" x14ac:dyDescent="0.25">
      <c r="A125" t="s">
        <v>232</v>
      </c>
      <c r="B125" t="s">
        <v>159</v>
      </c>
      <c r="C125" t="s">
        <v>233</v>
      </c>
      <c r="D125" t="s">
        <v>234</v>
      </c>
      <c r="E125" t="e">
        <f>_xlfn.XLOOKUP(B125,'Rural population'!$C$2:$C$200,'Rural population'!$G$2:$G$200)</f>
        <v>#N/A</v>
      </c>
      <c r="F125" t="s">
        <v>252</v>
      </c>
      <c r="G125" t="s">
        <v>252</v>
      </c>
      <c r="H125" t="s">
        <v>252</v>
      </c>
      <c r="I125" t="s">
        <v>252</v>
      </c>
      <c r="J125" t="s">
        <v>252</v>
      </c>
      <c r="K125" t="s">
        <v>252</v>
      </c>
      <c r="L125" t="s">
        <v>252</v>
      </c>
      <c r="M125" t="s">
        <v>252</v>
      </c>
      <c r="N125">
        <v>6.3748300000000002</v>
      </c>
      <c r="O125">
        <v>9.5833100000000009</v>
      </c>
      <c r="P125">
        <v>12.958600000000001</v>
      </c>
      <c r="Q125">
        <v>16.7622</v>
      </c>
      <c r="R125">
        <v>21.499099999999999</v>
      </c>
      <c r="S125">
        <v>27.313099999999999</v>
      </c>
      <c r="T125">
        <v>34.377800000000001</v>
      </c>
      <c r="U125">
        <v>42.921100000000003</v>
      </c>
      <c r="V125">
        <v>53.206499999999998</v>
      </c>
      <c r="W125">
        <v>65.5535</v>
      </c>
      <c r="X125">
        <v>80.226799999999997</v>
      </c>
      <c r="Y125">
        <v>97.539299999999997</v>
      </c>
      <c r="Z125">
        <v>117.988</v>
      </c>
      <c r="AA125">
        <v>142.19800000000001</v>
      </c>
      <c r="AB125">
        <v>170.88800000000001</v>
      </c>
      <c r="AC125">
        <v>204.87</v>
      </c>
      <c r="AD125">
        <v>245.04300000000001</v>
      </c>
    </row>
    <row r="126" spans="1:30" x14ac:dyDescent="0.25">
      <c r="A126" t="s">
        <v>232</v>
      </c>
      <c r="B126" t="s">
        <v>160</v>
      </c>
      <c r="C126" t="s">
        <v>233</v>
      </c>
      <c r="D126" t="s">
        <v>234</v>
      </c>
      <c r="E126" t="str">
        <f>_xlfn.XLOOKUP(B126,'Rural population'!$C$2:$C$200,'Rural population'!$G$2:$G$200)</f>
        <v>Rest of Southern Africa</v>
      </c>
      <c r="F126" t="s">
        <v>252</v>
      </c>
      <c r="G126" t="s">
        <v>252</v>
      </c>
      <c r="H126">
        <v>8.9353700000000007</v>
      </c>
      <c r="I126">
        <v>10.8515</v>
      </c>
      <c r="J126">
        <v>12.8962</v>
      </c>
      <c r="K126">
        <v>16.269400000000001</v>
      </c>
      <c r="L126">
        <v>19.1358</v>
      </c>
      <c r="M126">
        <v>24.683299999999999</v>
      </c>
      <c r="N126">
        <v>22.505700000000001</v>
      </c>
      <c r="O126">
        <v>26.4236</v>
      </c>
      <c r="P126">
        <v>30.336099999999998</v>
      </c>
      <c r="Q126">
        <v>35.9084</v>
      </c>
      <c r="R126">
        <v>43.046399999999998</v>
      </c>
      <c r="S126">
        <v>51.649700000000003</v>
      </c>
      <c r="T126">
        <v>61.666800000000002</v>
      </c>
      <c r="U126">
        <v>73.144400000000005</v>
      </c>
      <c r="V126">
        <v>86.056299999999993</v>
      </c>
      <c r="W126">
        <v>100.461</v>
      </c>
      <c r="X126">
        <v>116.124</v>
      </c>
      <c r="Y126">
        <v>132.624</v>
      </c>
      <c r="Z126">
        <v>149.85900000000001</v>
      </c>
      <c r="AA126">
        <v>167.738</v>
      </c>
      <c r="AB126">
        <v>186.35400000000001</v>
      </c>
      <c r="AC126">
        <v>205.76400000000001</v>
      </c>
      <c r="AD126">
        <v>225.928</v>
      </c>
    </row>
    <row r="127" spans="1:30" x14ac:dyDescent="0.25">
      <c r="A127" t="s">
        <v>232</v>
      </c>
      <c r="B127" t="s">
        <v>161</v>
      </c>
      <c r="C127" t="s">
        <v>233</v>
      </c>
      <c r="D127" t="s">
        <v>234</v>
      </c>
      <c r="E127" t="str">
        <f>_xlfn.XLOOKUP(B127,'Rural population'!$C$2:$C$200,'Rural population'!$G$2:$G$200)</f>
        <v>Oceania</v>
      </c>
      <c r="F127" t="s">
        <v>252</v>
      </c>
      <c r="G127" t="s">
        <v>252</v>
      </c>
      <c r="H127" t="s">
        <v>252</v>
      </c>
      <c r="I127" t="s">
        <v>252</v>
      </c>
      <c r="J127" t="s">
        <v>252</v>
      </c>
      <c r="K127" t="s">
        <v>252</v>
      </c>
      <c r="L127" t="s">
        <v>252</v>
      </c>
      <c r="M127" t="s">
        <v>252</v>
      </c>
      <c r="N127">
        <v>6.2514500000000002</v>
      </c>
      <c r="O127">
        <v>11.9061</v>
      </c>
      <c r="P127">
        <v>15.071999999999999</v>
      </c>
      <c r="Q127">
        <v>18.199400000000001</v>
      </c>
      <c r="R127">
        <v>21.243500000000001</v>
      </c>
      <c r="S127">
        <v>24.1785</v>
      </c>
      <c r="T127">
        <v>27.0032</v>
      </c>
      <c r="U127">
        <v>29.7301</v>
      </c>
      <c r="V127">
        <v>32.407800000000002</v>
      </c>
      <c r="W127">
        <v>35.043100000000003</v>
      </c>
      <c r="X127">
        <v>37.5657</v>
      </c>
      <c r="Y127">
        <v>39.973999999999997</v>
      </c>
      <c r="Z127">
        <v>42.317300000000003</v>
      </c>
      <c r="AA127">
        <v>44.6218</v>
      </c>
      <c r="AB127">
        <v>46.929499999999997</v>
      </c>
      <c r="AC127">
        <v>49.250999999999998</v>
      </c>
      <c r="AD127">
        <v>51.578400000000002</v>
      </c>
    </row>
    <row r="128" spans="1:30" x14ac:dyDescent="0.25">
      <c r="A128" t="s">
        <v>232</v>
      </c>
      <c r="B128" t="s">
        <v>162</v>
      </c>
      <c r="C128" t="s">
        <v>233</v>
      </c>
      <c r="D128" t="s">
        <v>234</v>
      </c>
      <c r="E128" t="str">
        <f>_xlfn.XLOOKUP(B128,'Rural population'!$C$2:$C$200,'Rural population'!$G$2:$G$200)</f>
        <v>Western Africa</v>
      </c>
      <c r="F128">
        <v>9.0597899999999996</v>
      </c>
      <c r="G128">
        <v>7.9594699999999996</v>
      </c>
      <c r="H128">
        <v>9.0217200000000002</v>
      </c>
      <c r="I128">
        <v>9.5918700000000001</v>
      </c>
      <c r="J128">
        <v>10.567299999999999</v>
      </c>
      <c r="K128">
        <v>13.0914</v>
      </c>
      <c r="L128">
        <v>17.0608</v>
      </c>
      <c r="M128">
        <v>22.631900000000002</v>
      </c>
      <c r="N128">
        <v>29.553699999999999</v>
      </c>
      <c r="O128">
        <v>41.314399999999999</v>
      </c>
      <c r="P128">
        <v>56.8643</v>
      </c>
      <c r="Q128">
        <v>82.613699999999994</v>
      </c>
      <c r="R128">
        <v>117.46899999999999</v>
      </c>
      <c r="S128">
        <v>165.32300000000001</v>
      </c>
      <c r="T128">
        <v>231.00299999999999</v>
      </c>
      <c r="U128">
        <v>320.59199999999998</v>
      </c>
      <c r="V128">
        <v>441.31599999999997</v>
      </c>
      <c r="W128">
        <v>601.85400000000004</v>
      </c>
      <c r="X128">
        <v>811.07399999999996</v>
      </c>
      <c r="Y128">
        <v>1079.07</v>
      </c>
      <c r="Z128">
        <v>1414.51</v>
      </c>
      <c r="AA128">
        <v>1826.22</v>
      </c>
      <c r="AB128">
        <v>2325.34</v>
      </c>
      <c r="AC128">
        <v>2922</v>
      </c>
      <c r="AD128">
        <v>3627.46</v>
      </c>
    </row>
    <row r="129" spans="1:30" x14ac:dyDescent="0.25">
      <c r="A129" t="s">
        <v>232</v>
      </c>
      <c r="B129" t="s">
        <v>163</v>
      </c>
      <c r="C129" t="s">
        <v>233</v>
      </c>
      <c r="D129" t="s">
        <v>234</v>
      </c>
      <c r="E129" t="str">
        <f>_xlfn.XLOOKUP(B129,'Rural population'!$C$2:$C$200,'Rural population'!$G$2:$G$200)</f>
        <v>Western Africa</v>
      </c>
      <c r="F129" t="s">
        <v>252</v>
      </c>
      <c r="G129" t="s">
        <v>252</v>
      </c>
      <c r="H129">
        <v>276.36599999999999</v>
      </c>
      <c r="I129">
        <v>291.36200000000002</v>
      </c>
      <c r="J129">
        <v>339.10500000000002</v>
      </c>
      <c r="K129">
        <v>536.46500000000003</v>
      </c>
      <c r="L129">
        <v>794.06</v>
      </c>
      <c r="M129">
        <v>998.93100000000004</v>
      </c>
      <c r="N129">
        <v>1013.53</v>
      </c>
      <c r="O129">
        <v>1185.1300000000001</v>
      </c>
      <c r="P129">
        <v>1416.12</v>
      </c>
      <c r="Q129">
        <v>1798.43</v>
      </c>
      <c r="R129">
        <v>2264.2399999999998</v>
      </c>
      <c r="S129">
        <v>2841.85</v>
      </c>
      <c r="T129">
        <v>3563.51</v>
      </c>
      <c r="U129">
        <v>4463.05</v>
      </c>
      <c r="V129">
        <v>5571.24</v>
      </c>
      <c r="W129">
        <v>6917.76</v>
      </c>
      <c r="X129">
        <v>8521.4699999999993</v>
      </c>
      <c r="Y129">
        <v>10403.799999999999</v>
      </c>
      <c r="Z129">
        <v>12586.7</v>
      </c>
      <c r="AA129">
        <v>15094.1</v>
      </c>
      <c r="AB129">
        <v>17947.7</v>
      </c>
      <c r="AC129">
        <v>21164</v>
      </c>
      <c r="AD129">
        <v>24747.4</v>
      </c>
    </row>
    <row r="130" spans="1:30" x14ac:dyDescent="0.25">
      <c r="A130" t="s">
        <v>232</v>
      </c>
      <c r="B130" t="s">
        <v>164</v>
      </c>
      <c r="C130" t="s">
        <v>233</v>
      </c>
      <c r="D130" t="s">
        <v>234</v>
      </c>
      <c r="E130" t="str">
        <f>_xlfn.XLOOKUP(B130,'Rural population'!$C$2:$C$200,'Rural population'!$G$2:$G$200)</f>
        <v>Central America</v>
      </c>
      <c r="F130" t="s">
        <v>252</v>
      </c>
      <c r="G130" t="s">
        <v>252</v>
      </c>
      <c r="H130">
        <v>14.2296</v>
      </c>
      <c r="I130">
        <v>15.7997</v>
      </c>
      <c r="J130">
        <v>20.187000000000001</v>
      </c>
      <c r="K130">
        <v>23.577999999999999</v>
      </c>
      <c r="L130">
        <v>26.8597</v>
      </c>
      <c r="M130">
        <v>35.039299999999997</v>
      </c>
      <c r="N130">
        <v>35.3371</v>
      </c>
      <c r="O130">
        <v>44.543300000000002</v>
      </c>
      <c r="P130">
        <v>53.075899999999997</v>
      </c>
      <c r="Q130">
        <v>64.4709</v>
      </c>
      <c r="R130">
        <v>79.305599999999998</v>
      </c>
      <c r="S130">
        <v>98.1417</v>
      </c>
      <c r="T130">
        <v>121.619</v>
      </c>
      <c r="U130">
        <v>150.184</v>
      </c>
      <c r="V130">
        <v>184.14699999999999</v>
      </c>
      <c r="W130">
        <v>224.23599999999999</v>
      </c>
      <c r="X130">
        <v>269.71699999999998</v>
      </c>
      <c r="Y130">
        <v>320.40300000000002</v>
      </c>
      <c r="Z130">
        <v>374.99299999999999</v>
      </c>
      <c r="AA130">
        <v>433.03300000000002</v>
      </c>
      <c r="AB130">
        <v>494.43299999999999</v>
      </c>
      <c r="AC130">
        <v>559.23400000000004</v>
      </c>
      <c r="AD130">
        <v>627.51099999999997</v>
      </c>
    </row>
    <row r="131" spans="1:30" x14ac:dyDescent="0.25">
      <c r="A131" t="s">
        <v>232</v>
      </c>
      <c r="B131" t="s">
        <v>165</v>
      </c>
      <c r="C131" t="s">
        <v>233</v>
      </c>
      <c r="D131" t="s">
        <v>234</v>
      </c>
      <c r="E131" t="str">
        <f>_xlfn.XLOOKUP(B131,'Rural population'!$C$2:$C$200,'Rural population'!$G$2:$G$200)</f>
        <v>Western Europe</v>
      </c>
      <c r="F131">
        <v>438.29899999999998</v>
      </c>
      <c r="G131">
        <v>463.68099999999998</v>
      </c>
      <c r="H131">
        <v>545.89599999999996</v>
      </c>
      <c r="I131">
        <v>611.93799999999999</v>
      </c>
      <c r="J131">
        <v>717.13</v>
      </c>
      <c r="K131">
        <v>765.40499999999997</v>
      </c>
      <c r="L131">
        <v>820.56299999999999</v>
      </c>
      <c r="M131">
        <v>852.05899999999997</v>
      </c>
      <c r="N131">
        <v>898.32399999999996</v>
      </c>
      <c r="O131">
        <v>1014.01</v>
      </c>
      <c r="P131">
        <v>1109.55</v>
      </c>
      <c r="Q131">
        <v>1187.26</v>
      </c>
      <c r="R131">
        <v>1260.81</v>
      </c>
      <c r="S131">
        <v>1331.66</v>
      </c>
      <c r="T131">
        <v>1398.5</v>
      </c>
      <c r="U131">
        <v>1460.32</v>
      </c>
      <c r="V131">
        <v>1519.14</v>
      </c>
      <c r="W131">
        <v>1576.57</v>
      </c>
      <c r="X131">
        <v>1631.5</v>
      </c>
      <c r="Y131">
        <v>1683.35</v>
      </c>
      <c r="Z131">
        <v>1729.26</v>
      </c>
      <c r="AA131">
        <v>1766.66</v>
      </c>
      <c r="AB131">
        <v>1794.83</v>
      </c>
      <c r="AC131">
        <v>1814.12</v>
      </c>
      <c r="AD131">
        <v>1825.15</v>
      </c>
    </row>
    <row r="132" spans="1:30" x14ac:dyDescent="0.25">
      <c r="A132" t="s">
        <v>232</v>
      </c>
      <c r="B132" t="s">
        <v>166</v>
      </c>
      <c r="C132" t="s">
        <v>233</v>
      </c>
      <c r="D132" t="s">
        <v>234</v>
      </c>
      <c r="E132" t="str">
        <f>_xlfn.XLOOKUP(B132,'Rural population'!$C$2:$C$200,'Rural population'!$G$2:$G$200)</f>
        <v>Western Europe</v>
      </c>
      <c r="F132">
        <v>139.196</v>
      </c>
      <c r="G132">
        <v>164.98500000000001</v>
      </c>
      <c r="H132">
        <v>179.429</v>
      </c>
      <c r="I132">
        <v>215.58699999999999</v>
      </c>
      <c r="J132">
        <v>247.38900000000001</v>
      </c>
      <c r="K132">
        <v>275.99099999999999</v>
      </c>
      <c r="L132">
        <v>289.01</v>
      </c>
      <c r="M132">
        <v>315.154</v>
      </c>
      <c r="N132">
        <v>328.83199999999999</v>
      </c>
      <c r="O132">
        <v>365.43700000000001</v>
      </c>
      <c r="P132">
        <v>398.90699999999998</v>
      </c>
      <c r="Q132">
        <v>432.178</v>
      </c>
      <c r="R132">
        <v>466.61099999999999</v>
      </c>
      <c r="S132">
        <v>502.40100000000001</v>
      </c>
      <c r="T132">
        <v>539.31299999999999</v>
      </c>
      <c r="U132">
        <v>576.30899999999997</v>
      </c>
      <c r="V132">
        <v>613.96199999999999</v>
      </c>
      <c r="W132">
        <v>652.43499999999995</v>
      </c>
      <c r="X132">
        <v>689.44</v>
      </c>
      <c r="Y132">
        <v>724.86</v>
      </c>
      <c r="Z132">
        <v>758.28700000000003</v>
      </c>
      <c r="AA132">
        <v>789.26099999999997</v>
      </c>
      <c r="AB132">
        <v>817.69200000000001</v>
      </c>
      <c r="AC132">
        <v>843.58699999999999</v>
      </c>
      <c r="AD132">
        <v>866.45500000000004</v>
      </c>
    </row>
    <row r="133" spans="1:30" x14ac:dyDescent="0.25">
      <c r="A133" t="s">
        <v>232</v>
      </c>
      <c r="B133" t="s">
        <v>167</v>
      </c>
      <c r="C133" t="s">
        <v>233</v>
      </c>
      <c r="D133" t="s">
        <v>234</v>
      </c>
      <c r="E133" t="str">
        <f>_xlfn.XLOOKUP(B133,'Rural population'!$C$2:$C$200,'Rural population'!$G$2:$G$200)</f>
        <v>Rest of South Asia</v>
      </c>
      <c r="F133">
        <v>19.031199999999998</v>
      </c>
      <c r="G133">
        <v>24.17</v>
      </c>
      <c r="H133">
        <v>30.218</v>
      </c>
      <c r="I133">
        <v>38.9099</v>
      </c>
      <c r="J133">
        <v>49.241599999999998</v>
      </c>
      <c r="K133">
        <v>58.636200000000002</v>
      </c>
      <c r="L133">
        <v>72.866</v>
      </c>
      <c r="M133">
        <v>90.010599999999997</v>
      </c>
      <c r="N133">
        <v>110.404</v>
      </c>
      <c r="O133">
        <v>136.07599999999999</v>
      </c>
      <c r="P133">
        <v>174.946</v>
      </c>
      <c r="Q133">
        <v>223.386</v>
      </c>
      <c r="R133">
        <v>281.01799999999997</v>
      </c>
      <c r="S133">
        <v>349.69099999999997</v>
      </c>
      <c r="T133">
        <v>430.79599999999999</v>
      </c>
      <c r="U133">
        <v>525.78</v>
      </c>
      <c r="V133">
        <v>636.28099999999995</v>
      </c>
      <c r="W133">
        <v>764.59799999999996</v>
      </c>
      <c r="X133">
        <v>910.34799999999996</v>
      </c>
      <c r="Y133">
        <v>1073.42</v>
      </c>
      <c r="Z133">
        <v>1249.27</v>
      </c>
      <c r="AA133">
        <v>1434.82</v>
      </c>
      <c r="AB133">
        <v>1629.47</v>
      </c>
      <c r="AC133">
        <v>1834.05</v>
      </c>
      <c r="AD133">
        <v>2050.13</v>
      </c>
    </row>
    <row r="134" spans="1:30" x14ac:dyDescent="0.25">
      <c r="A134" t="s">
        <v>232</v>
      </c>
      <c r="B134" t="s">
        <v>168</v>
      </c>
      <c r="C134" t="s">
        <v>233</v>
      </c>
      <c r="D134" t="s">
        <v>234</v>
      </c>
      <c r="E134" t="str">
        <f>_xlfn.XLOOKUP(B134,'Rural population'!$C$2:$C$200,'Rural population'!$G$2:$G$200)</f>
        <v>Oceania</v>
      </c>
      <c r="F134">
        <v>76.252700000000004</v>
      </c>
      <c r="G134">
        <v>88.762799999999999</v>
      </c>
      <c r="H134">
        <v>91.002300000000005</v>
      </c>
      <c r="I134">
        <v>104.876</v>
      </c>
      <c r="J134">
        <v>113.301</v>
      </c>
      <c r="K134">
        <v>136.42099999999999</v>
      </c>
      <c r="L134">
        <v>148.28100000000001</v>
      </c>
      <c r="M134">
        <v>170.28200000000001</v>
      </c>
      <c r="N134">
        <v>196.09</v>
      </c>
      <c r="O134">
        <v>223.28200000000001</v>
      </c>
      <c r="P134">
        <v>252.39699999999999</v>
      </c>
      <c r="Q134">
        <v>280.97899999999998</v>
      </c>
      <c r="R134">
        <v>308.53199999999998</v>
      </c>
      <c r="S134">
        <v>337.15300000000002</v>
      </c>
      <c r="T134">
        <v>366.40300000000002</v>
      </c>
      <c r="U134">
        <v>395.94299999999998</v>
      </c>
      <c r="V134">
        <v>426.529</v>
      </c>
      <c r="W134">
        <v>457.98200000000003</v>
      </c>
      <c r="X134">
        <v>488.58699999999999</v>
      </c>
      <c r="Y134">
        <v>517.45000000000005</v>
      </c>
      <c r="Z134">
        <v>544.154</v>
      </c>
      <c r="AA134">
        <v>568.34299999999996</v>
      </c>
      <c r="AB134">
        <v>589.67399999999998</v>
      </c>
      <c r="AC134">
        <v>607.79100000000005</v>
      </c>
      <c r="AD134">
        <v>622.41499999999996</v>
      </c>
    </row>
    <row r="135" spans="1:30" x14ac:dyDescent="0.25">
      <c r="A135" t="s">
        <v>232</v>
      </c>
      <c r="B135" t="s">
        <v>169</v>
      </c>
      <c r="C135" t="s">
        <v>233</v>
      </c>
      <c r="D135" t="s">
        <v>234</v>
      </c>
      <c r="E135" t="str">
        <f>_xlfn.XLOOKUP(B135,'Rural population'!$C$2:$C$200,'Rural population'!$G$2:$G$200)</f>
        <v>Middle East</v>
      </c>
      <c r="F135">
        <v>23.529</v>
      </c>
      <c r="G135">
        <v>46.463000000000001</v>
      </c>
      <c r="H135">
        <v>53.518599999999999</v>
      </c>
      <c r="I135">
        <v>71.150800000000004</v>
      </c>
      <c r="J135">
        <v>85.024799999999999</v>
      </c>
      <c r="K135">
        <v>90.483099999999993</v>
      </c>
      <c r="L135">
        <v>117.64100000000001</v>
      </c>
      <c r="M135">
        <v>147.5</v>
      </c>
      <c r="N135">
        <v>150.37700000000001</v>
      </c>
      <c r="O135">
        <v>173.08699999999999</v>
      </c>
      <c r="P135">
        <v>202.465</v>
      </c>
      <c r="Q135">
        <v>235.78100000000001</v>
      </c>
      <c r="R135">
        <v>271.267</v>
      </c>
      <c r="S135">
        <v>308.46800000000002</v>
      </c>
      <c r="T135">
        <v>347.202</v>
      </c>
      <c r="U135">
        <v>388.971</v>
      </c>
      <c r="V135">
        <v>433.31799999999998</v>
      </c>
      <c r="W135">
        <v>479.48500000000001</v>
      </c>
      <c r="X135">
        <v>524.28099999999995</v>
      </c>
      <c r="Y135">
        <v>567.11699999999996</v>
      </c>
      <c r="Z135">
        <v>607.44100000000003</v>
      </c>
      <c r="AA135">
        <v>646.40099999999995</v>
      </c>
      <c r="AB135">
        <v>686.95799999999997</v>
      </c>
      <c r="AC135">
        <v>730.86400000000003</v>
      </c>
      <c r="AD135">
        <v>777.33900000000006</v>
      </c>
    </row>
    <row r="136" spans="1:30" x14ac:dyDescent="0.25">
      <c r="A136" t="s">
        <v>232</v>
      </c>
      <c r="B136" t="s">
        <v>170</v>
      </c>
      <c r="C136" t="s">
        <v>233</v>
      </c>
      <c r="D136" t="s">
        <v>234</v>
      </c>
      <c r="E136" t="str">
        <f>_xlfn.XLOOKUP(B136,'Rural population'!$C$2:$C$200,'Rural population'!$G$2:$G$200)</f>
        <v>Rest of South Asia</v>
      </c>
      <c r="F136">
        <v>188.30500000000001</v>
      </c>
      <c r="G136">
        <v>259.64600000000002</v>
      </c>
      <c r="H136">
        <v>340.93599999999998</v>
      </c>
      <c r="I136">
        <v>431.62200000000001</v>
      </c>
      <c r="J136">
        <v>524.25900000000001</v>
      </c>
      <c r="K136">
        <v>681.99699999999996</v>
      </c>
      <c r="L136">
        <v>817.63800000000003</v>
      </c>
      <c r="M136">
        <v>972.25199999999995</v>
      </c>
      <c r="N136">
        <v>1147.1099999999999</v>
      </c>
      <c r="O136">
        <v>1360.53</v>
      </c>
      <c r="P136">
        <v>1728.32</v>
      </c>
      <c r="Q136">
        <v>2198.79</v>
      </c>
      <c r="R136">
        <v>2819.93</v>
      </c>
      <c r="S136">
        <v>3632.01</v>
      </c>
      <c r="T136">
        <v>4661.67</v>
      </c>
      <c r="U136">
        <v>5933.57</v>
      </c>
      <c r="V136">
        <v>7474.03</v>
      </c>
      <c r="W136">
        <v>9319.24</v>
      </c>
      <c r="X136">
        <v>11456.4</v>
      </c>
      <c r="Y136">
        <v>13903.6</v>
      </c>
      <c r="Z136">
        <v>16636.400000000001</v>
      </c>
      <c r="AA136">
        <v>19635.099999999999</v>
      </c>
      <c r="AB136">
        <v>22896.3</v>
      </c>
      <c r="AC136">
        <v>26405.9</v>
      </c>
      <c r="AD136">
        <v>30172.1</v>
      </c>
    </row>
    <row r="137" spans="1:30" x14ac:dyDescent="0.25">
      <c r="A137" t="s">
        <v>232</v>
      </c>
      <c r="B137" t="s">
        <v>171</v>
      </c>
      <c r="C137" t="s">
        <v>233</v>
      </c>
      <c r="D137" t="s">
        <v>234</v>
      </c>
      <c r="E137" t="str">
        <f>_xlfn.XLOOKUP(B137,'Rural population'!$C$2:$C$200,'Rural population'!$G$2:$G$200)</f>
        <v>Central America</v>
      </c>
      <c r="F137">
        <v>23.245999999999999</v>
      </c>
      <c r="G137">
        <v>27.530999999999999</v>
      </c>
      <c r="H137">
        <v>26.6264</v>
      </c>
      <c r="I137">
        <v>34.789099999999998</v>
      </c>
      <c r="J137">
        <v>45.561500000000002</v>
      </c>
      <c r="K137">
        <v>56.26</v>
      </c>
      <c r="L137">
        <v>80.578199999999995</v>
      </c>
      <c r="M137">
        <v>116.93899999999999</v>
      </c>
      <c r="N137">
        <v>114.259</v>
      </c>
      <c r="O137">
        <v>168.143</v>
      </c>
      <c r="P137">
        <v>204.316</v>
      </c>
      <c r="Q137">
        <v>241.185</v>
      </c>
      <c r="R137">
        <v>275.44600000000003</v>
      </c>
      <c r="S137">
        <v>308.39299999999997</v>
      </c>
      <c r="T137">
        <v>341.04700000000003</v>
      </c>
      <c r="U137">
        <v>373.70499999999998</v>
      </c>
      <c r="V137">
        <v>406.87700000000001</v>
      </c>
      <c r="W137">
        <v>440.44499999999999</v>
      </c>
      <c r="X137">
        <v>473.61799999999999</v>
      </c>
      <c r="Y137">
        <v>506.85500000000002</v>
      </c>
      <c r="Z137">
        <v>540.096</v>
      </c>
      <c r="AA137">
        <v>573.42399999999998</v>
      </c>
      <c r="AB137">
        <v>606.69000000000005</v>
      </c>
      <c r="AC137">
        <v>639.84199999999998</v>
      </c>
      <c r="AD137">
        <v>672.71900000000005</v>
      </c>
    </row>
    <row r="138" spans="1:30" x14ac:dyDescent="0.25">
      <c r="A138" t="s">
        <v>232</v>
      </c>
      <c r="B138" t="s">
        <v>172</v>
      </c>
      <c r="C138" t="s">
        <v>233</v>
      </c>
      <c r="D138" t="s">
        <v>234</v>
      </c>
      <c r="E138" t="str">
        <f>_xlfn.XLOOKUP(B138,'Rural population'!$C$2:$C$200,'Rural population'!$G$2:$G$200)</f>
        <v>Rest of South America</v>
      </c>
      <c r="F138">
        <v>130.47800000000001</v>
      </c>
      <c r="G138">
        <v>131.78399999999999</v>
      </c>
      <c r="H138">
        <v>118.47</v>
      </c>
      <c r="I138">
        <v>152.91300000000001</v>
      </c>
      <c r="J138">
        <v>173.77099999999999</v>
      </c>
      <c r="K138">
        <v>214.251</v>
      </c>
      <c r="L138">
        <v>298.78100000000001</v>
      </c>
      <c r="M138">
        <v>377.31299999999999</v>
      </c>
      <c r="N138">
        <v>380.637</v>
      </c>
      <c r="O138">
        <v>474.59399999999999</v>
      </c>
      <c r="P138">
        <v>551.01700000000005</v>
      </c>
      <c r="Q138">
        <v>639.57600000000002</v>
      </c>
      <c r="R138">
        <v>740.13599999999997</v>
      </c>
      <c r="S138">
        <v>852.19600000000003</v>
      </c>
      <c r="T138">
        <v>975.89800000000002</v>
      </c>
      <c r="U138">
        <v>1110.19</v>
      </c>
      <c r="V138">
        <v>1254.73</v>
      </c>
      <c r="W138">
        <v>1409.46</v>
      </c>
      <c r="X138">
        <v>1572.22</v>
      </c>
      <c r="Y138">
        <v>1741.58</v>
      </c>
      <c r="Z138">
        <v>1915.17</v>
      </c>
      <c r="AA138">
        <v>2092.54</v>
      </c>
      <c r="AB138">
        <v>2273.0500000000002</v>
      </c>
      <c r="AC138">
        <v>2456.12</v>
      </c>
      <c r="AD138">
        <v>2641.72</v>
      </c>
    </row>
    <row r="139" spans="1:30" x14ac:dyDescent="0.25">
      <c r="A139" t="s">
        <v>232</v>
      </c>
      <c r="B139" t="s">
        <v>173</v>
      </c>
      <c r="C139" t="s">
        <v>233</v>
      </c>
      <c r="D139" t="s">
        <v>234</v>
      </c>
      <c r="E139" t="str">
        <f>_xlfn.XLOOKUP(B139,'Rural population'!$C$2:$C$200,'Rural population'!$G$2:$G$200)</f>
        <v>Southeastern Asia</v>
      </c>
      <c r="F139">
        <v>220.44499999999999</v>
      </c>
      <c r="G139">
        <v>206.749</v>
      </c>
      <c r="H139">
        <v>260.54700000000003</v>
      </c>
      <c r="I139">
        <v>290.66800000000001</v>
      </c>
      <c r="J139">
        <v>347.35599999999999</v>
      </c>
      <c r="K139">
        <v>436.31299999999999</v>
      </c>
      <c r="L139">
        <v>556.13</v>
      </c>
      <c r="M139">
        <v>745.44</v>
      </c>
      <c r="N139">
        <v>872.08900000000006</v>
      </c>
      <c r="O139">
        <v>1173.33</v>
      </c>
      <c r="P139">
        <v>1597.99</v>
      </c>
      <c r="Q139">
        <v>2088.1799999999998</v>
      </c>
      <c r="R139">
        <v>2588.91</v>
      </c>
      <c r="S139">
        <v>3110.06</v>
      </c>
      <c r="T139">
        <v>3654.48</v>
      </c>
      <c r="U139">
        <v>4221.8</v>
      </c>
      <c r="V139">
        <v>4812.8500000000004</v>
      </c>
      <c r="W139">
        <v>5428.73</v>
      </c>
      <c r="X139">
        <v>6053.51</v>
      </c>
      <c r="Y139">
        <v>6681.15</v>
      </c>
      <c r="Z139">
        <v>7310.54</v>
      </c>
      <c r="AA139">
        <v>7942.23</v>
      </c>
      <c r="AB139">
        <v>8575.76</v>
      </c>
      <c r="AC139">
        <v>9213.48</v>
      </c>
      <c r="AD139">
        <v>9852.16</v>
      </c>
    </row>
    <row r="140" spans="1:30" x14ac:dyDescent="0.25">
      <c r="A140" t="s">
        <v>232</v>
      </c>
      <c r="B140" t="s">
        <v>174</v>
      </c>
      <c r="C140" t="s">
        <v>233</v>
      </c>
      <c r="D140" t="s">
        <v>234</v>
      </c>
      <c r="E140" t="str">
        <f>_xlfn.XLOOKUP(B140,'Rural population'!$C$2:$C$200,'Rural population'!$G$2:$G$200)</f>
        <v>Oceania</v>
      </c>
      <c r="F140">
        <v>8.1077600000000007</v>
      </c>
      <c r="G140">
        <v>8.7722700000000007</v>
      </c>
      <c r="H140">
        <v>9.3595199999999998</v>
      </c>
      <c r="I140">
        <v>14.113300000000001</v>
      </c>
      <c r="J140">
        <v>14.6492</v>
      </c>
      <c r="K140">
        <v>16.7026</v>
      </c>
      <c r="L140">
        <v>21.6538</v>
      </c>
      <c r="M140">
        <v>28.787400000000002</v>
      </c>
      <c r="N140">
        <v>31.721699999999998</v>
      </c>
      <c r="O140">
        <v>36.966000000000001</v>
      </c>
      <c r="P140">
        <v>43.659100000000002</v>
      </c>
      <c r="Q140">
        <v>54.553199999999997</v>
      </c>
      <c r="R140">
        <v>69.294899999999998</v>
      </c>
      <c r="S140">
        <v>88.842500000000001</v>
      </c>
      <c r="T140">
        <v>114.366</v>
      </c>
      <c r="U140">
        <v>147.18100000000001</v>
      </c>
      <c r="V140">
        <v>188.51400000000001</v>
      </c>
      <c r="W140">
        <v>239.47900000000001</v>
      </c>
      <c r="X140">
        <v>299.87900000000002</v>
      </c>
      <c r="Y140">
        <v>369.66800000000001</v>
      </c>
      <c r="Z140">
        <v>448.28399999999999</v>
      </c>
      <c r="AA140">
        <v>535.37300000000005</v>
      </c>
      <c r="AB140">
        <v>630.524</v>
      </c>
      <c r="AC140">
        <v>733.16899999999998</v>
      </c>
      <c r="AD140">
        <v>842.10299999999995</v>
      </c>
    </row>
    <row r="141" spans="1:30" x14ac:dyDescent="0.25">
      <c r="A141" t="s">
        <v>232</v>
      </c>
      <c r="B141" t="s">
        <v>175</v>
      </c>
      <c r="C141" t="s">
        <v>233</v>
      </c>
      <c r="D141" t="s">
        <v>234</v>
      </c>
      <c r="E141" t="str">
        <f>_xlfn.XLOOKUP(B141,'Rural population'!$C$2:$C$200,'Rural population'!$G$2:$G$200)</f>
        <v>Central Europe</v>
      </c>
      <c r="F141">
        <v>435.06299999999999</v>
      </c>
      <c r="G141">
        <v>407.14299999999997</v>
      </c>
      <c r="H141">
        <v>429.22899999999998</v>
      </c>
      <c r="I141">
        <v>477.983</v>
      </c>
      <c r="J141">
        <v>603.69899999999996</v>
      </c>
      <c r="K141">
        <v>696.53</v>
      </c>
      <c r="L141">
        <v>872.27</v>
      </c>
      <c r="M141">
        <v>1016.83</v>
      </c>
      <c r="N141">
        <v>1194.22</v>
      </c>
      <c r="O141">
        <v>1427.74</v>
      </c>
      <c r="P141">
        <v>1677.31</v>
      </c>
      <c r="Q141">
        <v>1870.86</v>
      </c>
      <c r="R141">
        <v>2030.76</v>
      </c>
      <c r="S141">
        <v>2137.61</v>
      </c>
      <c r="T141">
        <v>2220.7600000000002</v>
      </c>
      <c r="U141">
        <v>2286.48</v>
      </c>
      <c r="V141">
        <v>2344.38</v>
      </c>
      <c r="W141">
        <v>2395.41</v>
      </c>
      <c r="X141">
        <v>2432.27</v>
      </c>
      <c r="Y141">
        <v>2452.8000000000002</v>
      </c>
      <c r="Z141">
        <v>2460.8200000000002</v>
      </c>
      <c r="AA141">
        <v>2464.6799999999998</v>
      </c>
      <c r="AB141">
        <v>2471.96</v>
      </c>
      <c r="AC141">
        <v>2485.23</v>
      </c>
      <c r="AD141">
        <v>2501.0100000000002</v>
      </c>
    </row>
    <row r="142" spans="1:30" x14ac:dyDescent="0.25">
      <c r="A142" t="s">
        <v>232</v>
      </c>
      <c r="B142" t="s">
        <v>176</v>
      </c>
      <c r="C142" t="s">
        <v>233</v>
      </c>
      <c r="D142" t="s">
        <v>234</v>
      </c>
      <c r="E142" t="str">
        <f>_xlfn.XLOOKUP(B142,'Rural population'!$C$2:$C$200,'Rural population'!$G$2:$G$200)</f>
        <v>USA</v>
      </c>
      <c r="F142">
        <v>53.8108</v>
      </c>
      <c r="G142">
        <v>58.023800000000001</v>
      </c>
      <c r="H142">
        <v>76.387799999999999</v>
      </c>
      <c r="I142">
        <v>93.135800000000003</v>
      </c>
      <c r="J142">
        <v>114.789</v>
      </c>
      <c r="K142">
        <v>131.34100000000001</v>
      </c>
      <c r="L142">
        <v>122.661</v>
      </c>
      <c r="M142">
        <v>119.176</v>
      </c>
      <c r="N142">
        <v>106.283</v>
      </c>
      <c r="O142">
        <v>107.65600000000001</v>
      </c>
      <c r="P142">
        <v>112.75700000000001</v>
      </c>
      <c r="Q142">
        <v>116.726</v>
      </c>
      <c r="R142">
        <v>119.29900000000001</v>
      </c>
      <c r="S142">
        <v>121.197</v>
      </c>
      <c r="T142">
        <v>122.566</v>
      </c>
      <c r="U142">
        <v>123.84099999999999</v>
      </c>
      <c r="V142">
        <v>125.178</v>
      </c>
      <c r="W142">
        <v>126.85599999999999</v>
      </c>
      <c r="X142">
        <v>128.642</v>
      </c>
      <c r="Y142">
        <v>130.33199999999999</v>
      </c>
      <c r="Z142">
        <v>131.88900000000001</v>
      </c>
      <c r="AA142">
        <v>133.482</v>
      </c>
      <c r="AB142">
        <v>135.18600000000001</v>
      </c>
      <c r="AC142">
        <v>136.97200000000001</v>
      </c>
      <c r="AD142">
        <v>138.798</v>
      </c>
    </row>
    <row r="143" spans="1:30" x14ac:dyDescent="0.25">
      <c r="A143" t="s">
        <v>232</v>
      </c>
      <c r="B143" t="s">
        <v>177</v>
      </c>
      <c r="C143" t="s">
        <v>233</v>
      </c>
      <c r="D143" t="s">
        <v>234</v>
      </c>
      <c r="E143" t="str">
        <f>_xlfn.XLOOKUP(B143,'Rural population'!$C$2:$C$200,'Rural population'!$G$2:$G$200)</f>
        <v>Korea region</v>
      </c>
      <c r="F143" t="s">
        <v>252</v>
      </c>
      <c r="G143" t="s">
        <v>252</v>
      </c>
      <c r="H143" t="s">
        <v>252</v>
      </c>
      <c r="I143" t="s">
        <v>252</v>
      </c>
      <c r="J143" t="s">
        <v>252</v>
      </c>
      <c r="K143" t="s">
        <v>252</v>
      </c>
      <c r="L143" t="s">
        <v>252</v>
      </c>
      <c r="M143" t="s">
        <v>252</v>
      </c>
      <c r="N143">
        <v>47.201999999999998</v>
      </c>
      <c r="O143">
        <v>58.811399999999999</v>
      </c>
      <c r="P143">
        <v>76.674499999999995</v>
      </c>
      <c r="Q143">
        <v>100.399</v>
      </c>
      <c r="R143">
        <v>131.203</v>
      </c>
      <c r="S143">
        <v>169.178</v>
      </c>
      <c r="T143">
        <v>214.73</v>
      </c>
      <c r="U143">
        <v>268.43400000000003</v>
      </c>
      <c r="V143">
        <v>331.41</v>
      </c>
      <c r="W143">
        <v>405.28800000000001</v>
      </c>
      <c r="X143">
        <v>490.52100000000002</v>
      </c>
      <c r="Y143">
        <v>583.87800000000004</v>
      </c>
      <c r="Z143">
        <v>683.81600000000003</v>
      </c>
      <c r="AA143">
        <v>788.447</v>
      </c>
      <c r="AB143">
        <v>897.21299999999997</v>
      </c>
      <c r="AC143">
        <v>1010.28</v>
      </c>
      <c r="AD143">
        <v>1127.3399999999999</v>
      </c>
    </row>
    <row r="144" spans="1:30" x14ac:dyDescent="0.25">
      <c r="A144" t="s">
        <v>232</v>
      </c>
      <c r="B144" t="s">
        <v>178</v>
      </c>
      <c r="C144" t="s">
        <v>233</v>
      </c>
      <c r="D144" t="s">
        <v>234</v>
      </c>
      <c r="E144" t="str">
        <f>_xlfn.XLOOKUP(B144,'Rural population'!$C$2:$C$200,'Rural population'!$G$2:$G$200)</f>
        <v>Western Europe</v>
      </c>
      <c r="F144">
        <v>170.773</v>
      </c>
      <c r="G144">
        <v>178.483</v>
      </c>
      <c r="H144">
        <v>235.17</v>
      </c>
      <c r="I144">
        <v>255.90100000000001</v>
      </c>
      <c r="J144">
        <v>297.988</v>
      </c>
      <c r="K144">
        <v>311.11200000000002</v>
      </c>
      <c r="L144">
        <v>320.45</v>
      </c>
      <c r="M144">
        <v>307.226</v>
      </c>
      <c r="N144">
        <v>314.17599999999999</v>
      </c>
      <c r="O144">
        <v>374.39699999999999</v>
      </c>
      <c r="P144">
        <v>413.37299999999999</v>
      </c>
      <c r="Q144">
        <v>450.834</v>
      </c>
      <c r="R144">
        <v>489.72399999999999</v>
      </c>
      <c r="S144">
        <v>527.32500000000005</v>
      </c>
      <c r="T144">
        <v>564.303</v>
      </c>
      <c r="U144">
        <v>600.11699999999996</v>
      </c>
      <c r="V144">
        <v>634.16800000000001</v>
      </c>
      <c r="W144">
        <v>666.01800000000003</v>
      </c>
      <c r="X144">
        <v>693.99400000000003</v>
      </c>
      <c r="Y144">
        <v>718.45</v>
      </c>
      <c r="Z144">
        <v>739.97799999999995</v>
      </c>
      <c r="AA144">
        <v>759.471</v>
      </c>
      <c r="AB144">
        <v>776.697</v>
      </c>
      <c r="AC144">
        <v>790.69500000000005</v>
      </c>
      <c r="AD144">
        <v>800.60699999999997</v>
      </c>
    </row>
    <row r="145" spans="1:30" x14ac:dyDescent="0.25">
      <c r="A145" t="s">
        <v>232</v>
      </c>
      <c r="B145" t="s">
        <v>179</v>
      </c>
      <c r="C145" t="s">
        <v>233</v>
      </c>
      <c r="D145" t="s">
        <v>234</v>
      </c>
      <c r="E145" t="str">
        <f>_xlfn.XLOOKUP(B145,'Rural population'!$C$2:$C$200,'Rural population'!$G$2:$G$200)</f>
        <v>Rest of South America</v>
      </c>
      <c r="F145">
        <v>26.383900000000001</v>
      </c>
      <c r="G145">
        <v>29.4085</v>
      </c>
      <c r="H145">
        <v>35.797800000000002</v>
      </c>
      <c r="I145">
        <v>44.478700000000003</v>
      </c>
      <c r="J145">
        <v>45.408000000000001</v>
      </c>
      <c r="K145">
        <v>49.912999999999997</v>
      </c>
      <c r="L145">
        <v>65.077200000000005</v>
      </c>
      <c r="M145">
        <v>79.115399999999994</v>
      </c>
      <c r="N145">
        <v>88.143299999999996</v>
      </c>
      <c r="O145">
        <v>103.285</v>
      </c>
      <c r="P145">
        <v>122.776</v>
      </c>
      <c r="Q145">
        <v>144.79900000000001</v>
      </c>
      <c r="R145">
        <v>168.381</v>
      </c>
      <c r="S145">
        <v>194.089</v>
      </c>
      <c r="T145">
        <v>221.99</v>
      </c>
      <c r="U145">
        <v>252.44499999999999</v>
      </c>
      <c r="V145">
        <v>285.71199999999999</v>
      </c>
      <c r="W145">
        <v>322.19499999999999</v>
      </c>
      <c r="X145">
        <v>360.22899999999998</v>
      </c>
      <c r="Y145">
        <v>399.63299999999998</v>
      </c>
      <c r="Z145">
        <v>439.58199999999999</v>
      </c>
      <c r="AA145">
        <v>480.339</v>
      </c>
      <c r="AB145">
        <v>522.17600000000004</v>
      </c>
      <c r="AC145">
        <v>565.18700000000001</v>
      </c>
      <c r="AD145">
        <v>609.37300000000005</v>
      </c>
    </row>
    <row r="146" spans="1:30" x14ac:dyDescent="0.25">
      <c r="A146" t="s">
        <v>232</v>
      </c>
      <c r="B146" t="s">
        <v>181</v>
      </c>
      <c r="C146" t="s">
        <v>233</v>
      </c>
      <c r="D146" t="s">
        <v>234</v>
      </c>
      <c r="E146" t="str">
        <f>_xlfn.XLOOKUP(B146,'Rural population'!$C$2:$C$200,'Rural population'!$G$2:$G$200)</f>
        <v>Oceania</v>
      </c>
      <c r="F146">
        <v>3.5124500000000003</v>
      </c>
      <c r="G146">
        <v>3.7989899999999999</v>
      </c>
      <c r="H146">
        <v>4.3076999999999996</v>
      </c>
      <c r="I146">
        <v>4.2540100000000001</v>
      </c>
      <c r="J146">
        <v>4.5166900000000005</v>
      </c>
      <c r="K146">
        <v>4.69543</v>
      </c>
      <c r="L146">
        <v>4.5006199999999996</v>
      </c>
      <c r="M146">
        <v>4.4486499999999998</v>
      </c>
      <c r="N146">
        <v>4.6116799999999998</v>
      </c>
      <c r="O146">
        <v>5.4462900000000003</v>
      </c>
      <c r="P146">
        <v>6.3097200000000004</v>
      </c>
      <c r="Q146">
        <v>7.20289</v>
      </c>
      <c r="R146">
        <v>8.1900899999999996</v>
      </c>
      <c r="S146">
        <v>9.2944300000000002</v>
      </c>
      <c r="T146">
        <v>10.5151</v>
      </c>
      <c r="U146">
        <v>11.845000000000001</v>
      </c>
      <c r="V146">
        <v>13.297499999999999</v>
      </c>
      <c r="W146">
        <v>14.876300000000001</v>
      </c>
      <c r="X146">
        <v>16.5457</v>
      </c>
      <c r="Y146">
        <v>18.295100000000001</v>
      </c>
      <c r="Z146">
        <v>20.136700000000001</v>
      </c>
      <c r="AA146">
        <v>22.077400000000001</v>
      </c>
      <c r="AB146">
        <v>24.1342</v>
      </c>
      <c r="AC146">
        <v>26.3125</v>
      </c>
      <c r="AD146">
        <v>28.6113</v>
      </c>
    </row>
    <row r="147" spans="1:30" x14ac:dyDescent="0.25">
      <c r="A147" t="s">
        <v>232</v>
      </c>
      <c r="B147" t="s">
        <v>182</v>
      </c>
      <c r="C147" t="s">
        <v>233</v>
      </c>
      <c r="D147" t="s">
        <v>234</v>
      </c>
      <c r="E147" t="str">
        <f>_xlfn.XLOOKUP(B147,'Rural population'!$C$2:$C$200,'Rural population'!$G$2:$G$200)</f>
        <v>Middle East</v>
      </c>
      <c r="F147">
        <v>34.442</v>
      </c>
      <c r="G147">
        <v>29.0154</v>
      </c>
      <c r="H147">
        <v>28.5717</v>
      </c>
      <c r="I147">
        <v>31.4999</v>
      </c>
      <c r="J147">
        <v>51.316099999999999</v>
      </c>
      <c r="K147">
        <v>76.589600000000004</v>
      </c>
      <c r="L147">
        <v>181.35300000000001</v>
      </c>
      <c r="M147">
        <v>246.21899999999999</v>
      </c>
      <c r="N147">
        <v>245.727</v>
      </c>
      <c r="O147">
        <v>284.05099999999999</v>
      </c>
      <c r="P147">
        <v>338.69400000000002</v>
      </c>
      <c r="Q147">
        <v>375.846</v>
      </c>
      <c r="R147">
        <v>403.23200000000003</v>
      </c>
      <c r="S147">
        <v>426.84399999999999</v>
      </c>
      <c r="T147">
        <v>451.56</v>
      </c>
      <c r="U147">
        <v>477.44900000000001</v>
      </c>
      <c r="V147">
        <v>507.072</v>
      </c>
      <c r="W147">
        <v>537.80399999999997</v>
      </c>
      <c r="X147">
        <v>562.46699999999998</v>
      </c>
      <c r="Y147">
        <v>579.40899999999999</v>
      </c>
      <c r="Z147">
        <v>590.29300000000001</v>
      </c>
      <c r="AA147">
        <v>596.41899999999998</v>
      </c>
      <c r="AB147">
        <v>600.09799999999996</v>
      </c>
      <c r="AC147">
        <v>603.19799999999998</v>
      </c>
      <c r="AD147">
        <v>605.67999999999995</v>
      </c>
    </row>
    <row r="148" spans="1:30" x14ac:dyDescent="0.25">
      <c r="A148" t="s">
        <v>232</v>
      </c>
      <c r="B148" t="s">
        <v>184</v>
      </c>
      <c r="C148" t="s">
        <v>233</v>
      </c>
      <c r="D148" t="s">
        <v>234</v>
      </c>
      <c r="E148" t="str">
        <f>_xlfn.XLOOKUP(B148,'Rural population'!$C$2:$C$200,'Rural population'!$G$2:$G$200)</f>
        <v>Central Europe</v>
      </c>
      <c r="F148">
        <v>291.15199999999999</v>
      </c>
      <c r="G148">
        <v>339.89600000000002</v>
      </c>
      <c r="H148">
        <v>310.334</v>
      </c>
      <c r="I148">
        <v>276.38</v>
      </c>
      <c r="J148">
        <v>246.905</v>
      </c>
      <c r="K148">
        <v>324.827</v>
      </c>
      <c r="L148">
        <v>373.459</v>
      </c>
      <c r="M148">
        <v>428.48200000000003</v>
      </c>
      <c r="N148">
        <v>505.77100000000002</v>
      </c>
      <c r="O148">
        <v>605.72199999999998</v>
      </c>
      <c r="P148">
        <v>686.173</v>
      </c>
      <c r="Q148">
        <v>754.29700000000003</v>
      </c>
      <c r="R148">
        <v>805.96799999999996</v>
      </c>
      <c r="S148">
        <v>842.48</v>
      </c>
      <c r="T148">
        <v>869.34900000000005</v>
      </c>
      <c r="U148">
        <v>892.35599999999999</v>
      </c>
      <c r="V148">
        <v>913.33299999999997</v>
      </c>
      <c r="W148">
        <v>933.28099999999995</v>
      </c>
      <c r="X148">
        <v>950.24400000000003</v>
      </c>
      <c r="Y148">
        <v>966.03499999999997</v>
      </c>
      <c r="Z148">
        <v>980.86599999999999</v>
      </c>
      <c r="AA148">
        <v>995.74599999999998</v>
      </c>
      <c r="AB148">
        <v>1011.46</v>
      </c>
      <c r="AC148">
        <v>1028.0899999999999</v>
      </c>
      <c r="AD148">
        <v>1043.8599999999999</v>
      </c>
    </row>
    <row r="149" spans="1:30" x14ac:dyDescent="0.25">
      <c r="A149" t="s">
        <v>232</v>
      </c>
      <c r="B149" t="s">
        <v>185</v>
      </c>
      <c r="C149" t="s">
        <v>233</v>
      </c>
      <c r="D149" t="s">
        <v>234</v>
      </c>
      <c r="E149" t="str">
        <f>_xlfn.XLOOKUP(B149,'Rural population'!$C$2:$C$200,'Rural population'!$G$2:$G$200)</f>
        <v>Russia region</v>
      </c>
      <c r="F149" t="s">
        <v>252</v>
      </c>
      <c r="G149" t="s">
        <v>252</v>
      </c>
      <c r="H149">
        <v>3147.86</v>
      </c>
      <c r="I149">
        <v>1955.4</v>
      </c>
      <c r="J149">
        <v>1991.82</v>
      </c>
      <c r="K149">
        <v>2681.03</v>
      </c>
      <c r="L149">
        <v>3229.32</v>
      </c>
      <c r="M149">
        <v>3520.36</v>
      </c>
      <c r="N149">
        <v>3672.97</v>
      </c>
      <c r="O149">
        <v>3930.24</v>
      </c>
      <c r="P149">
        <v>4224.8100000000004</v>
      </c>
      <c r="Q149">
        <v>4635.3599999999997</v>
      </c>
      <c r="R149">
        <v>5060.79</v>
      </c>
      <c r="S149">
        <v>5492.32</v>
      </c>
      <c r="T149">
        <v>5926.48</v>
      </c>
      <c r="U149">
        <v>6402.86</v>
      </c>
      <c r="V149">
        <v>6953.18</v>
      </c>
      <c r="W149">
        <v>7536.85</v>
      </c>
      <c r="X149">
        <v>8145.25</v>
      </c>
      <c r="Y149">
        <v>8761.35</v>
      </c>
      <c r="Z149">
        <v>9387.5400000000009</v>
      </c>
      <c r="AA149">
        <v>10043.6</v>
      </c>
      <c r="AB149">
        <v>10747.2</v>
      </c>
      <c r="AC149">
        <v>11493.4</v>
      </c>
      <c r="AD149">
        <v>12252.4</v>
      </c>
    </row>
    <row r="150" spans="1:30" x14ac:dyDescent="0.25">
      <c r="A150" t="s">
        <v>232</v>
      </c>
      <c r="B150" t="s">
        <v>186</v>
      </c>
      <c r="C150" t="s">
        <v>233</v>
      </c>
      <c r="D150" t="s">
        <v>234</v>
      </c>
      <c r="E150" t="str">
        <f>_xlfn.XLOOKUP(B150,'Rural population'!$C$2:$C$200,'Rural population'!$G$2:$G$200)</f>
        <v>Eastern Africa</v>
      </c>
      <c r="F150">
        <v>5.3599699999999997</v>
      </c>
      <c r="G150">
        <v>6.6987300000000003</v>
      </c>
      <c r="H150">
        <v>6.6919000000000004</v>
      </c>
      <c r="I150">
        <v>4.42788</v>
      </c>
      <c r="J150">
        <v>6.88666</v>
      </c>
      <c r="K150">
        <v>10.1531</v>
      </c>
      <c r="L150">
        <v>15.135899999999999</v>
      </c>
      <c r="M150">
        <v>21.487400000000001</v>
      </c>
      <c r="N150">
        <v>27.168299999999999</v>
      </c>
      <c r="O150">
        <v>39.6021</v>
      </c>
      <c r="P150">
        <v>55.870400000000004</v>
      </c>
      <c r="Q150">
        <v>75.545500000000004</v>
      </c>
      <c r="R150">
        <v>98.799300000000002</v>
      </c>
      <c r="S150">
        <v>126.98399999999999</v>
      </c>
      <c r="T150">
        <v>161.36199999999999</v>
      </c>
      <c r="U150">
        <v>203.298</v>
      </c>
      <c r="V150">
        <v>254.26900000000001</v>
      </c>
      <c r="W150">
        <v>315.30200000000002</v>
      </c>
      <c r="X150">
        <v>386.62900000000002</v>
      </c>
      <c r="Y150">
        <v>469.39800000000002</v>
      </c>
      <c r="Z150">
        <v>563.4</v>
      </c>
      <c r="AA150">
        <v>668.59400000000005</v>
      </c>
      <c r="AB150">
        <v>785.15499999999997</v>
      </c>
      <c r="AC150">
        <v>913.16600000000005</v>
      </c>
      <c r="AD150">
        <v>1053.45</v>
      </c>
    </row>
    <row r="151" spans="1:30" x14ac:dyDescent="0.25">
      <c r="A151" t="s">
        <v>232</v>
      </c>
      <c r="B151" t="s">
        <v>187</v>
      </c>
      <c r="C151" t="s">
        <v>233</v>
      </c>
      <c r="D151" t="s">
        <v>234</v>
      </c>
      <c r="E151" t="str">
        <f>_xlfn.XLOOKUP(B151,'Rural population'!$C$2:$C$200,'Rural population'!$G$2:$G$200)</f>
        <v>Middle East</v>
      </c>
      <c r="F151">
        <v>587.09299999999996</v>
      </c>
      <c r="G151">
        <v>465.01799999999997</v>
      </c>
      <c r="H151">
        <v>550.44600000000003</v>
      </c>
      <c r="I151">
        <v>633.97199999999998</v>
      </c>
      <c r="J151">
        <v>714.37099999999998</v>
      </c>
      <c r="K151">
        <v>907.322</v>
      </c>
      <c r="L151">
        <v>1204.3599999999999</v>
      </c>
      <c r="M151">
        <v>1578.24</v>
      </c>
      <c r="N151">
        <v>1599.98</v>
      </c>
      <c r="O151">
        <v>1941.87</v>
      </c>
      <c r="P151">
        <v>2404.66</v>
      </c>
      <c r="Q151">
        <v>2820.77</v>
      </c>
      <c r="R151">
        <v>3193.68</v>
      </c>
      <c r="S151">
        <v>3516.67</v>
      </c>
      <c r="T151">
        <v>3793.43</v>
      </c>
      <c r="U151">
        <v>4034.44</v>
      </c>
      <c r="V151">
        <v>4234.51</v>
      </c>
      <c r="W151">
        <v>4402.17</v>
      </c>
      <c r="X151">
        <v>4540.41</v>
      </c>
      <c r="Y151">
        <v>4651.05</v>
      </c>
      <c r="Z151">
        <v>4745.59</v>
      </c>
      <c r="AA151">
        <v>4827.93</v>
      </c>
      <c r="AB151">
        <v>4899.24</v>
      </c>
      <c r="AC151">
        <v>4957.34</v>
      </c>
      <c r="AD151">
        <v>4999.82</v>
      </c>
    </row>
    <row r="152" spans="1:30" x14ac:dyDescent="0.25">
      <c r="A152" t="s">
        <v>232</v>
      </c>
      <c r="B152" t="s">
        <v>188</v>
      </c>
      <c r="C152" t="s">
        <v>233</v>
      </c>
      <c r="D152" t="s">
        <v>234</v>
      </c>
      <c r="E152" t="str">
        <f>_xlfn.XLOOKUP(B152,'Rural population'!$C$2:$C$200,'Rural population'!$G$2:$G$200)</f>
        <v>Eastern Africa</v>
      </c>
      <c r="F152">
        <v>54.0764</v>
      </c>
      <c r="G152">
        <v>55.296799999999998</v>
      </c>
      <c r="H152">
        <v>69.024199999999993</v>
      </c>
      <c r="I152">
        <v>90.275999999999996</v>
      </c>
      <c r="J152">
        <v>123.479</v>
      </c>
      <c r="K152">
        <v>171.226</v>
      </c>
      <c r="L152">
        <v>202.267</v>
      </c>
      <c r="M152">
        <v>181.88200000000001</v>
      </c>
      <c r="N152">
        <v>176.17500000000001</v>
      </c>
      <c r="O152">
        <v>151.506</v>
      </c>
      <c r="P152">
        <v>189.21700000000001</v>
      </c>
      <c r="Q152">
        <v>230.35599999999999</v>
      </c>
      <c r="R152">
        <v>275.19600000000003</v>
      </c>
      <c r="S152">
        <v>326.49700000000001</v>
      </c>
      <c r="T152">
        <v>386.154</v>
      </c>
      <c r="U152">
        <v>457.00700000000001</v>
      </c>
      <c r="V152">
        <v>542.66300000000001</v>
      </c>
      <c r="W152">
        <v>646.35</v>
      </c>
      <c r="X152">
        <v>769.08399999999995</v>
      </c>
      <c r="Y152">
        <v>912.96100000000001</v>
      </c>
      <c r="Z152">
        <v>1078.6400000000001</v>
      </c>
      <c r="AA152">
        <v>1267.03</v>
      </c>
      <c r="AB152">
        <v>1477.91</v>
      </c>
      <c r="AC152">
        <v>1711.79</v>
      </c>
      <c r="AD152">
        <v>1967.12</v>
      </c>
    </row>
    <row r="153" spans="1:30" x14ac:dyDescent="0.25">
      <c r="A153" t="s">
        <v>232</v>
      </c>
      <c r="B153" t="s">
        <v>189</v>
      </c>
      <c r="C153" t="s">
        <v>233</v>
      </c>
      <c r="D153" t="s">
        <v>234</v>
      </c>
      <c r="E153" t="str">
        <f>_xlfn.XLOOKUP(B153,'Rural population'!$C$2:$C$200,'Rural population'!$G$2:$G$200)</f>
        <v>Western Africa</v>
      </c>
      <c r="F153">
        <v>14.488</v>
      </c>
      <c r="G153">
        <v>16.653600000000001</v>
      </c>
      <c r="H153">
        <v>18.703900000000001</v>
      </c>
      <c r="I153">
        <v>20.8261</v>
      </c>
      <c r="J153">
        <v>25.426100000000002</v>
      </c>
      <c r="K153">
        <v>30.590399999999999</v>
      </c>
      <c r="L153">
        <v>35.462000000000003</v>
      </c>
      <c r="M153">
        <v>43.246200000000002</v>
      </c>
      <c r="N153">
        <v>55.626899999999999</v>
      </c>
      <c r="O153">
        <v>76.921199999999999</v>
      </c>
      <c r="P153">
        <v>101.328</v>
      </c>
      <c r="Q153">
        <v>136.46600000000001</v>
      </c>
      <c r="R153">
        <v>176.624</v>
      </c>
      <c r="S153">
        <v>224.19900000000001</v>
      </c>
      <c r="T153">
        <v>281.36500000000001</v>
      </c>
      <c r="U153">
        <v>350.37900000000002</v>
      </c>
      <c r="V153">
        <v>433.56900000000002</v>
      </c>
      <c r="W153">
        <v>532.91999999999996</v>
      </c>
      <c r="X153">
        <v>647.44299999999998</v>
      </c>
      <c r="Y153">
        <v>778.99800000000005</v>
      </c>
      <c r="Z153">
        <v>927.56600000000003</v>
      </c>
      <c r="AA153">
        <v>1093.22</v>
      </c>
      <c r="AB153">
        <v>1276.8900000000001</v>
      </c>
      <c r="AC153">
        <v>1478.42</v>
      </c>
      <c r="AD153">
        <v>1697.51</v>
      </c>
    </row>
    <row r="154" spans="1:30" x14ac:dyDescent="0.25">
      <c r="A154" t="s">
        <v>232</v>
      </c>
      <c r="B154" t="s">
        <v>190</v>
      </c>
      <c r="C154" t="s">
        <v>233</v>
      </c>
      <c r="D154" t="s">
        <v>234</v>
      </c>
      <c r="E154" t="str">
        <f>_xlfn.XLOOKUP(B154,'Rural population'!$C$2:$C$200,'Rural population'!$G$2:$G$200)</f>
        <v>Southeastern Asia</v>
      </c>
      <c r="F154">
        <v>54.024999999999999</v>
      </c>
      <c r="G154">
        <v>75.253500000000003</v>
      </c>
      <c r="H154">
        <v>113.738</v>
      </c>
      <c r="I154">
        <v>171.732</v>
      </c>
      <c r="J154">
        <v>225.39699999999999</v>
      </c>
      <c r="K154">
        <v>285.97300000000001</v>
      </c>
      <c r="L154">
        <v>396.95800000000003</v>
      </c>
      <c r="M154">
        <v>493.988</v>
      </c>
      <c r="N154">
        <v>539.64</v>
      </c>
      <c r="O154">
        <v>643.99300000000005</v>
      </c>
      <c r="P154">
        <v>730.84900000000005</v>
      </c>
      <c r="Q154">
        <v>806.60699999999997</v>
      </c>
      <c r="R154">
        <v>852.74</v>
      </c>
      <c r="S154">
        <v>876.14</v>
      </c>
      <c r="T154">
        <v>881.88599999999997</v>
      </c>
      <c r="U154">
        <v>881.92100000000005</v>
      </c>
      <c r="V154">
        <v>878.24199999999996</v>
      </c>
      <c r="W154">
        <v>871.125</v>
      </c>
      <c r="X154">
        <v>858.72400000000005</v>
      </c>
      <c r="Y154">
        <v>840.12900000000002</v>
      </c>
      <c r="Z154">
        <v>815.70699999999999</v>
      </c>
      <c r="AA154">
        <v>786.29</v>
      </c>
      <c r="AB154">
        <v>752.97900000000004</v>
      </c>
      <c r="AC154">
        <v>716.81299999999999</v>
      </c>
      <c r="AD154">
        <v>678.68200000000002</v>
      </c>
    </row>
    <row r="155" spans="1:30" x14ac:dyDescent="0.25">
      <c r="A155" t="s">
        <v>232</v>
      </c>
      <c r="B155" t="s">
        <v>191</v>
      </c>
      <c r="C155" t="s">
        <v>233</v>
      </c>
      <c r="D155" t="s">
        <v>234</v>
      </c>
      <c r="E155" t="str">
        <f>_xlfn.XLOOKUP(B155,'Rural population'!$C$2:$C$200,'Rural population'!$G$2:$G$200)</f>
        <v>Oceania</v>
      </c>
      <c r="F155">
        <v>0.56874400000000003</v>
      </c>
      <c r="G155">
        <v>0.55366399999999993</v>
      </c>
      <c r="H155">
        <v>0.64629999999999999</v>
      </c>
      <c r="I155">
        <v>0.95566200000000001</v>
      </c>
      <c r="J155">
        <v>0.83142899999999997</v>
      </c>
      <c r="K155">
        <v>0.89189399999999996</v>
      </c>
      <c r="L155">
        <v>1.1514199999999999</v>
      </c>
      <c r="M155">
        <v>1.35565</v>
      </c>
      <c r="N155">
        <v>1.4897900000000002</v>
      </c>
      <c r="O155">
        <v>1.5373300000000001</v>
      </c>
      <c r="P155">
        <v>1.8052900000000001</v>
      </c>
      <c r="Q155">
        <v>2.3125800000000001</v>
      </c>
      <c r="R155">
        <v>3.1371500000000001</v>
      </c>
      <c r="S155">
        <v>4.3960800000000004</v>
      </c>
      <c r="T155">
        <v>6.2636200000000004</v>
      </c>
      <c r="U155">
        <v>8.9720100000000009</v>
      </c>
      <c r="V155">
        <v>12.799900000000001</v>
      </c>
      <c r="W155">
        <v>18.088000000000001</v>
      </c>
      <c r="X155">
        <v>25.154499999999999</v>
      </c>
      <c r="Y155">
        <v>34.3337</v>
      </c>
      <c r="Z155">
        <v>45.904899999999998</v>
      </c>
      <c r="AA155">
        <v>60.072200000000002</v>
      </c>
      <c r="AB155">
        <v>76.998199999999997</v>
      </c>
      <c r="AC155">
        <v>96.699700000000007</v>
      </c>
      <c r="AD155">
        <v>119.18300000000001</v>
      </c>
    </row>
    <row r="156" spans="1:30" x14ac:dyDescent="0.25">
      <c r="A156" t="s">
        <v>232</v>
      </c>
      <c r="B156" t="s">
        <v>192</v>
      </c>
      <c r="C156" t="s">
        <v>233</v>
      </c>
      <c r="D156" t="s">
        <v>234</v>
      </c>
      <c r="E156" t="str">
        <f>_xlfn.XLOOKUP(B156,'Rural population'!$C$2:$C$200,'Rural population'!$G$2:$G$200)</f>
        <v>Western Africa</v>
      </c>
      <c r="F156">
        <v>7.8357600000000005</v>
      </c>
      <c r="G156">
        <v>7.5847199999999999</v>
      </c>
      <c r="H156">
        <v>8.4628499999999995</v>
      </c>
      <c r="I156">
        <v>6.5551599999999999</v>
      </c>
      <c r="J156">
        <v>3.8425099999999999</v>
      </c>
      <c r="K156">
        <v>6.9914800000000001</v>
      </c>
      <c r="L156">
        <v>9.0214999999999996</v>
      </c>
      <c r="M156">
        <v>11.085699999999999</v>
      </c>
      <c r="N156">
        <v>13.060600000000001</v>
      </c>
      <c r="O156">
        <v>16.0047</v>
      </c>
      <c r="P156">
        <v>20.164400000000001</v>
      </c>
      <c r="Q156">
        <v>26.132999999999999</v>
      </c>
      <c r="R156">
        <v>34.317900000000002</v>
      </c>
      <c r="S156">
        <v>44.984900000000003</v>
      </c>
      <c r="T156">
        <v>58.441299999999998</v>
      </c>
      <c r="U156">
        <v>75.034800000000004</v>
      </c>
      <c r="V156">
        <v>95.067700000000002</v>
      </c>
      <c r="W156">
        <v>118.82</v>
      </c>
      <c r="X156">
        <v>146.291</v>
      </c>
      <c r="Y156">
        <v>177.49799999999999</v>
      </c>
      <c r="Z156">
        <v>212.12899999999999</v>
      </c>
      <c r="AA156">
        <v>249.93899999999999</v>
      </c>
      <c r="AB156">
        <v>290.863</v>
      </c>
      <c r="AC156">
        <v>335.13299999999998</v>
      </c>
      <c r="AD156">
        <v>382.95699999999999</v>
      </c>
    </row>
    <row r="157" spans="1:30" x14ac:dyDescent="0.25">
      <c r="A157" t="s">
        <v>232</v>
      </c>
      <c r="B157" t="s">
        <v>193</v>
      </c>
      <c r="C157" t="s">
        <v>233</v>
      </c>
      <c r="D157" t="s">
        <v>234</v>
      </c>
      <c r="E157" t="str">
        <f>_xlfn.XLOOKUP(B157,'Rural population'!$C$2:$C$200,'Rural population'!$G$2:$G$200)</f>
        <v>Central America</v>
      </c>
      <c r="F157">
        <v>27.517399999999999</v>
      </c>
      <c r="G157">
        <v>25.163799999999998</v>
      </c>
      <c r="H157">
        <v>27.869199999999999</v>
      </c>
      <c r="I157">
        <v>35.123699999999999</v>
      </c>
      <c r="J157">
        <v>38.730899999999998</v>
      </c>
      <c r="K157">
        <v>41.768099999999997</v>
      </c>
      <c r="L157">
        <v>45.328600000000002</v>
      </c>
      <c r="M157">
        <v>51.516599999999997</v>
      </c>
      <c r="N157">
        <v>52.206800000000001</v>
      </c>
      <c r="O157">
        <v>63.311300000000003</v>
      </c>
      <c r="P157">
        <v>70.356300000000005</v>
      </c>
      <c r="Q157">
        <v>80.038300000000007</v>
      </c>
      <c r="R157">
        <v>92.242400000000004</v>
      </c>
      <c r="S157">
        <v>107.143</v>
      </c>
      <c r="T157">
        <v>124.747</v>
      </c>
      <c r="U157">
        <v>145.096</v>
      </c>
      <c r="V157">
        <v>167.99299999999999</v>
      </c>
      <c r="W157">
        <v>193.97399999999999</v>
      </c>
      <c r="X157">
        <v>222.63900000000001</v>
      </c>
      <c r="Y157">
        <v>253.708</v>
      </c>
      <c r="Z157">
        <v>285.78800000000001</v>
      </c>
      <c r="AA157">
        <v>318.62700000000001</v>
      </c>
      <c r="AB157">
        <v>352.46899999999999</v>
      </c>
      <c r="AC157">
        <v>387.56</v>
      </c>
      <c r="AD157">
        <v>424.50299999999999</v>
      </c>
    </row>
    <row r="158" spans="1:30" x14ac:dyDescent="0.25">
      <c r="A158" t="s">
        <v>232</v>
      </c>
      <c r="B158" t="s">
        <v>194</v>
      </c>
      <c r="C158" t="s">
        <v>233</v>
      </c>
      <c r="D158" t="s">
        <v>234</v>
      </c>
      <c r="E158" t="str">
        <f>_xlfn.XLOOKUP(B158,'Rural population'!$C$2:$C$200,'Rural population'!$G$2:$G$200)</f>
        <v>Eastern Africa</v>
      </c>
      <c r="F158" t="s">
        <v>252</v>
      </c>
      <c r="G158" t="s">
        <v>252</v>
      </c>
      <c r="H158" t="s">
        <v>252</v>
      </c>
      <c r="I158" t="s">
        <v>252</v>
      </c>
      <c r="J158" t="s">
        <v>252</v>
      </c>
      <c r="K158" t="s">
        <v>252</v>
      </c>
      <c r="L158" t="s">
        <v>252</v>
      </c>
      <c r="M158">
        <v>21.4251</v>
      </c>
      <c r="N158">
        <v>24.0867</v>
      </c>
      <c r="O158">
        <v>28.2333</v>
      </c>
      <c r="P158">
        <v>35.275599999999997</v>
      </c>
      <c r="Q158">
        <v>47.372799999999998</v>
      </c>
      <c r="R158">
        <v>66.227699999999999</v>
      </c>
      <c r="S158">
        <v>94.311199999999999</v>
      </c>
      <c r="T158">
        <v>133.63200000000001</v>
      </c>
      <c r="U158">
        <v>186.505</v>
      </c>
      <c r="V158">
        <v>255.57400000000001</v>
      </c>
      <c r="W158">
        <v>343.86900000000003</v>
      </c>
      <c r="X158">
        <v>453.678</v>
      </c>
      <c r="Y158">
        <v>587.88300000000004</v>
      </c>
      <c r="Z158">
        <v>748.601</v>
      </c>
      <c r="AA158">
        <v>938.62400000000002</v>
      </c>
      <c r="AB158">
        <v>1160.96</v>
      </c>
      <c r="AC158">
        <v>1418.69</v>
      </c>
      <c r="AD158">
        <v>1714</v>
      </c>
    </row>
    <row r="159" spans="1:30" x14ac:dyDescent="0.25">
      <c r="A159" t="s">
        <v>232</v>
      </c>
      <c r="B159" t="s">
        <v>195</v>
      </c>
      <c r="C159" t="s">
        <v>233</v>
      </c>
      <c r="D159" t="s">
        <v>234</v>
      </c>
      <c r="E159" t="str">
        <f>_xlfn.XLOOKUP(B159,'Rural population'!$C$2:$C$200,'Rural population'!$G$2:$G$200)</f>
        <v>Central Europe</v>
      </c>
      <c r="F159" t="s">
        <v>252</v>
      </c>
      <c r="G159" t="s">
        <v>252</v>
      </c>
      <c r="H159" t="s">
        <v>252</v>
      </c>
      <c r="I159">
        <v>59.113300000000002</v>
      </c>
      <c r="J159">
        <v>66.941999999999993</v>
      </c>
      <c r="K159">
        <v>91.415300000000002</v>
      </c>
      <c r="L159">
        <v>105.873</v>
      </c>
      <c r="M159">
        <v>110.60299999999999</v>
      </c>
      <c r="N159">
        <v>126.07599999999999</v>
      </c>
      <c r="O159">
        <v>152.12200000000001</v>
      </c>
      <c r="P159">
        <v>184.761</v>
      </c>
      <c r="Q159">
        <v>216.34399999999999</v>
      </c>
      <c r="R159">
        <v>244.53899999999999</v>
      </c>
      <c r="S159">
        <v>270.673</v>
      </c>
      <c r="T159">
        <v>295.459</v>
      </c>
      <c r="U159">
        <v>319.524</v>
      </c>
      <c r="V159">
        <v>343.39100000000002</v>
      </c>
      <c r="W159">
        <v>367.23200000000003</v>
      </c>
      <c r="X159">
        <v>390.57600000000002</v>
      </c>
      <c r="Y159">
        <v>413.30399999999997</v>
      </c>
      <c r="Z159">
        <v>435.72399999999999</v>
      </c>
      <c r="AA159">
        <v>457.93599999999998</v>
      </c>
      <c r="AB159">
        <v>480.399</v>
      </c>
      <c r="AC159">
        <v>503.25700000000001</v>
      </c>
      <c r="AD159">
        <v>526.35799999999995</v>
      </c>
    </row>
    <row r="160" spans="1:30" x14ac:dyDescent="0.25">
      <c r="A160" t="s">
        <v>232</v>
      </c>
      <c r="B160" t="s">
        <v>196</v>
      </c>
      <c r="C160" t="s">
        <v>233</v>
      </c>
      <c r="D160" t="s">
        <v>234</v>
      </c>
      <c r="E160" t="str">
        <f>_xlfn.XLOOKUP(B160,'Rural population'!$C$2:$C$200,'Rural population'!$G$2:$G$200)</f>
        <v>Eastern Africa</v>
      </c>
      <c r="F160" t="s">
        <v>252</v>
      </c>
      <c r="G160" t="s">
        <v>252</v>
      </c>
      <c r="H160" t="s">
        <v>252</v>
      </c>
      <c r="I160" t="s">
        <v>252</v>
      </c>
      <c r="J160" t="s">
        <v>252</v>
      </c>
      <c r="K160" t="s">
        <v>252</v>
      </c>
      <c r="L160" t="s">
        <v>252</v>
      </c>
      <c r="M160">
        <v>7.0692199999999996</v>
      </c>
      <c r="N160">
        <v>5.32836</v>
      </c>
      <c r="O160">
        <v>6.4098699999999997</v>
      </c>
      <c r="P160">
        <v>8.2813200000000009</v>
      </c>
      <c r="Q160">
        <v>10.357200000000001</v>
      </c>
      <c r="R160">
        <v>12.7437</v>
      </c>
      <c r="S160">
        <v>15.9091</v>
      </c>
      <c r="T160">
        <v>20.122900000000001</v>
      </c>
      <c r="U160">
        <v>25.604600000000001</v>
      </c>
      <c r="V160">
        <v>32.429299999999998</v>
      </c>
      <c r="W160">
        <v>40.788699999999999</v>
      </c>
      <c r="X160">
        <v>50.930900000000001</v>
      </c>
      <c r="Y160">
        <v>63.277099999999997</v>
      </c>
      <c r="Z160">
        <v>78.108099999999993</v>
      </c>
      <c r="AA160">
        <v>95.669600000000003</v>
      </c>
      <c r="AB160">
        <v>116.14</v>
      </c>
      <c r="AC160">
        <v>139.77799999999999</v>
      </c>
      <c r="AD160">
        <v>167.38399999999999</v>
      </c>
    </row>
    <row r="161" spans="1:30" x14ac:dyDescent="0.25">
      <c r="A161" t="s">
        <v>232</v>
      </c>
      <c r="B161" t="s">
        <v>197</v>
      </c>
      <c r="C161" t="s">
        <v>233</v>
      </c>
      <c r="D161" t="s">
        <v>234</v>
      </c>
      <c r="E161" t="str">
        <f>_xlfn.XLOOKUP(B161,'Rural population'!$C$2:$C$200,'Rural population'!$G$2:$G$200)</f>
        <v>Western Africa</v>
      </c>
      <c r="F161">
        <v>0.344221</v>
      </c>
      <c r="G161">
        <v>0.31428099999999998</v>
      </c>
      <c r="H161">
        <v>0.29563800000000001</v>
      </c>
      <c r="I161">
        <v>0.31767000000000001</v>
      </c>
      <c r="J161">
        <v>0.34365599999999996</v>
      </c>
      <c r="K161">
        <v>0.42688699999999996</v>
      </c>
      <c r="L161">
        <v>0.54533000000000009</v>
      </c>
      <c r="M161">
        <v>0.64117800000000003</v>
      </c>
      <c r="N161">
        <v>0.76715299999999997</v>
      </c>
      <c r="O161">
        <v>0.82985900000000001</v>
      </c>
      <c r="P161">
        <v>0.99879599999999991</v>
      </c>
      <c r="Q161">
        <v>1.2182500000000001</v>
      </c>
      <c r="R161">
        <v>1.49132</v>
      </c>
      <c r="S161">
        <v>1.8317800000000002</v>
      </c>
      <c r="T161">
        <v>2.2513000000000001</v>
      </c>
      <c r="U161">
        <v>2.7616200000000002</v>
      </c>
      <c r="V161">
        <v>3.37276</v>
      </c>
      <c r="W161">
        <v>4.0925500000000001</v>
      </c>
      <c r="X161">
        <v>4.9166699999999999</v>
      </c>
      <c r="Y161">
        <v>5.8581099999999999</v>
      </c>
      <c r="Z161">
        <v>6.9146000000000001</v>
      </c>
      <c r="AA161">
        <v>8.0763999999999996</v>
      </c>
      <c r="AB161">
        <v>9.3392900000000001</v>
      </c>
      <c r="AC161">
        <v>10.7057</v>
      </c>
      <c r="AD161">
        <v>12.1846</v>
      </c>
    </row>
    <row r="162" spans="1:30" x14ac:dyDescent="0.25">
      <c r="A162" t="s">
        <v>232</v>
      </c>
      <c r="B162" t="s">
        <v>198</v>
      </c>
      <c r="C162" t="s">
        <v>233</v>
      </c>
      <c r="D162" t="s">
        <v>234</v>
      </c>
      <c r="E162" t="str">
        <f>_xlfn.XLOOKUP(B162,'Rural population'!$C$2:$C$200,'Rural population'!$G$2:$G$200)</f>
        <v>Rest of South America</v>
      </c>
      <c r="F162">
        <v>6.4657999999999998</v>
      </c>
      <c r="G162">
        <v>5.6314399999999996</v>
      </c>
      <c r="H162">
        <v>5.5969100000000003</v>
      </c>
      <c r="I162">
        <v>5.0745899999999997</v>
      </c>
      <c r="J162">
        <v>6.1087499999999997</v>
      </c>
      <c r="K162">
        <v>7.9482800000000005</v>
      </c>
      <c r="L162">
        <v>9.9691100000000006</v>
      </c>
      <c r="M162">
        <v>10.801</v>
      </c>
      <c r="N162">
        <v>9.3068100000000005</v>
      </c>
      <c r="O162">
        <v>9.9049800000000001</v>
      </c>
      <c r="P162">
        <v>11.4991</v>
      </c>
      <c r="Q162">
        <v>13.337999999999999</v>
      </c>
      <c r="R162">
        <v>15.5253</v>
      </c>
      <c r="S162">
        <v>18.027200000000001</v>
      </c>
      <c r="T162">
        <v>20.794</v>
      </c>
      <c r="U162">
        <v>23.776</v>
      </c>
      <c r="V162">
        <v>26.983000000000001</v>
      </c>
      <c r="W162">
        <v>30.361899999999999</v>
      </c>
      <c r="X162">
        <v>33.840699999999998</v>
      </c>
      <c r="Y162">
        <v>37.417400000000001</v>
      </c>
      <c r="Z162">
        <v>41.038499999999999</v>
      </c>
      <c r="AA162">
        <v>44.693300000000001</v>
      </c>
      <c r="AB162">
        <v>48.393900000000002</v>
      </c>
      <c r="AC162">
        <v>52.146299999999997</v>
      </c>
      <c r="AD162">
        <v>55.971200000000003</v>
      </c>
    </row>
    <row r="163" spans="1:30" x14ac:dyDescent="0.25">
      <c r="A163" t="s">
        <v>232</v>
      </c>
      <c r="B163" t="s">
        <v>199</v>
      </c>
      <c r="C163" t="s">
        <v>233</v>
      </c>
      <c r="D163" t="s">
        <v>234</v>
      </c>
      <c r="E163" t="str">
        <f>_xlfn.XLOOKUP(B163,'Rural population'!$C$2:$C$200,'Rural population'!$G$2:$G$200)</f>
        <v>Central Europe</v>
      </c>
      <c r="F163" t="s">
        <v>252</v>
      </c>
      <c r="G163" t="s">
        <v>252</v>
      </c>
      <c r="H163" t="s">
        <v>252</v>
      </c>
      <c r="I163">
        <v>71.0715</v>
      </c>
      <c r="J163">
        <v>88.083299999999994</v>
      </c>
      <c r="K163">
        <v>112.563</v>
      </c>
      <c r="L163">
        <v>144.17599999999999</v>
      </c>
      <c r="M163">
        <v>163.00899999999999</v>
      </c>
      <c r="N163">
        <v>176.339</v>
      </c>
      <c r="O163">
        <v>198.071</v>
      </c>
      <c r="P163">
        <v>219.71799999999999</v>
      </c>
      <c r="Q163">
        <v>241.494</v>
      </c>
      <c r="R163">
        <v>262.74</v>
      </c>
      <c r="S163">
        <v>281.26299999999998</v>
      </c>
      <c r="T163">
        <v>298.82900000000001</v>
      </c>
      <c r="U163">
        <v>315.51600000000002</v>
      </c>
      <c r="V163">
        <v>331.07299999999998</v>
      </c>
      <c r="W163">
        <v>345.92700000000002</v>
      </c>
      <c r="X163">
        <v>359.76499999999999</v>
      </c>
      <c r="Y163">
        <v>371.70800000000003</v>
      </c>
      <c r="Z163">
        <v>382.00799999999998</v>
      </c>
      <c r="AA163">
        <v>391.11099999999999</v>
      </c>
      <c r="AB163">
        <v>399.654</v>
      </c>
      <c r="AC163">
        <v>407.95800000000003</v>
      </c>
      <c r="AD163">
        <v>415.74400000000003</v>
      </c>
    </row>
    <row r="164" spans="1:30" x14ac:dyDescent="0.25">
      <c r="A164" t="s">
        <v>232</v>
      </c>
      <c r="B164" t="s">
        <v>200</v>
      </c>
      <c r="C164" t="s">
        <v>233</v>
      </c>
      <c r="D164" t="s">
        <v>234</v>
      </c>
      <c r="E164" t="str">
        <f>_xlfn.XLOOKUP(B164,'Rural population'!$C$2:$C$200,'Rural population'!$G$2:$G$200)</f>
        <v>Central Europe</v>
      </c>
      <c r="F164" t="s">
        <v>252</v>
      </c>
      <c r="G164" t="s">
        <v>252</v>
      </c>
      <c r="H164">
        <v>44.009500000000003</v>
      </c>
      <c r="I164">
        <v>42.742699999999999</v>
      </c>
      <c r="J164">
        <v>48.904800000000002</v>
      </c>
      <c r="K164">
        <v>58.2712</v>
      </c>
      <c r="L164">
        <v>63.931600000000003</v>
      </c>
      <c r="M164">
        <v>65.265299999999996</v>
      </c>
      <c r="N164">
        <v>73.096299999999999</v>
      </c>
      <c r="O164">
        <v>85.857600000000005</v>
      </c>
      <c r="P164">
        <v>96.746700000000004</v>
      </c>
      <c r="Q164">
        <v>105.158</v>
      </c>
      <c r="R164">
        <v>111.751</v>
      </c>
      <c r="S164">
        <v>116.72</v>
      </c>
      <c r="T164">
        <v>121.583</v>
      </c>
      <c r="U164">
        <v>126.289</v>
      </c>
      <c r="V164">
        <v>130.999</v>
      </c>
      <c r="W164">
        <v>135.28800000000001</v>
      </c>
      <c r="X164">
        <v>139.06399999999999</v>
      </c>
      <c r="Y164">
        <v>142.215</v>
      </c>
      <c r="Z164">
        <v>144.75899999999999</v>
      </c>
      <c r="AA164">
        <v>146.84800000000001</v>
      </c>
      <c r="AB164">
        <v>148.61199999999999</v>
      </c>
      <c r="AC164">
        <v>150.03700000000001</v>
      </c>
      <c r="AD164">
        <v>150.929</v>
      </c>
    </row>
    <row r="165" spans="1:30" x14ac:dyDescent="0.25">
      <c r="A165" t="s">
        <v>232</v>
      </c>
      <c r="B165" t="s">
        <v>201</v>
      </c>
      <c r="C165" t="s">
        <v>233</v>
      </c>
      <c r="D165" t="s">
        <v>234</v>
      </c>
      <c r="E165" t="str">
        <f>_xlfn.XLOOKUP(B165,'Rural population'!$C$2:$C$200,'Rural population'!$G$2:$G$200)</f>
        <v>Western Europe</v>
      </c>
      <c r="F165">
        <v>235.001</v>
      </c>
      <c r="G165">
        <v>259.34699999999998</v>
      </c>
      <c r="H165">
        <v>291.98399999999998</v>
      </c>
      <c r="I165">
        <v>302.03100000000001</v>
      </c>
      <c r="J165">
        <v>347.47300000000001</v>
      </c>
      <c r="K165">
        <v>394.66199999999998</v>
      </c>
      <c r="L165">
        <v>431.166</v>
      </c>
      <c r="M165">
        <v>481.06099999999998</v>
      </c>
      <c r="N165">
        <v>512.08399999999995</v>
      </c>
      <c r="O165">
        <v>575.21400000000006</v>
      </c>
      <c r="P165">
        <v>653.03899999999999</v>
      </c>
      <c r="Q165">
        <v>717.77800000000002</v>
      </c>
      <c r="R165">
        <v>775.96500000000003</v>
      </c>
      <c r="S165">
        <v>831.68700000000001</v>
      </c>
      <c r="T165">
        <v>887.01199999999994</v>
      </c>
      <c r="U165">
        <v>943.92899999999997</v>
      </c>
      <c r="V165">
        <v>1004.49</v>
      </c>
      <c r="W165">
        <v>1068.19</v>
      </c>
      <c r="X165">
        <v>1131.58</v>
      </c>
      <c r="Y165">
        <v>1192.8900000000001</v>
      </c>
      <c r="Z165">
        <v>1251.22</v>
      </c>
      <c r="AA165">
        <v>1305.74</v>
      </c>
      <c r="AB165">
        <v>1356.62</v>
      </c>
      <c r="AC165">
        <v>1404.89</v>
      </c>
      <c r="AD165">
        <v>1450.42</v>
      </c>
    </row>
    <row r="166" spans="1:30" x14ac:dyDescent="0.25">
      <c r="A166" t="s">
        <v>232</v>
      </c>
      <c r="B166" t="s">
        <v>202</v>
      </c>
      <c r="C166" t="s">
        <v>233</v>
      </c>
      <c r="D166" t="s">
        <v>234</v>
      </c>
      <c r="E166" t="str">
        <f>_xlfn.XLOOKUP(B166,'Rural population'!$C$2:$C$200,'Rural population'!$G$2:$G$200)</f>
        <v>Rest of Southern Africa</v>
      </c>
      <c r="F166">
        <v>2.2062499999999998</v>
      </c>
      <c r="G166">
        <v>2.48536</v>
      </c>
      <c r="H166">
        <v>4.19231</v>
      </c>
      <c r="I166">
        <v>4.8739699999999999</v>
      </c>
      <c r="J166">
        <v>5.6092399999999998</v>
      </c>
      <c r="K166">
        <v>6.7509899999999998</v>
      </c>
      <c r="L166">
        <v>7.9426300000000003</v>
      </c>
      <c r="M166">
        <v>9.1718499999999992</v>
      </c>
      <c r="N166">
        <v>9.7878600000000002</v>
      </c>
      <c r="O166">
        <v>11.9999</v>
      </c>
      <c r="P166">
        <v>13.9207</v>
      </c>
      <c r="Q166">
        <v>16.4556</v>
      </c>
      <c r="R166">
        <v>19.392099999999999</v>
      </c>
      <c r="S166">
        <v>22.739899999999999</v>
      </c>
      <c r="T166">
        <v>26.478000000000002</v>
      </c>
      <c r="U166">
        <v>30.578099999999999</v>
      </c>
      <c r="V166">
        <v>35.017800000000001</v>
      </c>
      <c r="W166">
        <v>39.791200000000003</v>
      </c>
      <c r="X166">
        <v>44.621200000000002</v>
      </c>
      <c r="Y166">
        <v>49.491500000000002</v>
      </c>
      <c r="Z166">
        <v>54.462699999999998</v>
      </c>
      <c r="AA166">
        <v>59.568399999999997</v>
      </c>
      <c r="AB166">
        <v>64.824399999999997</v>
      </c>
      <c r="AC166">
        <v>70.221900000000005</v>
      </c>
      <c r="AD166">
        <v>75.784199999999998</v>
      </c>
    </row>
    <row r="167" spans="1:30" x14ac:dyDescent="0.25">
      <c r="A167" t="s">
        <v>232</v>
      </c>
      <c r="B167" t="s">
        <v>203</v>
      </c>
      <c r="C167" t="s">
        <v>233</v>
      </c>
      <c r="D167" t="s">
        <v>234</v>
      </c>
      <c r="E167" t="str">
        <f>_xlfn.XLOOKUP(B167,'Rural population'!$C$2:$C$200,'Rural population'!$G$2:$G$200)</f>
        <v>Eastern Africa</v>
      </c>
      <c r="F167">
        <v>0.65777699999999995</v>
      </c>
      <c r="G167">
        <v>0.70801499999999995</v>
      </c>
      <c r="H167">
        <v>0.93384099999999992</v>
      </c>
      <c r="I167">
        <v>1.08185</v>
      </c>
      <c r="J167">
        <v>1.4529700000000001</v>
      </c>
      <c r="K167">
        <v>1.43241</v>
      </c>
      <c r="L167">
        <v>1.78149</v>
      </c>
      <c r="M167">
        <v>2.38903</v>
      </c>
      <c r="N167">
        <v>2.9318</v>
      </c>
      <c r="O167">
        <v>3.6800800000000002</v>
      </c>
      <c r="P167">
        <v>4.4132499999999997</v>
      </c>
      <c r="Q167">
        <v>5.16045</v>
      </c>
      <c r="R167">
        <v>5.8701299999999996</v>
      </c>
      <c r="S167">
        <v>6.5541900000000002</v>
      </c>
      <c r="T167">
        <v>7.2344499999999998</v>
      </c>
      <c r="U167">
        <v>7.9113300000000004</v>
      </c>
      <c r="V167">
        <v>8.5731999999999999</v>
      </c>
      <c r="W167">
        <v>9.2421000000000006</v>
      </c>
      <c r="X167">
        <v>9.9021000000000008</v>
      </c>
      <c r="Y167">
        <v>10.5495</v>
      </c>
      <c r="Z167">
        <v>11.187900000000001</v>
      </c>
      <c r="AA167">
        <v>11.826499999999999</v>
      </c>
      <c r="AB167">
        <v>12.4625</v>
      </c>
      <c r="AC167">
        <v>13.0883</v>
      </c>
      <c r="AD167">
        <v>13.6907</v>
      </c>
    </row>
    <row r="168" spans="1:30" x14ac:dyDescent="0.25">
      <c r="A168" t="s">
        <v>232</v>
      </c>
      <c r="B168" t="s">
        <v>205</v>
      </c>
      <c r="C168" t="s">
        <v>233</v>
      </c>
      <c r="D168" t="s">
        <v>234</v>
      </c>
      <c r="E168" t="str">
        <f>_xlfn.XLOOKUP(B168,'Rural population'!$C$2:$C$200,'Rural population'!$G$2:$G$200)</f>
        <v>Western Africa</v>
      </c>
      <c r="F168">
        <v>4.0396400000000003</v>
      </c>
      <c r="G168">
        <v>4.98726</v>
      </c>
      <c r="H168">
        <v>6.1980700000000004</v>
      </c>
      <c r="I168">
        <v>7.1820199999999996</v>
      </c>
      <c r="J168">
        <v>8.15822</v>
      </c>
      <c r="K168">
        <v>16.409700000000001</v>
      </c>
      <c r="L168">
        <v>20.7957</v>
      </c>
      <c r="M168">
        <v>26.062200000000001</v>
      </c>
      <c r="N168">
        <v>24.889900000000001</v>
      </c>
      <c r="O168">
        <v>28.258299999999998</v>
      </c>
      <c r="P168">
        <v>34.213000000000001</v>
      </c>
      <c r="Q168">
        <v>46.812399999999997</v>
      </c>
      <c r="R168">
        <v>63.749699999999997</v>
      </c>
      <c r="S168">
        <v>86.208799999999997</v>
      </c>
      <c r="T168">
        <v>115.911</v>
      </c>
      <c r="U168">
        <v>154.79900000000001</v>
      </c>
      <c r="V168">
        <v>204.95099999999999</v>
      </c>
      <c r="W168">
        <v>268.73099999999999</v>
      </c>
      <c r="X168">
        <v>348.31799999999998</v>
      </c>
      <c r="Y168">
        <v>445.673</v>
      </c>
      <c r="Z168">
        <v>562.30499999999995</v>
      </c>
      <c r="AA168">
        <v>699.89099999999996</v>
      </c>
      <c r="AB168">
        <v>860.70500000000004</v>
      </c>
      <c r="AC168">
        <v>1046.1600000000001</v>
      </c>
      <c r="AD168">
        <v>1257.96</v>
      </c>
    </row>
    <row r="169" spans="1:30" x14ac:dyDescent="0.25">
      <c r="A169" t="s">
        <v>232</v>
      </c>
      <c r="B169" t="s">
        <v>206</v>
      </c>
      <c r="C169" t="s">
        <v>233</v>
      </c>
      <c r="D169" t="s">
        <v>234</v>
      </c>
      <c r="E169" t="str">
        <f>_xlfn.XLOOKUP(B169,'Rural population'!$C$2:$C$200,'Rural population'!$G$2:$G$200)</f>
        <v>Western Africa</v>
      </c>
      <c r="F169">
        <v>6.4727500000000004</v>
      </c>
      <c r="G169">
        <v>6.2697399999999996</v>
      </c>
      <c r="H169">
        <v>7.6644100000000002</v>
      </c>
      <c r="I169">
        <v>8.4154700000000009</v>
      </c>
      <c r="J169">
        <v>8.3341799999999999</v>
      </c>
      <c r="K169">
        <v>8.7887900000000005</v>
      </c>
      <c r="L169">
        <v>10.608000000000001</v>
      </c>
      <c r="M169">
        <v>14.069000000000001</v>
      </c>
      <c r="N169">
        <v>17.348199999999999</v>
      </c>
      <c r="O169">
        <v>22.738</v>
      </c>
      <c r="P169">
        <v>30.0426</v>
      </c>
      <c r="Q169">
        <v>39.925699999999999</v>
      </c>
      <c r="R169">
        <v>51.9557</v>
      </c>
      <c r="S169">
        <v>66.899600000000007</v>
      </c>
      <c r="T169">
        <v>85.4756</v>
      </c>
      <c r="U169">
        <v>108.411</v>
      </c>
      <c r="V169">
        <v>136.42099999999999</v>
      </c>
      <c r="W169">
        <v>170.22399999999999</v>
      </c>
      <c r="X169">
        <v>210.34</v>
      </c>
      <c r="Y169">
        <v>257.149</v>
      </c>
      <c r="Z169">
        <v>310.77600000000001</v>
      </c>
      <c r="AA169">
        <v>371.17099999999999</v>
      </c>
      <c r="AB169">
        <v>438.45800000000003</v>
      </c>
      <c r="AC169">
        <v>512.70000000000005</v>
      </c>
      <c r="AD169">
        <v>594.21500000000003</v>
      </c>
    </row>
    <row r="170" spans="1:30" x14ac:dyDescent="0.25">
      <c r="A170" t="s">
        <v>232</v>
      </c>
      <c r="B170" t="s">
        <v>207</v>
      </c>
      <c r="C170" t="s">
        <v>233</v>
      </c>
      <c r="D170" t="s">
        <v>234</v>
      </c>
      <c r="E170" t="str">
        <f>_xlfn.XLOOKUP(B170,'Rural population'!$C$2:$C$200,'Rural population'!$G$2:$G$200)</f>
        <v>Southeastern Asia</v>
      </c>
      <c r="F170">
        <v>185.45400000000001</v>
      </c>
      <c r="G170">
        <v>241.78899999999999</v>
      </c>
      <c r="H170">
        <v>396.48200000000003</v>
      </c>
      <c r="I170">
        <v>595.74</v>
      </c>
      <c r="J170">
        <v>617.54200000000003</v>
      </c>
      <c r="K170">
        <v>804.90800000000002</v>
      </c>
      <c r="L170">
        <v>967.54499999999996</v>
      </c>
      <c r="M170">
        <v>1119.04</v>
      </c>
      <c r="N170">
        <v>1205.48</v>
      </c>
      <c r="O170">
        <v>1371.85</v>
      </c>
      <c r="P170">
        <v>1591.5</v>
      </c>
      <c r="Q170">
        <v>1808.41</v>
      </c>
      <c r="R170">
        <v>2009.4</v>
      </c>
      <c r="S170">
        <v>2198.5</v>
      </c>
      <c r="T170">
        <v>2377.92</v>
      </c>
      <c r="U170">
        <v>2539.44</v>
      </c>
      <c r="V170">
        <v>2688.73</v>
      </c>
      <c r="W170">
        <v>2827.14</v>
      </c>
      <c r="X170">
        <v>2946.99</v>
      </c>
      <c r="Y170">
        <v>3053.76</v>
      </c>
      <c r="Z170">
        <v>3146.57</v>
      </c>
      <c r="AA170">
        <v>3229.03</v>
      </c>
      <c r="AB170">
        <v>3303.39</v>
      </c>
      <c r="AC170">
        <v>3372.19</v>
      </c>
      <c r="AD170">
        <v>3437.84</v>
      </c>
    </row>
    <row r="171" spans="1:30" x14ac:dyDescent="0.25">
      <c r="A171" t="s">
        <v>232</v>
      </c>
      <c r="B171" t="s">
        <v>208</v>
      </c>
      <c r="C171" t="s">
        <v>233</v>
      </c>
      <c r="D171" t="s">
        <v>234</v>
      </c>
      <c r="E171" t="str">
        <f>_xlfn.XLOOKUP(B171,'Rural population'!$C$2:$C$200,'Rural population'!$G$2:$G$200)</f>
        <v>Central Asia</v>
      </c>
      <c r="F171" t="s">
        <v>252</v>
      </c>
      <c r="G171" t="s">
        <v>252</v>
      </c>
      <c r="H171">
        <v>21.622</v>
      </c>
      <c r="I171">
        <v>7.27773</v>
      </c>
      <c r="J171">
        <v>8.3973800000000001</v>
      </c>
      <c r="K171">
        <v>13.0999</v>
      </c>
      <c r="L171">
        <v>18.026399999999999</v>
      </c>
      <c r="M171">
        <v>25.1922</v>
      </c>
      <c r="N171">
        <v>34.821199999999997</v>
      </c>
      <c r="O171">
        <v>48.033000000000001</v>
      </c>
      <c r="P171">
        <v>60.059899999999999</v>
      </c>
      <c r="Q171">
        <v>75.031499999999994</v>
      </c>
      <c r="R171">
        <v>93.009600000000006</v>
      </c>
      <c r="S171">
        <v>114.11199999999999</v>
      </c>
      <c r="T171">
        <v>139.04400000000001</v>
      </c>
      <c r="U171">
        <v>168.583</v>
      </c>
      <c r="V171">
        <v>203.09200000000001</v>
      </c>
      <c r="W171">
        <v>242.55500000000001</v>
      </c>
      <c r="X171">
        <v>286.46699999999998</v>
      </c>
      <c r="Y171">
        <v>334.517</v>
      </c>
      <c r="Z171">
        <v>386.87599999999998</v>
      </c>
      <c r="AA171">
        <v>443.70499999999998</v>
      </c>
      <c r="AB171">
        <v>505.09800000000001</v>
      </c>
      <c r="AC171">
        <v>570.63199999999995</v>
      </c>
      <c r="AD171">
        <v>639.91999999999996</v>
      </c>
    </row>
    <row r="172" spans="1:30" x14ac:dyDescent="0.25">
      <c r="A172" t="s">
        <v>232</v>
      </c>
      <c r="B172" t="s">
        <v>209</v>
      </c>
      <c r="C172" t="s">
        <v>233</v>
      </c>
      <c r="D172" t="s">
        <v>234</v>
      </c>
      <c r="E172" t="str">
        <f>_xlfn.XLOOKUP(B172,'Rural population'!$C$2:$C$200,'Rural population'!$G$2:$G$200)</f>
        <v>Central Asia</v>
      </c>
      <c r="F172" t="s">
        <v>252</v>
      </c>
      <c r="G172" t="s">
        <v>252</v>
      </c>
      <c r="H172">
        <v>26.553899999999999</v>
      </c>
      <c r="I172">
        <v>16.7822</v>
      </c>
      <c r="J172">
        <v>20.4724</v>
      </c>
      <c r="K172">
        <v>43.317599999999999</v>
      </c>
      <c r="L172">
        <v>75.541399999999996</v>
      </c>
      <c r="M172">
        <v>96.432699999999997</v>
      </c>
      <c r="N172">
        <v>94.585800000000006</v>
      </c>
      <c r="O172">
        <v>107.274</v>
      </c>
      <c r="P172">
        <v>118.908</v>
      </c>
      <c r="Q172">
        <v>134.27000000000001</v>
      </c>
      <c r="R172">
        <v>148.34200000000001</v>
      </c>
      <c r="S172">
        <v>161.60400000000001</v>
      </c>
      <c r="T172">
        <v>175.61600000000001</v>
      </c>
      <c r="U172">
        <v>190.17</v>
      </c>
      <c r="V172">
        <v>206.774</v>
      </c>
      <c r="W172">
        <v>225.262</v>
      </c>
      <c r="X172">
        <v>244.43700000000001</v>
      </c>
      <c r="Y172">
        <v>263.77699999999999</v>
      </c>
      <c r="Z172">
        <v>284.21300000000002</v>
      </c>
      <c r="AA172">
        <v>306.32100000000003</v>
      </c>
      <c r="AB172">
        <v>330.61900000000003</v>
      </c>
      <c r="AC172">
        <v>356.971</v>
      </c>
      <c r="AD172">
        <v>384.93200000000002</v>
      </c>
    </row>
    <row r="173" spans="1:30" x14ac:dyDescent="0.25">
      <c r="A173" t="s">
        <v>232</v>
      </c>
      <c r="B173" t="s">
        <v>210</v>
      </c>
      <c r="C173" t="s">
        <v>233</v>
      </c>
      <c r="D173" t="s">
        <v>234</v>
      </c>
      <c r="E173" t="str">
        <f>_xlfn.XLOOKUP(B173,'Rural population'!$C$2:$C$200,'Rural population'!$G$2:$G$200)</f>
        <v>Indonesia region</v>
      </c>
      <c r="F173" t="s">
        <v>252</v>
      </c>
      <c r="G173" t="s">
        <v>252</v>
      </c>
      <c r="H173" t="s">
        <v>252</v>
      </c>
      <c r="I173" t="s">
        <v>252</v>
      </c>
      <c r="J173">
        <v>2.0340199999999999</v>
      </c>
      <c r="K173">
        <v>2.2318099999999998</v>
      </c>
      <c r="L173">
        <v>3.1645799999999999</v>
      </c>
      <c r="M173">
        <v>3.8922300000000001</v>
      </c>
      <c r="N173">
        <v>3.62852</v>
      </c>
      <c r="O173">
        <v>4.1828099999999999</v>
      </c>
      <c r="P173">
        <v>4.9087899999999998</v>
      </c>
      <c r="Q173">
        <v>6.0537900000000002</v>
      </c>
      <c r="R173">
        <v>7.65768</v>
      </c>
      <c r="S173">
        <v>9.8402100000000008</v>
      </c>
      <c r="T173">
        <v>12.7356</v>
      </c>
      <c r="U173">
        <v>16.470400000000001</v>
      </c>
      <c r="V173">
        <v>21.174199999999999</v>
      </c>
      <c r="W173">
        <v>27.016500000000001</v>
      </c>
      <c r="X173">
        <v>34.100700000000003</v>
      </c>
      <c r="Y173">
        <v>42.464700000000001</v>
      </c>
      <c r="Z173">
        <v>52.094900000000003</v>
      </c>
      <c r="AA173">
        <v>62.8994</v>
      </c>
      <c r="AB173">
        <v>74.920900000000003</v>
      </c>
      <c r="AC173">
        <v>88.169799999999995</v>
      </c>
      <c r="AD173">
        <v>102.611</v>
      </c>
    </row>
    <row r="174" spans="1:30" x14ac:dyDescent="0.25">
      <c r="A174" t="s">
        <v>232</v>
      </c>
      <c r="B174" t="s">
        <v>211</v>
      </c>
      <c r="C174" t="s">
        <v>233</v>
      </c>
      <c r="D174" t="s">
        <v>234</v>
      </c>
      <c r="E174" t="str">
        <f>_xlfn.XLOOKUP(B174,'Rural population'!$C$2:$C$200,'Rural population'!$G$2:$G$200)</f>
        <v>Oceania</v>
      </c>
      <c r="F174">
        <v>0.170098</v>
      </c>
      <c r="G174">
        <v>0.35226399999999997</v>
      </c>
      <c r="H174">
        <v>0.39766199999999996</v>
      </c>
      <c r="I174">
        <v>0.44593299999999997</v>
      </c>
      <c r="J174">
        <v>0.48156199999999999</v>
      </c>
      <c r="K174">
        <v>0.49880199999999997</v>
      </c>
      <c r="L174">
        <v>0.47639000000000004</v>
      </c>
      <c r="M174">
        <v>0.53098199999999995</v>
      </c>
      <c r="N174">
        <v>0.59304499999999993</v>
      </c>
      <c r="O174">
        <v>0.60856100000000002</v>
      </c>
      <c r="P174">
        <v>0.65554899999999994</v>
      </c>
      <c r="Q174">
        <v>0.74487300000000001</v>
      </c>
      <c r="R174">
        <v>0.86781399999999997</v>
      </c>
      <c r="S174">
        <v>1.02658</v>
      </c>
      <c r="T174">
        <v>1.22682</v>
      </c>
      <c r="U174">
        <v>1.47478</v>
      </c>
      <c r="V174">
        <v>1.7747200000000001</v>
      </c>
      <c r="W174">
        <v>2.1364200000000002</v>
      </c>
      <c r="X174">
        <v>2.5591300000000001</v>
      </c>
      <c r="Y174">
        <v>3.04209</v>
      </c>
      <c r="Z174">
        <v>3.58819</v>
      </c>
      <c r="AA174">
        <v>4.2023900000000003</v>
      </c>
      <c r="AB174">
        <v>4.8916199999999996</v>
      </c>
      <c r="AC174">
        <v>5.6596599999999997</v>
      </c>
      <c r="AD174">
        <v>6.5112300000000003</v>
      </c>
    </row>
    <row r="175" spans="1:30" x14ac:dyDescent="0.25">
      <c r="A175" t="s">
        <v>232</v>
      </c>
      <c r="B175" t="s">
        <v>212</v>
      </c>
      <c r="C175" t="s">
        <v>233</v>
      </c>
      <c r="D175" t="s">
        <v>234</v>
      </c>
      <c r="E175" t="str">
        <f>_xlfn.XLOOKUP(B175,'Rural population'!$C$2:$C$200,'Rural population'!$G$2:$G$200)</f>
        <v>Central America</v>
      </c>
      <c r="F175">
        <v>16.215599999999998</v>
      </c>
      <c r="G175">
        <v>14.2681</v>
      </c>
      <c r="H175">
        <v>12.738799999999999</v>
      </c>
      <c r="I175">
        <v>15.4434</v>
      </c>
      <c r="J175">
        <v>22.212900000000001</v>
      </c>
      <c r="K175">
        <v>31.945</v>
      </c>
      <c r="L175">
        <v>38.676299999999998</v>
      </c>
      <c r="M175">
        <v>43.387099999999997</v>
      </c>
      <c r="N175">
        <v>34.643299999999996</v>
      </c>
      <c r="O175">
        <v>37.363100000000003</v>
      </c>
      <c r="P175">
        <v>40.150199999999998</v>
      </c>
      <c r="Q175">
        <v>43.083799999999997</v>
      </c>
      <c r="R175">
        <v>46.370399999999997</v>
      </c>
      <c r="S175">
        <v>49.861899999999999</v>
      </c>
      <c r="T175">
        <v>53.724699999999999</v>
      </c>
      <c r="U175">
        <v>58.105800000000002</v>
      </c>
      <c r="V175">
        <v>63.127400000000002</v>
      </c>
      <c r="W175">
        <v>68.575100000000006</v>
      </c>
      <c r="X175">
        <v>74.165499999999994</v>
      </c>
      <c r="Y175">
        <v>79.882199999999997</v>
      </c>
      <c r="Z175">
        <v>85.812899999999999</v>
      </c>
      <c r="AA175">
        <v>92.105400000000003</v>
      </c>
      <c r="AB175">
        <v>98.859499999999997</v>
      </c>
      <c r="AC175">
        <v>106.02</v>
      </c>
      <c r="AD175">
        <v>113.491</v>
      </c>
    </row>
    <row r="176" spans="1:30" x14ac:dyDescent="0.25">
      <c r="A176" t="s">
        <v>232</v>
      </c>
      <c r="B176" t="s">
        <v>213</v>
      </c>
      <c r="C176" t="s">
        <v>233</v>
      </c>
      <c r="D176" t="s">
        <v>234</v>
      </c>
      <c r="E176" t="str">
        <f>_xlfn.XLOOKUP(B176,'Rural population'!$C$2:$C$200,'Rural population'!$G$2:$G$200)</f>
        <v>Northern Africa</v>
      </c>
      <c r="F176">
        <v>33.582700000000003</v>
      </c>
      <c r="G176">
        <v>41.242600000000003</v>
      </c>
      <c r="H176">
        <v>48.6738</v>
      </c>
      <c r="I176">
        <v>58.838700000000003</v>
      </c>
      <c r="J176">
        <v>77.350099999999998</v>
      </c>
      <c r="K176">
        <v>94.900999999999996</v>
      </c>
      <c r="L176">
        <v>118.131</v>
      </c>
      <c r="M176">
        <v>127.649</v>
      </c>
      <c r="N176">
        <v>124.535</v>
      </c>
      <c r="O176">
        <v>136.76300000000001</v>
      </c>
      <c r="P176">
        <v>155.68299999999999</v>
      </c>
      <c r="Q176">
        <v>178.60300000000001</v>
      </c>
      <c r="R176">
        <v>206.006</v>
      </c>
      <c r="S176">
        <v>237.58</v>
      </c>
      <c r="T176">
        <v>273.08199999999999</v>
      </c>
      <c r="U176">
        <v>313.33999999999997</v>
      </c>
      <c r="V176">
        <v>358.87200000000001</v>
      </c>
      <c r="W176">
        <v>409.35</v>
      </c>
      <c r="X176">
        <v>464.11500000000001</v>
      </c>
      <c r="Y176">
        <v>521.55399999999997</v>
      </c>
      <c r="Z176">
        <v>580.78099999999995</v>
      </c>
      <c r="AA176">
        <v>642.03099999999995</v>
      </c>
      <c r="AB176">
        <v>705.51599999999996</v>
      </c>
      <c r="AC176">
        <v>771.04100000000005</v>
      </c>
      <c r="AD176">
        <v>837.62199999999996</v>
      </c>
    </row>
    <row r="177" spans="1:30" x14ac:dyDescent="0.25">
      <c r="A177" t="s">
        <v>232</v>
      </c>
      <c r="B177" t="s">
        <v>214</v>
      </c>
      <c r="C177" t="s">
        <v>233</v>
      </c>
      <c r="D177" t="s">
        <v>234</v>
      </c>
      <c r="E177" t="str">
        <f>_xlfn.XLOOKUP(B177,'Rural population'!$C$2:$C$200,'Rural population'!$G$2:$G$200)</f>
        <v>Turkey</v>
      </c>
      <c r="F177">
        <v>408.55599999999998</v>
      </c>
      <c r="G177">
        <v>518.03599999999994</v>
      </c>
      <c r="H177">
        <v>678.89700000000005</v>
      </c>
      <c r="I177">
        <v>795.12900000000002</v>
      </c>
      <c r="J177">
        <v>967.94200000000001</v>
      </c>
      <c r="K177">
        <v>1229.0899999999999</v>
      </c>
      <c r="L177">
        <v>1436.55</v>
      </c>
      <c r="M177">
        <v>2021.64</v>
      </c>
      <c r="N177">
        <v>2375.4899999999998</v>
      </c>
      <c r="O177">
        <v>3098.2</v>
      </c>
      <c r="P177">
        <v>3748.69</v>
      </c>
      <c r="Q177">
        <v>4394.5600000000004</v>
      </c>
      <c r="R177">
        <v>4990.25</v>
      </c>
      <c r="S177">
        <v>5554.87</v>
      </c>
      <c r="T177">
        <v>6078.52</v>
      </c>
      <c r="U177">
        <v>6572.97</v>
      </c>
      <c r="V177">
        <v>7031.53</v>
      </c>
      <c r="W177">
        <v>7432.25</v>
      </c>
      <c r="X177">
        <v>7759.42</v>
      </c>
      <c r="Y177">
        <v>8023.19</v>
      </c>
      <c r="Z177">
        <v>8231.86</v>
      </c>
      <c r="AA177">
        <v>8402.36</v>
      </c>
      <c r="AB177">
        <v>8548.75</v>
      </c>
      <c r="AC177">
        <v>8677.8700000000008</v>
      </c>
      <c r="AD177">
        <v>8790.5</v>
      </c>
    </row>
    <row r="178" spans="1:30" x14ac:dyDescent="0.25">
      <c r="A178" t="s">
        <v>232</v>
      </c>
      <c r="B178" t="s">
        <v>215</v>
      </c>
      <c r="C178" t="s">
        <v>233</v>
      </c>
      <c r="D178" t="s">
        <v>234</v>
      </c>
      <c r="E178" t="str">
        <f>_xlfn.XLOOKUP(B178,'Rural population'!$C$2:$C$200,'Rural population'!$G$2:$G$200)</f>
        <v>China region</v>
      </c>
      <c r="F178">
        <v>147.87899999999999</v>
      </c>
      <c r="G178">
        <v>208.73500000000001</v>
      </c>
      <c r="H178">
        <v>325.30900000000003</v>
      </c>
      <c r="I178">
        <v>466.95299999999997</v>
      </c>
      <c r="J178">
        <v>621.71799999999996</v>
      </c>
      <c r="K178">
        <v>759.57299999999998</v>
      </c>
      <c r="L178">
        <v>938.56899999999996</v>
      </c>
      <c r="M178">
        <v>1083.1300000000001</v>
      </c>
      <c r="N178">
        <v>1252.0999999999999</v>
      </c>
      <c r="O178">
        <v>1456.74</v>
      </c>
      <c r="P178">
        <v>1632.08</v>
      </c>
      <c r="Q178">
        <v>1733.93</v>
      </c>
      <c r="R178">
        <v>1745.35</v>
      </c>
      <c r="S178">
        <v>1701.71</v>
      </c>
      <c r="T178">
        <v>1626.87</v>
      </c>
      <c r="U178">
        <v>1537.55</v>
      </c>
      <c r="V178">
        <v>1444.96</v>
      </c>
      <c r="W178">
        <v>1356.59</v>
      </c>
      <c r="X178">
        <v>1272.6400000000001</v>
      </c>
      <c r="Y178">
        <v>1194.57</v>
      </c>
      <c r="Z178">
        <v>1124.3800000000001</v>
      </c>
      <c r="AA178">
        <v>1063.72</v>
      </c>
      <c r="AB178">
        <v>1012.94</v>
      </c>
      <c r="AC178">
        <v>971.71400000000006</v>
      </c>
      <c r="AD178">
        <v>939.13800000000003</v>
      </c>
    </row>
    <row r="179" spans="1:30" x14ac:dyDescent="0.25">
      <c r="A179" t="s">
        <v>232</v>
      </c>
      <c r="B179" t="s">
        <v>216</v>
      </c>
      <c r="C179" t="s">
        <v>233</v>
      </c>
      <c r="D179" t="s">
        <v>234</v>
      </c>
      <c r="E179" t="str">
        <f>_xlfn.XLOOKUP(B179,'Rural population'!$C$2:$C$200,'Rural population'!$G$2:$G$200)</f>
        <v>Rest of Southern Africa</v>
      </c>
      <c r="F179">
        <v>22.922699999999999</v>
      </c>
      <c r="G179">
        <v>25.667400000000001</v>
      </c>
      <c r="H179">
        <v>33.612499999999997</v>
      </c>
      <c r="I179">
        <v>36.7393</v>
      </c>
      <c r="J179">
        <v>45.366700000000002</v>
      </c>
      <c r="K179">
        <v>63.770200000000003</v>
      </c>
      <c r="L179">
        <v>85.655699999999996</v>
      </c>
      <c r="M179">
        <v>117.578</v>
      </c>
      <c r="N179">
        <v>160.92099999999999</v>
      </c>
      <c r="O179">
        <v>209.58699999999999</v>
      </c>
      <c r="P179">
        <v>294.35000000000002</v>
      </c>
      <c r="Q179">
        <v>403.69799999999998</v>
      </c>
      <c r="R179">
        <v>532.70899999999995</v>
      </c>
      <c r="S179">
        <v>689.68399999999997</v>
      </c>
      <c r="T179">
        <v>882.48</v>
      </c>
      <c r="U179">
        <v>1120.8900000000001</v>
      </c>
      <c r="V179">
        <v>1415.97</v>
      </c>
      <c r="W179">
        <v>1778.72</v>
      </c>
      <c r="X179">
        <v>2214.83</v>
      </c>
      <c r="Y179">
        <v>2734.99</v>
      </c>
      <c r="Z179">
        <v>3344.65</v>
      </c>
      <c r="AA179">
        <v>4049.65</v>
      </c>
      <c r="AB179">
        <v>4859.53</v>
      </c>
      <c r="AC179">
        <v>5777.92</v>
      </c>
      <c r="AD179">
        <v>6804.02</v>
      </c>
    </row>
    <row r="180" spans="1:30" x14ac:dyDescent="0.25">
      <c r="A180" t="s">
        <v>232</v>
      </c>
      <c r="B180" t="s">
        <v>217</v>
      </c>
      <c r="C180" t="s">
        <v>233</v>
      </c>
      <c r="D180" t="s">
        <v>234</v>
      </c>
      <c r="E180" t="str">
        <f>_xlfn.XLOOKUP(B180,'Rural population'!$C$2:$C$200,'Rural population'!$G$2:$G$200)</f>
        <v>Eastern Africa</v>
      </c>
      <c r="F180">
        <v>11.7234</v>
      </c>
      <c r="G180">
        <v>13.003500000000001</v>
      </c>
      <c r="H180">
        <v>16.752700000000001</v>
      </c>
      <c r="I180">
        <v>22.638500000000001</v>
      </c>
      <c r="J180">
        <v>30.048999999999999</v>
      </c>
      <c r="K180">
        <v>43.232900000000001</v>
      </c>
      <c r="L180">
        <v>64.150800000000004</v>
      </c>
      <c r="M180">
        <v>83.910600000000002</v>
      </c>
      <c r="N180">
        <v>100.78</v>
      </c>
      <c r="O180">
        <v>134.738</v>
      </c>
      <c r="P180">
        <v>186.95400000000001</v>
      </c>
      <c r="Q180">
        <v>254.94800000000001</v>
      </c>
      <c r="R180">
        <v>333.46699999999998</v>
      </c>
      <c r="S180">
        <v>427.95499999999998</v>
      </c>
      <c r="T180">
        <v>543.28300000000002</v>
      </c>
      <c r="U180">
        <v>684.10699999999997</v>
      </c>
      <c r="V180">
        <v>856.11599999999999</v>
      </c>
      <c r="W180">
        <v>1065.99</v>
      </c>
      <c r="X180">
        <v>1316.77</v>
      </c>
      <c r="Y180">
        <v>1613.51</v>
      </c>
      <c r="Z180">
        <v>1959.26</v>
      </c>
      <c r="AA180">
        <v>2359.4</v>
      </c>
      <c r="AB180">
        <v>2818.27</v>
      </c>
      <c r="AC180">
        <v>3338.16</v>
      </c>
      <c r="AD180">
        <v>3919.32</v>
      </c>
    </row>
    <row r="181" spans="1:30" x14ac:dyDescent="0.25">
      <c r="A181" t="s">
        <v>232</v>
      </c>
      <c r="B181" t="s">
        <v>218</v>
      </c>
      <c r="C181" t="s">
        <v>233</v>
      </c>
      <c r="D181" t="s">
        <v>234</v>
      </c>
      <c r="E181" t="str">
        <f>_xlfn.XLOOKUP(B181,'Rural population'!$C$2:$C$200,'Rural population'!$G$2:$G$200)</f>
        <v>Ukraine region</v>
      </c>
      <c r="F181" t="s">
        <v>252</v>
      </c>
      <c r="G181" t="s">
        <v>252</v>
      </c>
      <c r="H181">
        <v>852.49699999999996</v>
      </c>
      <c r="I181">
        <v>392.24799999999999</v>
      </c>
      <c r="J181">
        <v>355.03500000000003</v>
      </c>
      <c r="K181">
        <v>513.38499999999999</v>
      </c>
      <c r="L181">
        <v>539.87199999999996</v>
      </c>
      <c r="M181">
        <v>480.94099999999997</v>
      </c>
      <c r="N181">
        <v>518.26300000000003</v>
      </c>
      <c r="O181">
        <v>426.26100000000002</v>
      </c>
      <c r="P181">
        <v>531.87400000000002</v>
      </c>
      <c r="Q181">
        <v>643.99</v>
      </c>
      <c r="R181">
        <v>755.97900000000004</v>
      </c>
      <c r="S181">
        <v>863.91399999999999</v>
      </c>
      <c r="T181">
        <v>971.928</v>
      </c>
      <c r="U181">
        <v>1083.45</v>
      </c>
      <c r="V181">
        <v>1201.29</v>
      </c>
      <c r="W181">
        <v>1322.07</v>
      </c>
      <c r="X181">
        <v>1442.78</v>
      </c>
      <c r="Y181">
        <v>1561.33</v>
      </c>
      <c r="Z181">
        <v>1678.68</v>
      </c>
      <c r="AA181">
        <v>1798.41</v>
      </c>
      <c r="AB181">
        <v>1923.03</v>
      </c>
      <c r="AC181">
        <v>2051.62</v>
      </c>
      <c r="AD181">
        <v>2181.4</v>
      </c>
    </row>
    <row r="182" spans="1:30" x14ac:dyDescent="0.25">
      <c r="A182" t="s">
        <v>232</v>
      </c>
      <c r="B182" t="s">
        <v>219</v>
      </c>
      <c r="C182" t="s">
        <v>233</v>
      </c>
      <c r="D182" t="s">
        <v>234</v>
      </c>
      <c r="E182" t="str">
        <f>_xlfn.XLOOKUP(B182,'Rural population'!$C$2:$C$200,'Rural population'!$G$2:$G$200)</f>
        <v>Rest of South America</v>
      </c>
      <c r="F182">
        <v>35.906500000000001</v>
      </c>
      <c r="G182">
        <v>30.848800000000001</v>
      </c>
      <c r="H182">
        <v>35.7926</v>
      </c>
      <c r="I182">
        <v>43.413800000000002</v>
      </c>
      <c r="J182">
        <v>48.603099999999998</v>
      </c>
      <c r="K182">
        <v>49.0486</v>
      </c>
      <c r="L182">
        <v>65.519099999999995</v>
      </c>
      <c r="M182">
        <v>77.351200000000006</v>
      </c>
      <c r="N182">
        <v>75.691599999999994</v>
      </c>
      <c r="O182">
        <v>89.715400000000002</v>
      </c>
      <c r="P182">
        <v>100.604</v>
      </c>
      <c r="Q182">
        <v>110.828</v>
      </c>
      <c r="R182">
        <v>120.28400000000001</v>
      </c>
      <c r="S182">
        <v>129.357</v>
      </c>
      <c r="T182">
        <v>138.03700000000001</v>
      </c>
      <c r="U182">
        <v>146.429</v>
      </c>
      <c r="V182">
        <v>154.27500000000001</v>
      </c>
      <c r="W182">
        <v>161.74100000000001</v>
      </c>
      <c r="X182">
        <v>168.15899999999999</v>
      </c>
      <c r="Y182">
        <v>173.53899999999999</v>
      </c>
      <c r="Z182">
        <v>177.83500000000001</v>
      </c>
      <c r="AA182">
        <v>181.29</v>
      </c>
      <c r="AB182">
        <v>184.06</v>
      </c>
      <c r="AC182">
        <v>186.238</v>
      </c>
      <c r="AD182">
        <v>187.965</v>
      </c>
    </row>
    <row r="183" spans="1:30" x14ac:dyDescent="0.25">
      <c r="A183" t="s">
        <v>232</v>
      </c>
      <c r="B183" t="s">
        <v>220</v>
      </c>
      <c r="C183" t="s">
        <v>233</v>
      </c>
      <c r="D183" t="s">
        <v>234</v>
      </c>
      <c r="E183" t="str">
        <f>_xlfn.XLOOKUP(B183,'Rural population'!$C$2:$C$200,'Rural population'!$G$2:$G$200)</f>
        <v>USA</v>
      </c>
      <c r="F183">
        <v>7257.2</v>
      </c>
      <c r="G183">
        <v>8536.8700000000008</v>
      </c>
      <c r="H183">
        <v>10055</v>
      </c>
      <c r="I183">
        <v>11412.8</v>
      </c>
      <c r="J183">
        <v>13717.5</v>
      </c>
      <c r="K183">
        <v>15558.6</v>
      </c>
      <c r="L183">
        <v>16338.8</v>
      </c>
      <c r="M183">
        <v>18294.7</v>
      </c>
      <c r="N183">
        <v>19690.7</v>
      </c>
      <c r="O183">
        <v>22456.799999999999</v>
      </c>
      <c r="P183">
        <v>24635.1</v>
      </c>
      <c r="Q183">
        <v>26594.7</v>
      </c>
      <c r="R183">
        <v>28435.599999999999</v>
      </c>
      <c r="S183">
        <v>30226.7</v>
      </c>
      <c r="T183">
        <v>32000.9</v>
      </c>
      <c r="U183">
        <v>33806</v>
      </c>
      <c r="V183">
        <v>35663.9</v>
      </c>
      <c r="W183">
        <v>37575</v>
      </c>
      <c r="X183">
        <v>39465.9</v>
      </c>
      <c r="Y183">
        <v>41321.800000000003</v>
      </c>
      <c r="Z183">
        <v>43133.599999999999</v>
      </c>
      <c r="AA183">
        <v>44905.5</v>
      </c>
      <c r="AB183">
        <v>46644.9</v>
      </c>
      <c r="AC183">
        <v>48354.3</v>
      </c>
      <c r="AD183">
        <v>50012.6</v>
      </c>
    </row>
    <row r="184" spans="1:30" x14ac:dyDescent="0.25">
      <c r="A184" t="s">
        <v>232</v>
      </c>
      <c r="B184" t="s">
        <v>221</v>
      </c>
      <c r="C184" t="s">
        <v>233</v>
      </c>
      <c r="D184" t="s">
        <v>234</v>
      </c>
      <c r="E184" t="str">
        <f>_xlfn.XLOOKUP(B184,'Rural population'!$C$2:$C$200,'Rural population'!$G$2:$G$200)</f>
        <v>Central Asia</v>
      </c>
      <c r="F184" t="s">
        <v>252</v>
      </c>
      <c r="G184" t="s">
        <v>252</v>
      </c>
      <c r="H184">
        <v>74.633399999999995</v>
      </c>
      <c r="I184">
        <v>60.764299999999999</v>
      </c>
      <c r="J184">
        <v>73.409300000000002</v>
      </c>
      <c r="K184">
        <v>95.259399999999999</v>
      </c>
      <c r="L184">
        <v>141.49700000000001</v>
      </c>
      <c r="M184">
        <v>200.34800000000001</v>
      </c>
      <c r="N184">
        <v>253.58199999999999</v>
      </c>
      <c r="O184">
        <v>337.87299999999999</v>
      </c>
      <c r="P184">
        <v>440.97399999999999</v>
      </c>
      <c r="Q184">
        <v>559.53800000000001</v>
      </c>
      <c r="R184">
        <v>685.05399999999997</v>
      </c>
      <c r="S184">
        <v>814.702</v>
      </c>
      <c r="T184">
        <v>950.70399999999995</v>
      </c>
      <c r="U184">
        <v>1097.21</v>
      </c>
      <c r="V184">
        <v>1258.05</v>
      </c>
      <c r="W184">
        <v>1432.57</v>
      </c>
      <c r="X184">
        <v>1618.33</v>
      </c>
      <c r="Y184">
        <v>1812.09</v>
      </c>
      <c r="Z184">
        <v>2013.98</v>
      </c>
      <c r="AA184">
        <v>2227.6799999999998</v>
      </c>
      <c r="AB184">
        <v>2455.8000000000002</v>
      </c>
      <c r="AC184">
        <v>2698.04</v>
      </c>
      <c r="AD184">
        <v>2951.36</v>
      </c>
    </row>
    <row r="185" spans="1:30" x14ac:dyDescent="0.25">
      <c r="A185" t="s">
        <v>232</v>
      </c>
      <c r="B185" t="s">
        <v>222</v>
      </c>
      <c r="C185" t="s">
        <v>233</v>
      </c>
      <c r="D185" t="s">
        <v>234</v>
      </c>
      <c r="E185" t="e">
        <f>_xlfn.XLOOKUP(B185,'Rural population'!$C$2:$C$200,'Rural population'!$G$2:$G$200)</f>
        <v>#N/A</v>
      </c>
      <c r="F185">
        <v>0.47312499999999996</v>
      </c>
      <c r="G185">
        <v>0.57159000000000004</v>
      </c>
      <c r="H185">
        <v>0.74251000000000011</v>
      </c>
      <c r="I185">
        <v>0.88927699999999998</v>
      </c>
      <c r="J185">
        <v>1.01189</v>
      </c>
      <c r="K185">
        <v>1.2143999999999999</v>
      </c>
      <c r="L185">
        <v>1.2664200000000001</v>
      </c>
      <c r="M185">
        <v>1.35497</v>
      </c>
      <c r="N185">
        <v>1.4330000000000001</v>
      </c>
      <c r="O185">
        <v>1.7649300000000001</v>
      </c>
      <c r="P185">
        <v>2.01294</v>
      </c>
      <c r="Q185">
        <v>2.2661799999999999</v>
      </c>
      <c r="R185">
        <v>2.5310100000000002</v>
      </c>
      <c r="S185">
        <v>2.8075999999999999</v>
      </c>
      <c r="T185">
        <v>3.1008300000000002</v>
      </c>
      <c r="U185">
        <v>3.4204400000000001</v>
      </c>
      <c r="V185">
        <v>3.7705700000000002</v>
      </c>
      <c r="W185">
        <v>4.14846</v>
      </c>
      <c r="X185">
        <v>4.54617</v>
      </c>
      <c r="Y185">
        <v>4.9570100000000004</v>
      </c>
      <c r="Z185">
        <v>5.37629</v>
      </c>
      <c r="AA185">
        <v>5.8117200000000002</v>
      </c>
      <c r="AB185">
        <v>6.2672299999999996</v>
      </c>
      <c r="AC185">
        <v>6.74315</v>
      </c>
      <c r="AD185">
        <v>7.24078</v>
      </c>
    </row>
    <row r="186" spans="1:30" x14ac:dyDescent="0.25">
      <c r="A186" t="s">
        <v>232</v>
      </c>
      <c r="B186" t="s">
        <v>224</v>
      </c>
      <c r="C186" t="s">
        <v>233</v>
      </c>
      <c r="D186" t="s">
        <v>234</v>
      </c>
      <c r="E186" t="str">
        <f>_xlfn.XLOOKUP(B186,'Rural population'!$C$2:$C$200,'Rural population'!$G$2:$G$200)</f>
        <v>USA</v>
      </c>
      <c r="F186" t="s">
        <v>252</v>
      </c>
      <c r="G186" t="s">
        <v>252</v>
      </c>
      <c r="H186" t="s">
        <v>252</v>
      </c>
      <c r="I186" t="s">
        <v>252</v>
      </c>
      <c r="J186" t="s">
        <v>252</v>
      </c>
      <c r="K186" t="s">
        <v>252</v>
      </c>
      <c r="L186" t="s">
        <v>252</v>
      </c>
      <c r="M186" t="s">
        <v>252</v>
      </c>
      <c r="N186">
        <v>3.1029800000000001</v>
      </c>
      <c r="O186">
        <v>3.2404500000000001</v>
      </c>
      <c r="P186">
        <v>3.4656000000000002</v>
      </c>
      <c r="Q186">
        <v>3.6763699999999999</v>
      </c>
      <c r="R186">
        <v>3.9512900000000002</v>
      </c>
      <c r="S186">
        <v>4.2687299999999997</v>
      </c>
      <c r="T186">
        <v>4.6153700000000004</v>
      </c>
      <c r="U186">
        <v>4.9908999999999999</v>
      </c>
      <c r="V186">
        <v>5.4070900000000002</v>
      </c>
      <c r="W186">
        <v>5.8629100000000003</v>
      </c>
      <c r="X186">
        <v>6.3437799999999998</v>
      </c>
      <c r="Y186">
        <v>6.8452500000000001</v>
      </c>
      <c r="Z186">
        <v>7.3669399999999996</v>
      </c>
      <c r="AA186">
        <v>7.9156000000000004</v>
      </c>
      <c r="AB186">
        <v>8.4931300000000007</v>
      </c>
      <c r="AC186">
        <v>9.1000700000000005</v>
      </c>
      <c r="AD186">
        <v>9.7331299999999992</v>
      </c>
    </row>
    <row r="187" spans="1:30" x14ac:dyDescent="0.25">
      <c r="A187" t="s">
        <v>232</v>
      </c>
      <c r="B187" t="s">
        <v>225</v>
      </c>
      <c r="C187" t="s">
        <v>233</v>
      </c>
      <c r="D187" t="s">
        <v>234</v>
      </c>
      <c r="E187" t="e">
        <f>_xlfn.XLOOKUP(B187,'Rural population'!$C$2:$C$200,'Rural population'!$G$2:$G$200)</f>
        <v>#N/A</v>
      </c>
      <c r="F187">
        <v>77.864400000000003</v>
      </c>
      <c r="G187">
        <v>109.236</v>
      </c>
      <c r="H187">
        <v>137.798</v>
      </c>
      <c r="I187">
        <v>204.20699999999999</v>
      </c>
      <c r="J187">
        <v>285.75599999999997</v>
      </c>
      <c r="K187">
        <v>407.00900000000001</v>
      </c>
      <c r="L187">
        <v>552.83299999999997</v>
      </c>
      <c r="M187">
        <v>745.92899999999997</v>
      </c>
      <c r="N187">
        <v>1010.06</v>
      </c>
      <c r="O187">
        <v>1325.58</v>
      </c>
      <c r="P187">
        <v>1843.06</v>
      </c>
      <c r="Q187">
        <v>2418.0700000000002</v>
      </c>
      <c r="R187">
        <v>2955.99</v>
      </c>
      <c r="S187">
        <v>3458.46</v>
      </c>
      <c r="T187">
        <v>3929.58</v>
      </c>
      <c r="U187">
        <v>4384.66</v>
      </c>
      <c r="V187">
        <v>4821.37</v>
      </c>
      <c r="W187">
        <v>5240.8599999999997</v>
      </c>
      <c r="X187">
        <v>5636.5</v>
      </c>
      <c r="Y187">
        <v>5987.94</v>
      </c>
      <c r="Z187">
        <v>6296.42</v>
      </c>
      <c r="AA187">
        <v>6575.15</v>
      </c>
      <c r="AB187">
        <v>6839.04</v>
      </c>
      <c r="AC187">
        <v>7100.28</v>
      </c>
      <c r="AD187">
        <v>7364.4</v>
      </c>
    </row>
    <row r="188" spans="1:30" x14ac:dyDescent="0.25">
      <c r="A188" t="s">
        <v>232</v>
      </c>
      <c r="B188" t="s">
        <v>226</v>
      </c>
      <c r="C188" t="s">
        <v>233</v>
      </c>
      <c r="D188" t="s">
        <v>234</v>
      </c>
      <c r="E188" t="str">
        <f>_xlfn.XLOOKUP(B188,'Rural population'!$C$2:$C$200,'Rural population'!$G$2:$G$200)</f>
        <v>Oceania</v>
      </c>
      <c r="F188">
        <v>0.27673000000000003</v>
      </c>
      <c r="G188">
        <v>0.33581299999999997</v>
      </c>
      <c r="H188">
        <v>0.363006</v>
      </c>
      <c r="I188">
        <v>0.42631399999999997</v>
      </c>
      <c r="J188">
        <v>0.49211499999999997</v>
      </c>
      <c r="K188">
        <v>0.51468000000000003</v>
      </c>
      <c r="L188">
        <v>0.63273099999999993</v>
      </c>
      <c r="M188">
        <v>0.68552099999999994</v>
      </c>
      <c r="N188">
        <v>0.77010800000000001</v>
      </c>
      <c r="O188">
        <v>0.85088299999999994</v>
      </c>
      <c r="P188">
        <v>1.00143</v>
      </c>
      <c r="Q188">
        <v>1.3087500000000001</v>
      </c>
      <c r="R188">
        <v>1.75641</v>
      </c>
      <c r="S188">
        <v>2.3951099999999999</v>
      </c>
      <c r="T188">
        <v>3.3049499999999998</v>
      </c>
      <c r="U188">
        <v>4.5940000000000003</v>
      </c>
      <c r="V188">
        <v>6.4054099999999998</v>
      </c>
      <c r="W188">
        <v>8.9118200000000005</v>
      </c>
      <c r="X188">
        <v>12.253500000000001</v>
      </c>
      <c r="Y188">
        <v>16.587700000000002</v>
      </c>
      <c r="Z188">
        <v>22.041599999999999</v>
      </c>
      <c r="AA188">
        <v>28.735600000000002</v>
      </c>
      <c r="AB188">
        <v>36.747799999999998</v>
      </c>
      <c r="AC188">
        <v>46.134599999999999</v>
      </c>
      <c r="AD188">
        <v>56.910600000000002</v>
      </c>
    </row>
    <row r="189" spans="1:30" x14ac:dyDescent="0.25">
      <c r="A189" t="s">
        <v>232</v>
      </c>
      <c r="B189" t="s">
        <v>227</v>
      </c>
      <c r="C189" t="s">
        <v>233</v>
      </c>
      <c r="D189" t="s">
        <v>234</v>
      </c>
      <c r="E189" t="str">
        <f>_xlfn.XLOOKUP(B189,'Rural population'!$C$2:$C$200,'Rural population'!$G$2:$G$200)</f>
        <v>Oceania</v>
      </c>
      <c r="F189">
        <v>0.49625599999999997</v>
      </c>
      <c r="G189">
        <v>0.48445299999999997</v>
      </c>
      <c r="H189">
        <v>0.51986199999999994</v>
      </c>
      <c r="I189">
        <v>0.60838300000000001</v>
      </c>
      <c r="J189">
        <v>0.69475799999999999</v>
      </c>
      <c r="K189">
        <v>0.91150100000000001</v>
      </c>
      <c r="L189">
        <v>0.9882200000000001</v>
      </c>
      <c r="M189">
        <v>1.03382</v>
      </c>
      <c r="N189">
        <v>1.13897</v>
      </c>
      <c r="O189">
        <v>1.1593599999999999</v>
      </c>
      <c r="P189">
        <v>1.31674</v>
      </c>
      <c r="Q189">
        <v>1.5386200000000001</v>
      </c>
      <c r="R189">
        <v>1.8391500000000001</v>
      </c>
      <c r="S189">
        <v>2.2247300000000001</v>
      </c>
      <c r="T189">
        <v>2.71116</v>
      </c>
      <c r="U189">
        <v>3.3163200000000002</v>
      </c>
      <c r="V189">
        <v>4.05213</v>
      </c>
      <c r="W189">
        <v>4.9573099999999997</v>
      </c>
      <c r="X189">
        <v>6.0398199999999997</v>
      </c>
      <c r="Y189">
        <v>7.3038800000000004</v>
      </c>
      <c r="Z189">
        <v>8.7524999999999995</v>
      </c>
      <c r="AA189">
        <v>10.392900000000001</v>
      </c>
      <c r="AB189">
        <v>12.2338</v>
      </c>
      <c r="AC189">
        <v>14.2911</v>
      </c>
      <c r="AD189">
        <v>16.582999999999998</v>
      </c>
    </row>
    <row r="190" spans="1:30" x14ac:dyDescent="0.25">
      <c r="A190" t="s">
        <v>232</v>
      </c>
      <c r="B190" t="s">
        <v>228</v>
      </c>
      <c r="C190" t="s">
        <v>233</v>
      </c>
      <c r="D190" t="s">
        <v>234</v>
      </c>
      <c r="E190" t="str">
        <f>_xlfn.XLOOKUP(B190,'Rural population'!$C$2:$C$200,'Rural population'!$G$2:$G$200)</f>
        <v>Middle East</v>
      </c>
      <c r="F190" t="s">
        <v>252</v>
      </c>
      <c r="G190" t="s">
        <v>252</v>
      </c>
      <c r="H190">
        <v>39.779499999999999</v>
      </c>
      <c r="I190">
        <v>53.662300000000002</v>
      </c>
      <c r="J190">
        <v>69.019099999999995</v>
      </c>
      <c r="K190">
        <v>84.814599999999999</v>
      </c>
      <c r="L190">
        <v>104.845</v>
      </c>
      <c r="M190">
        <v>70.5929</v>
      </c>
      <c r="N190">
        <v>57.161799999999999</v>
      </c>
      <c r="O190">
        <v>62.375399999999999</v>
      </c>
      <c r="P190">
        <v>82.506799999999998</v>
      </c>
      <c r="Q190">
        <v>108.889</v>
      </c>
      <c r="R190">
        <v>146.08600000000001</v>
      </c>
      <c r="S190">
        <v>196.11699999999999</v>
      </c>
      <c r="T190">
        <v>260.447</v>
      </c>
      <c r="U190">
        <v>341.04599999999999</v>
      </c>
      <c r="V190">
        <v>439.82</v>
      </c>
      <c r="W190">
        <v>557.86500000000001</v>
      </c>
      <c r="X190">
        <v>694.54899999999998</v>
      </c>
      <c r="Y190">
        <v>847.86199999999997</v>
      </c>
      <c r="Z190">
        <v>1015.98</v>
      </c>
      <c r="AA190">
        <v>1197.49</v>
      </c>
      <c r="AB190">
        <v>1391.78</v>
      </c>
      <c r="AC190">
        <v>1598.56</v>
      </c>
      <c r="AD190">
        <v>1817.68</v>
      </c>
    </row>
    <row r="191" spans="1:30" x14ac:dyDescent="0.25">
      <c r="A191" t="s">
        <v>232</v>
      </c>
      <c r="B191" t="s">
        <v>229</v>
      </c>
      <c r="C191" t="s">
        <v>233</v>
      </c>
      <c r="D191" t="s">
        <v>234</v>
      </c>
      <c r="E191" t="str">
        <f>_xlfn.XLOOKUP(B191,'Rural population'!$C$2:$C$200,'Rural population'!$G$2:$G$200)</f>
        <v>South Africa</v>
      </c>
      <c r="F191">
        <v>356.726</v>
      </c>
      <c r="G191">
        <v>381.55399999999997</v>
      </c>
      <c r="H191">
        <v>414.40600000000001</v>
      </c>
      <c r="I191">
        <v>432.37700000000001</v>
      </c>
      <c r="J191">
        <v>485.25299999999999</v>
      </c>
      <c r="K191">
        <v>585.62400000000002</v>
      </c>
      <c r="L191">
        <v>682.16700000000003</v>
      </c>
      <c r="M191">
        <v>758.9</v>
      </c>
      <c r="N191">
        <v>739.93700000000001</v>
      </c>
      <c r="O191">
        <v>813.18</v>
      </c>
      <c r="P191">
        <v>881.71</v>
      </c>
      <c r="Q191">
        <v>1007.81</v>
      </c>
      <c r="R191">
        <v>1180.3800000000001</v>
      </c>
      <c r="S191">
        <v>1392.12</v>
      </c>
      <c r="T191">
        <v>1634.41</v>
      </c>
      <c r="U191">
        <v>1905.66</v>
      </c>
      <c r="V191">
        <v>2204.5500000000002</v>
      </c>
      <c r="W191">
        <v>2527.2399999999998</v>
      </c>
      <c r="X191">
        <v>2869.1</v>
      </c>
      <c r="Y191">
        <v>3226.32</v>
      </c>
      <c r="Z191">
        <v>3598.09</v>
      </c>
      <c r="AA191">
        <v>3985.08</v>
      </c>
      <c r="AB191">
        <v>4385.38</v>
      </c>
      <c r="AC191">
        <v>4793.7299999999996</v>
      </c>
      <c r="AD191">
        <v>5206.54</v>
      </c>
    </row>
    <row r="192" spans="1:30" x14ac:dyDescent="0.25">
      <c r="A192" t="s">
        <v>232</v>
      </c>
      <c r="B192" t="s">
        <v>230</v>
      </c>
      <c r="C192" t="s">
        <v>233</v>
      </c>
      <c r="D192" t="s">
        <v>234</v>
      </c>
      <c r="E192" t="str">
        <f>_xlfn.XLOOKUP(B192,'Rural population'!$C$2:$C$200,'Rural population'!$G$2:$G$200)</f>
        <v>Rest of Southern Africa</v>
      </c>
      <c r="F192">
        <v>17.4681</v>
      </c>
      <c r="G192">
        <v>17.787500000000001</v>
      </c>
      <c r="H192">
        <v>19.215699999999998</v>
      </c>
      <c r="I192">
        <v>17.3627</v>
      </c>
      <c r="J192">
        <v>20.736699999999999</v>
      </c>
      <c r="K192">
        <v>28.0152</v>
      </c>
      <c r="L192">
        <v>42.525799999999997</v>
      </c>
      <c r="M192">
        <v>54.6813</v>
      </c>
      <c r="N192">
        <v>60.259</v>
      </c>
      <c r="O192">
        <v>74.503299999999996</v>
      </c>
      <c r="P192">
        <v>95.724999999999994</v>
      </c>
      <c r="Q192">
        <v>123.108</v>
      </c>
      <c r="R192">
        <v>155.18100000000001</v>
      </c>
      <c r="S192">
        <v>193.852</v>
      </c>
      <c r="T192">
        <v>240.84200000000001</v>
      </c>
      <c r="U192">
        <v>297.95800000000003</v>
      </c>
      <c r="V192">
        <v>366.93599999999998</v>
      </c>
      <c r="W192">
        <v>449.26100000000002</v>
      </c>
      <c r="X192">
        <v>545.46100000000001</v>
      </c>
      <c r="Y192">
        <v>656.82299999999998</v>
      </c>
      <c r="Z192">
        <v>783.15499999999997</v>
      </c>
      <c r="AA192">
        <v>924.63599999999997</v>
      </c>
      <c r="AB192">
        <v>1080.8399999999999</v>
      </c>
      <c r="AC192">
        <v>1251.04</v>
      </c>
      <c r="AD192">
        <v>1435.74</v>
      </c>
    </row>
    <row r="193" spans="1:30" x14ac:dyDescent="0.25">
      <c r="A193" t="s">
        <v>232</v>
      </c>
      <c r="B193" t="s">
        <v>231</v>
      </c>
      <c r="C193" t="s">
        <v>233</v>
      </c>
      <c r="D193" t="s">
        <v>234</v>
      </c>
      <c r="E193" t="str">
        <f>_xlfn.XLOOKUP(B193,'Rural population'!$C$2:$C$200,'Rural population'!$G$2:$G$200)</f>
        <v>Rest of Southern Africa</v>
      </c>
      <c r="F193" t="s">
        <v>252</v>
      </c>
      <c r="G193" t="s">
        <v>252</v>
      </c>
      <c r="H193">
        <v>27.355599999999999</v>
      </c>
      <c r="I193">
        <v>29.039400000000001</v>
      </c>
      <c r="J193">
        <v>33.2273</v>
      </c>
      <c r="K193">
        <v>22.194299999999998</v>
      </c>
      <c r="L193">
        <v>22.2393</v>
      </c>
      <c r="M193">
        <v>31.491199999999999</v>
      </c>
      <c r="N193">
        <v>30.270900000000001</v>
      </c>
      <c r="O193">
        <v>38.936</v>
      </c>
      <c r="P193">
        <v>46.2395</v>
      </c>
      <c r="Q193">
        <v>56.344099999999997</v>
      </c>
      <c r="R193">
        <v>66.927599999999998</v>
      </c>
      <c r="S193">
        <v>78.434100000000001</v>
      </c>
      <c r="T193">
        <v>91.401600000000002</v>
      </c>
      <c r="U193">
        <v>106.21899999999999</v>
      </c>
      <c r="V193">
        <v>123.354</v>
      </c>
      <c r="W193">
        <v>143.404</v>
      </c>
      <c r="X193">
        <v>166.79</v>
      </c>
      <c r="Y193">
        <v>194.31800000000001</v>
      </c>
      <c r="Z193">
        <v>226.68899999999999</v>
      </c>
      <c r="AA193">
        <v>264.57499999999999</v>
      </c>
      <c r="AB193">
        <v>308.98200000000003</v>
      </c>
      <c r="AC193">
        <v>360.87799999999999</v>
      </c>
      <c r="AD193">
        <v>421.26400000000001</v>
      </c>
    </row>
    <row r="194" spans="1:30" x14ac:dyDescent="0.25">
      <c r="A194" t="s">
        <v>30</v>
      </c>
      <c r="B194" t="s">
        <v>31</v>
      </c>
      <c r="C194" t="s">
        <v>224</v>
      </c>
      <c r="D194" t="s">
        <v>33</v>
      </c>
      <c r="E194" t="e">
        <f>_xlfn.XLOOKUP(B194,'Rural population'!$C$2:$C$200,'Rural population'!$G$2:$G$200)</f>
        <v>#N/A</v>
      </c>
    </row>
    <row r="195" spans="1:30" x14ac:dyDescent="0.25">
      <c r="A195" t="s">
        <v>30</v>
      </c>
      <c r="B195" t="s">
        <v>31</v>
      </c>
      <c r="C195" t="s">
        <v>225</v>
      </c>
      <c r="D195" t="s">
        <v>33</v>
      </c>
      <c r="E195" t="e">
        <f>_xlfn.XLOOKUP(B195,'Rural population'!$C$2:$C$200,'Rural population'!$G$2:$G$200)</f>
        <v>#N/A</v>
      </c>
    </row>
    <row r="196" spans="1:30" x14ac:dyDescent="0.25">
      <c r="A196" t="s">
        <v>30</v>
      </c>
      <c r="B196" t="s">
        <v>31</v>
      </c>
      <c r="C196" t="s">
        <v>226</v>
      </c>
      <c r="D196" t="s">
        <v>33</v>
      </c>
      <c r="E196" t="e">
        <f>_xlfn.XLOOKUP(B196,'Rural population'!$C$2:$C$200,'Rural population'!$G$2:$G$200)</f>
        <v>#N/A</v>
      </c>
    </row>
    <row r="197" spans="1:30" x14ac:dyDescent="0.25">
      <c r="A197" t="s">
        <v>30</v>
      </c>
      <c r="B197" t="s">
        <v>31</v>
      </c>
      <c r="C197" t="s">
        <v>227</v>
      </c>
      <c r="D197" t="s">
        <v>33</v>
      </c>
      <c r="E197" t="e">
        <f>_xlfn.XLOOKUP(B197,'Rural population'!$C$2:$C$200,'Rural population'!$G$2:$G$200)</f>
        <v>#N/A</v>
      </c>
    </row>
    <row r="198" spans="1:30" x14ac:dyDescent="0.25">
      <c r="A198" t="s">
        <v>30</v>
      </c>
      <c r="B198" t="s">
        <v>31</v>
      </c>
      <c r="C198" t="s">
        <v>228</v>
      </c>
      <c r="D198" t="s">
        <v>33</v>
      </c>
      <c r="E198" t="e">
        <f>_xlfn.XLOOKUP(B198,'Rural population'!$C$2:$C$200,'Rural population'!$G$2:$G$200)</f>
        <v>#N/A</v>
      </c>
    </row>
    <row r="199" spans="1:30" x14ac:dyDescent="0.25">
      <c r="A199" t="s">
        <v>30</v>
      </c>
      <c r="B199" t="s">
        <v>31</v>
      </c>
      <c r="C199" t="s">
        <v>229</v>
      </c>
      <c r="D199" t="s">
        <v>33</v>
      </c>
      <c r="E199" t="e">
        <f>_xlfn.XLOOKUP(B199,'Rural population'!$C$2:$C$200,'Rural population'!$G$2:$G$200)</f>
        <v>#N/A</v>
      </c>
    </row>
    <row r="200" spans="1:30" x14ac:dyDescent="0.25">
      <c r="A200" t="s">
        <v>30</v>
      </c>
      <c r="B200" t="s">
        <v>31</v>
      </c>
      <c r="C200" t="s">
        <v>230</v>
      </c>
      <c r="D200" t="s">
        <v>33</v>
      </c>
      <c r="E200" t="e">
        <f>_xlfn.XLOOKUP(B200,'Rural population'!$C$2:$C$200,'Rural population'!$G$2:$G$200)</f>
        <v>#N/A</v>
      </c>
    </row>
    <row r="201" spans="1:30" x14ac:dyDescent="0.25">
      <c r="A201" t="s">
        <v>30</v>
      </c>
      <c r="B201" t="s">
        <v>31</v>
      </c>
      <c r="C201" t="s">
        <v>231</v>
      </c>
      <c r="D201" t="s">
        <v>33</v>
      </c>
      <c r="E201" t="e">
        <f>_xlfn.XLOOKUP(B201,'Rural population'!$C$2:$C$200,'Rural population'!$G$2:$G$200)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4BE9-BAA1-4BE9-8BB8-52E42F738199}">
  <dimension ref="A1:AC193"/>
  <sheetViews>
    <sheetView showGridLines="0" workbookViewId="0">
      <pane ySplit="1" topLeftCell="A2" activePane="bottomLeft" state="frozen"/>
      <selection pane="bottomLeft" sqref="A1:D1"/>
    </sheetView>
  </sheetViews>
  <sheetFormatPr defaultRowHeight="15" x14ac:dyDescent="0.25"/>
  <cols>
    <col min="4" max="4" width="20.7109375" customWidth="1"/>
  </cols>
  <sheetData>
    <row r="1" spans="1:29" ht="15.7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25">
      <c r="A2" t="s">
        <v>232</v>
      </c>
      <c r="B2" t="s">
        <v>32</v>
      </c>
      <c r="C2" t="s">
        <v>233</v>
      </c>
      <c r="D2" t="s">
        <v>234</v>
      </c>
      <c r="E2" t="e">
        <f>[4]data!E2*1000000000/(_xlfn.XLOOKUP($B2,[1]data!$C$2:$C$201,[1]data!L$2:L$201)*1000000)</f>
        <v>#VALUE!</v>
      </c>
      <c r="F2" t="e">
        <f>[4]data!F2*1000000000/(_xlfn.XLOOKUP($B2,[1]data!$C$2:$C$201,[1]data!M$2:M$201)*1000000)</f>
        <v>#VALUE!</v>
      </c>
      <c r="G2">
        <f>[4]data!G2*1000000000/(_xlfn.XLOOKUP($B2,[1]data!$C$2:$C$201,[1]data!N$2:N$201)*1000000)</f>
        <v>32618.383542645814</v>
      </c>
      <c r="H2">
        <f>[4]data!H2*1000000000/(_xlfn.XLOOKUP($B2,[1]data!$C$2:$C$201,[1]data!O$2:O$201)*1000000)</f>
        <v>37958.199356913181</v>
      </c>
      <c r="I2">
        <f>[4]data!I2*1000000000/(_xlfn.XLOOKUP($B2,[1]data!$C$2:$C$201,[1]data!P$2:P$201)*1000000)</f>
        <v>39429.767821883295</v>
      </c>
      <c r="J2">
        <f>[4]data!J2*1000000000/(_xlfn.XLOOKUP($B2,[1]data!$C$2:$C$201,[1]data!Q$2:Q$201)*1000000)</f>
        <v>41250.292746279461</v>
      </c>
      <c r="K2">
        <f>[4]data!K2*1000000000/(_xlfn.XLOOKUP($B2,[1]data!$C$2:$C$201,[1]data!R$2:R$201)*1000000)</f>
        <v>35408.581360635537</v>
      </c>
      <c r="L2">
        <f>[4]data!L2*1000000000/(_xlfn.XLOOKUP($B2,[1]data!$C$2:$C$201,[1]data!S$2:S$201)*1000000)</f>
        <v>38328.314267296533</v>
      </c>
      <c r="M2">
        <f>[4]data!M2*1000000000/(_xlfn.XLOOKUP($B2,[1]data!$C$2:$C$201,[1]data!T$2:T$201)*1000000)</f>
        <v>29213.792844821117</v>
      </c>
      <c r="N2">
        <f>[4]data!N2*1000000000/(_xlfn.XLOOKUP($B2,[1]data!$C$2:$C$201,[1]data!U$2:U$201)*1000000)</f>
        <v>42311.69499783955</v>
      </c>
      <c r="O2">
        <f>[4]data!O2*1000000000/(_xlfn.XLOOKUP($B2,[1]data!$C$2:$C$201,[1]data!V$2:V$201)*1000000)</f>
        <v>43997.2092185812</v>
      </c>
      <c r="P2">
        <f>[4]data!P2*1000000000/(_xlfn.XLOOKUP($B2,[1]data!$C$2:$C$201,[1]data!W$2:W$201)*1000000)</f>
        <v>46470.920583353931</v>
      </c>
      <c r="Q2">
        <f>[4]data!Q2*1000000000/(_xlfn.XLOOKUP($B2,[1]data!$C$2:$C$201,[1]data!X$2:X$201)*1000000)</f>
        <v>49127.741242321055</v>
      </c>
      <c r="R2">
        <f>[4]data!R2*1000000000/(_xlfn.XLOOKUP($B2,[1]data!$C$2:$C$201,[1]data!Y$2:Y$201)*1000000)</f>
        <v>52048.338471495968</v>
      </c>
      <c r="S2">
        <f>[4]data!S2*1000000000/(_xlfn.XLOOKUP($B2,[1]data!$C$2:$C$201,[1]data!Z$2:Z$201)*1000000)</f>
        <v>55453.91283934471</v>
      </c>
      <c r="T2">
        <f>[4]data!T2*1000000000/(_xlfn.XLOOKUP($B2,[1]data!$C$2:$C$201,[1]data!AA$2:AA$201)*1000000)</f>
        <v>59432.097746223058</v>
      </c>
      <c r="U2">
        <f>[4]data!U2*1000000000/(_xlfn.XLOOKUP($B2,[1]data!$C$2:$C$201,[1]data!AB$2:AB$201)*1000000)</f>
        <v>64003.457623817012</v>
      </c>
      <c r="V2">
        <f>[4]data!V2*1000000000/(_xlfn.XLOOKUP($B2,[1]data!$C$2:$C$201,[1]data!AC$2:AC$201)*1000000)</f>
        <v>69119.315458118959</v>
      </c>
      <c r="W2">
        <f>[4]data!W2*1000000000/(_xlfn.XLOOKUP($B2,[1]data!$C$2:$C$201,[1]data!AD$2:AD$201)*1000000)</f>
        <v>74479.306950187049</v>
      </c>
      <c r="X2">
        <f>[4]data!X2*1000000000/(_xlfn.XLOOKUP($B2,[1]data!$C$2:$C$201,[1]data!AE$2:AE$201)*1000000)</f>
        <v>80172.333271062962</v>
      </c>
      <c r="Y2">
        <f>[4]data!Y2*1000000000/(_xlfn.XLOOKUP($B2,[1]data!$C$2:$C$201,[1]data!AF$2:AF$201)*1000000)</f>
        <v>86349.976437505306</v>
      </c>
      <c r="Z2">
        <f>[4]data!Z2*1000000000/(_xlfn.XLOOKUP($B2,[1]data!$C$2:$C$201,[1]data!AG$2:AG$201)*1000000)</f>
        <v>93081.407437640999</v>
      </c>
      <c r="AA2">
        <f>[4]data!AA2*1000000000/(_xlfn.XLOOKUP($B2,[1]data!$C$2:$C$201,[1]data!AH$2:AH$201)*1000000)</f>
        <v>100433.37111835966</v>
      </c>
      <c r="AB2">
        <f>[4]data!AB2*1000000000/(_xlfn.XLOOKUP($B2,[1]data!$C$2:$C$201,[1]data!AI$2:AI$201)*1000000)</f>
        <v>108425.83758038367</v>
      </c>
      <c r="AC2">
        <f>[4]data!AC2*1000000000/(_xlfn.XLOOKUP($B2,[1]data!$C$2:$C$201,[1]data!AJ$2:AJ$201)*1000000)</f>
        <v>117079.88548570532</v>
      </c>
    </row>
    <row r="3" spans="1:29" x14ac:dyDescent="0.25">
      <c r="A3" t="s">
        <v>232</v>
      </c>
      <c r="B3" t="s">
        <v>35</v>
      </c>
      <c r="C3" t="s">
        <v>233</v>
      </c>
      <c r="D3" t="s">
        <v>234</v>
      </c>
      <c r="E3" t="e">
        <f>[4]data!E3*1000000000/(_xlfn.XLOOKUP($B3,[1]data!$C$2:$C$201,[1]data!L$2:L$201)*1000000)</f>
        <v>#VALUE!</v>
      </c>
      <c r="F3" t="e">
        <f>[4]data!F3*1000000000/(_xlfn.XLOOKUP($B3,[1]data!$C$2:$C$201,[1]data!M$2:M$201)*1000000)</f>
        <v>#VALUE!</v>
      </c>
      <c r="G3">
        <f>[4]data!G3*1000000000/(_xlfn.XLOOKUP($B3,[1]data!$C$2:$C$201,[1]data!N$2:N$201)*1000000)</f>
        <v>5891.2577484479034</v>
      </c>
      <c r="H3">
        <f>[4]data!H3*1000000000/(_xlfn.XLOOKUP($B3,[1]data!$C$2:$C$201,[1]data!O$2:O$201)*1000000)</f>
        <v>4286.0970923859732</v>
      </c>
      <c r="I3">
        <f>[4]data!I3*1000000000/(_xlfn.XLOOKUP($B3,[1]data!$C$2:$C$201,[1]data!P$2:P$201)*1000000)</f>
        <v>4781.9407083799451</v>
      </c>
      <c r="J3">
        <f>[4]data!J3*1000000000/(_xlfn.XLOOKUP($B3,[1]data!$C$2:$C$201,[1]data!Q$2:Q$201)*1000000)</f>
        <v>6284.9190523406151</v>
      </c>
      <c r="K3">
        <f>[4]data!K3*1000000000/(_xlfn.XLOOKUP($B3,[1]data!$C$2:$C$201,[1]data!R$2:R$201)*1000000)</f>
        <v>7830.7244440826862</v>
      </c>
      <c r="L3">
        <f>[4]data!L3*1000000000/(_xlfn.XLOOKUP($B3,[1]data!$C$2:$C$201,[1]data!S$2:S$201)*1000000)</f>
        <v>8105.4664875008684</v>
      </c>
      <c r="M3">
        <f>[4]data!M3*1000000000/(_xlfn.XLOOKUP($B3,[1]data!$C$2:$C$201,[1]data!T$2:T$201)*1000000)</f>
        <v>6121.614266596901</v>
      </c>
      <c r="N3">
        <f>[4]data!N3*1000000000/(_xlfn.XLOOKUP($B3,[1]data!$C$2:$C$201,[1]data!U$2:U$201)*1000000)</f>
        <v>5918.7373527158898</v>
      </c>
      <c r="O3">
        <f>[4]data!O3*1000000000/(_xlfn.XLOOKUP($B3,[1]data!$C$2:$C$201,[1]data!V$2:V$201)*1000000)</f>
        <v>6181.0913631557478</v>
      </c>
      <c r="P3">
        <f>[4]data!P3*1000000000/(_xlfn.XLOOKUP($B3,[1]data!$C$2:$C$201,[1]data!W$2:W$201)*1000000)</f>
        <v>6642.2042986745728</v>
      </c>
      <c r="Q3">
        <f>[4]data!Q3*1000000000/(_xlfn.XLOOKUP($B3,[1]data!$C$2:$C$201,[1]data!X$2:X$201)*1000000)</f>
        <v>7251.7648747835037</v>
      </c>
      <c r="R3">
        <f>[4]data!R3*1000000000/(_xlfn.XLOOKUP($B3,[1]data!$C$2:$C$201,[1]data!Y$2:Y$201)*1000000)</f>
        <v>8118.4230276133658</v>
      </c>
      <c r="S3">
        <f>[4]data!S3*1000000000/(_xlfn.XLOOKUP($B3,[1]data!$C$2:$C$201,[1]data!Z$2:Z$201)*1000000)</f>
        <v>9278.7144076587047</v>
      </c>
      <c r="T3">
        <f>[4]data!T3*1000000000/(_xlfn.XLOOKUP($B3,[1]data!$C$2:$C$201,[1]data!AA$2:AA$201)*1000000)</f>
        <v>10761.200002761536</v>
      </c>
      <c r="U3">
        <f>[4]data!U3*1000000000/(_xlfn.XLOOKUP($B3,[1]data!$C$2:$C$201,[1]data!AB$2:AB$201)*1000000)</f>
        <v>12575.570374669049</v>
      </c>
      <c r="V3">
        <f>[4]data!V3*1000000000/(_xlfn.XLOOKUP($B3,[1]data!$C$2:$C$201,[1]data!AC$2:AC$201)*1000000)</f>
        <v>14760.88530948627</v>
      </c>
      <c r="W3">
        <f>[4]data!W3*1000000000/(_xlfn.XLOOKUP($B3,[1]data!$C$2:$C$201,[1]data!AD$2:AD$201)*1000000)</f>
        <v>17332.409573264005</v>
      </c>
      <c r="X3">
        <f>[4]data!X3*1000000000/(_xlfn.XLOOKUP($B3,[1]data!$C$2:$C$201,[1]data!AE$2:AE$201)*1000000)</f>
        <v>20322.841676406515</v>
      </c>
      <c r="Y3">
        <f>[4]data!Y3*1000000000/(_xlfn.XLOOKUP($B3,[1]data!$C$2:$C$201,[1]data!AF$2:AF$201)*1000000)</f>
        <v>23769.462404251699</v>
      </c>
      <c r="Z3">
        <f>[4]data!Z3*1000000000/(_xlfn.XLOOKUP($B3,[1]data!$C$2:$C$201,[1]data!AG$2:AG$201)*1000000)</f>
        <v>27726.55754481355</v>
      </c>
      <c r="AA3">
        <f>[4]data!AA3*1000000000/(_xlfn.XLOOKUP($B3,[1]data!$C$2:$C$201,[1]data!AH$2:AH$201)*1000000)</f>
        <v>32275.836766798831</v>
      </c>
      <c r="AB3">
        <f>[4]data!AB3*1000000000/(_xlfn.XLOOKUP($B3,[1]data!$C$2:$C$201,[1]data!AI$2:AI$201)*1000000)</f>
        <v>37377.231683912541</v>
      </c>
      <c r="AC3">
        <f>[4]data!AC3*1000000000/(_xlfn.XLOOKUP($B3,[1]data!$C$2:$C$201,[1]data!AJ$2:AJ$201)*1000000)</f>
        <v>43030.998812340382</v>
      </c>
    </row>
    <row r="4" spans="1:29" x14ac:dyDescent="0.25">
      <c r="A4" t="s">
        <v>232</v>
      </c>
      <c r="B4" t="s">
        <v>36</v>
      </c>
      <c r="C4" t="s">
        <v>233</v>
      </c>
      <c r="D4" t="s">
        <v>234</v>
      </c>
      <c r="E4">
        <f>[4]data!E4*1000000000/(_xlfn.XLOOKUP($B4,[1]data!$C$2:$C$201,[1]data!L$2:L$201)*1000000)</f>
        <v>5093.0770383677627</v>
      </c>
      <c r="F4">
        <f>[4]data!F4*1000000000/(_xlfn.XLOOKUP($B4,[1]data!$C$2:$C$201,[1]data!M$2:M$201)*1000000)</f>
        <v>5203.6120159476777</v>
      </c>
      <c r="G4">
        <f>[4]data!G4*1000000000/(_xlfn.XLOOKUP($B4,[1]data!$C$2:$C$201,[1]data!N$2:N$201)*1000000)</f>
        <v>5089.7217134509929</v>
      </c>
      <c r="H4">
        <f>[4]data!H4*1000000000/(_xlfn.XLOOKUP($B4,[1]data!$C$2:$C$201,[1]data!O$2:O$201)*1000000)</f>
        <v>4440.6314970394778</v>
      </c>
      <c r="I4">
        <f>[4]data!I4*1000000000/(_xlfn.XLOOKUP($B4,[1]data!$C$2:$C$201,[1]data!P$2:P$201)*1000000)</f>
        <v>5837.4140606493756</v>
      </c>
      <c r="J4">
        <f>[4]data!J4*1000000000/(_xlfn.XLOOKUP($B4,[1]data!$C$2:$C$201,[1]data!Q$2:Q$201)*1000000)</f>
        <v>8142.625897096902</v>
      </c>
      <c r="K4">
        <f>[4]data!K4*1000000000/(_xlfn.XLOOKUP($B4,[1]data!$C$2:$C$201,[1]data!R$2:R$201)*1000000)</f>
        <v>10986.933123626066</v>
      </c>
      <c r="L4">
        <f>[4]data!L4*1000000000/(_xlfn.XLOOKUP($B4,[1]data!$C$2:$C$201,[1]data!S$2:S$201)*1000000)</f>
        <v>12163.372360011044</v>
      </c>
      <c r="M4">
        <f>[4]data!M4*1000000000/(_xlfn.XLOOKUP($B4,[1]data!$C$2:$C$201,[1]data!T$2:T$201)*1000000)</f>
        <v>13445.979116544166</v>
      </c>
      <c r="N4">
        <f>[4]data!N4*1000000000/(_xlfn.XLOOKUP($B4,[1]data!$C$2:$C$201,[1]data!U$2:U$201)*1000000)</f>
        <v>17482.630907317583</v>
      </c>
      <c r="O4">
        <f>[4]data!O4*1000000000/(_xlfn.XLOOKUP($B4,[1]data!$C$2:$C$201,[1]data!V$2:V$201)*1000000)</f>
        <v>21326.5986321903</v>
      </c>
      <c r="P4">
        <f>[4]data!P4*1000000000/(_xlfn.XLOOKUP($B4,[1]data!$C$2:$C$201,[1]data!W$2:W$201)*1000000)</f>
        <v>25427.54380390776</v>
      </c>
      <c r="Q4">
        <f>[4]data!Q4*1000000000/(_xlfn.XLOOKUP($B4,[1]data!$C$2:$C$201,[1]data!X$2:X$201)*1000000)</f>
        <v>29691.515836516537</v>
      </c>
      <c r="R4">
        <f>[4]data!R4*1000000000/(_xlfn.XLOOKUP($B4,[1]data!$C$2:$C$201,[1]data!Y$2:Y$201)*1000000)</f>
        <v>34036.413148507832</v>
      </c>
      <c r="S4">
        <f>[4]data!S4*1000000000/(_xlfn.XLOOKUP($B4,[1]data!$C$2:$C$201,[1]data!Z$2:Z$201)*1000000)</f>
        <v>38329.286973484508</v>
      </c>
      <c r="T4">
        <f>[4]data!T4*1000000000/(_xlfn.XLOOKUP($B4,[1]data!$C$2:$C$201,[1]data!AA$2:AA$201)*1000000)</f>
        <v>42664.735671862174</v>
      </c>
      <c r="U4">
        <f>[4]data!U4*1000000000/(_xlfn.XLOOKUP($B4,[1]data!$C$2:$C$201,[1]data!AB$2:AB$201)*1000000)</f>
        <v>47182.685490220661</v>
      </c>
      <c r="V4">
        <f>[4]data!V4*1000000000/(_xlfn.XLOOKUP($B4,[1]data!$C$2:$C$201,[1]data!AC$2:AC$201)*1000000)</f>
        <v>51984.050196181764</v>
      </c>
      <c r="W4">
        <f>[4]data!W4*1000000000/(_xlfn.XLOOKUP($B4,[1]data!$C$2:$C$201,[1]data!AD$2:AD$201)*1000000)</f>
        <v>57078.055345050307</v>
      </c>
      <c r="X4">
        <f>[4]data!X4*1000000000/(_xlfn.XLOOKUP($B4,[1]data!$C$2:$C$201,[1]data!AE$2:AE$201)*1000000)</f>
        <v>62109.449715883951</v>
      </c>
      <c r="Y4">
        <f>[4]data!Y4*1000000000/(_xlfn.XLOOKUP($B4,[1]data!$C$2:$C$201,[1]data!AF$2:AF$201)*1000000)</f>
        <v>67044.927797770069</v>
      </c>
      <c r="Z4">
        <f>[4]data!Z4*1000000000/(_xlfn.XLOOKUP($B4,[1]data!$C$2:$C$201,[1]data!AG$2:AG$201)*1000000)</f>
        <v>71930.218111540613</v>
      </c>
      <c r="AA4">
        <f>[4]data!AA4*1000000000/(_xlfn.XLOOKUP($B4,[1]data!$C$2:$C$201,[1]data!AH$2:AH$201)*1000000)</f>
        <v>76888.995931383455</v>
      </c>
      <c r="AB4">
        <f>[4]data!AB4*1000000000/(_xlfn.XLOOKUP($B4,[1]data!$C$2:$C$201,[1]data!AI$2:AI$201)*1000000)</f>
        <v>81931.939292960029</v>
      </c>
      <c r="AC4">
        <f>[4]data!AC4*1000000000/(_xlfn.XLOOKUP($B4,[1]data!$C$2:$C$201,[1]data!AJ$2:AJ$201)*1000000)</f>
        <v>87062.739359087616</v>
      </c>
    </row>
    <row r="5" spans="1:29" x14ac:dyDescent="0.25">
      <c r="A5" t="s">
        <v>232</v>
      </c>
      <c r="B5" t="s">
        <v>37</v>
      </c>
      <c r="C5" t="s">
        <v>233</v>
      </c>
      <c r="D5" t="s">
        <v>234</v>
      </c>
      <c r="E5">
        <f>[4]data!E5*1000000000/(_xlfn.XLOOKUP($B5,[1]data!$C$2:$C$201,[1]data!L$2:L$201)*1000000)</f>
        <v>176781.55442333643</v>
      </c>
      <c r="F5">
        <f>[4]data!F5*1000000000/(_xlfn.XLOOKUP($B5,[1]data!$C$2:$C$201,[1]data!M$2:M$201)*1000000)</f>
        <v>122294.10652867261</v>
      </c>
      <c r="G5">
        <f>[4]data!G5*1000000000/(_xlfn.XLOOKUP($B5,[1]data!$C$2:$C$201,[1]data!N$2:N$201)*1000000)</f>
        <v>105390.83178312294</v>
      </c>
      <c r="H5">
        <f>[4]data!H5*1000000000/(_xlfn.XLOOKUP($B5,[1]data!$C$2:$C$201,[1]data!O$2:O$201)*1000000)</f>
        <v>98897.665833015606</v>
      </c>
      <c r="I5">
        <f>[4]data!I5*1000000000/(_xlfn.XLOOKUP($B5,[1]data!$C$2:$C$201,[1]data!P$2:P$201)*1000000)</f>
        <v>99515.774368683138</v>
      </c>
      <c r="J5">
        <f>[4]data!J5*1000000000/(_xlfn.XLOOKUP($B5,[1]data!$C$2:$C$201,[1]data!Q$2:Q$201)*1000000)</f>
        <v>100814.20357391433</v>
      </c>
      <c r="K5">
        <f>[4]data!K5*1000000000/(_xlfn.XLOOKUP($B5,[1]data!$C$2:$C$201,[1]data!R$2:R$201)*1000000)</f>
        <v>56947.416709360965</v>
      </c>
      <c r="L5">
        <f>[4]data!L5*1000000000/(_xlfn.XLOOKUP($B5,[1]data!$C$2:$C$201,[1]data!S$2:S$201)*1000000)</f>
        <v>68380.568479923153</v>
      </c>
      <c r="M5">
        <f>[4]data!M5*1000000000/(_xlfn.XLOOKUP($B5,[1]data!$C$2:$C$201,[1]data!T$2:T$201)*1000000)</f>
        <v>67959.051658416909</v>
      </c>
      <c r="N5">
        <f>[4]data!N5*1000000000/(_xlfn.XLOOKUP($B5,[1]data!$C$2:$C$201,[1]data!U$2:U$201)*1000000)</f>
        <v>80899.52769955121</v>
      </c>
      <c r="O5">
        <f>[4]data!O5*1000000000/(_xlfn.XLOOKUP($B5,[1]data!$C$2:$C$201,[1]data!V$2:V$201)*1000000)</f>
        <v>95352.603802061814</v>
      </c>
      <c r="P5">
        <f>[4]data!P5*1000000000/(_xlfn.XLOOKUP($B5,[1]data!$C$2:$C$201,[1]data!W$2:W$201)*1000000)</f>
        <v>108139.34568166619</v>
      </c>
      <c r="Q5">
        <f>[4]data!Q5*1000000000/(_xlfn.XLOOKUP($B5,[1]data!$C$2:$C$201,[1]data!X$2:X$201)*1000000)</f>
        <v>116807.82570544914</v>
      </c>
      <c r="R5">
        <f>[4]data!R5*1000000000/(_xlfn.XLOOKUP($B5,[1]data!$C$2:$C$201,[1]data!Y$2:Y$201)*1000000)</f>
        <v>122285.96338350225</v>
      </c>
      <c r="S5">
        <f>[4]data!S5*1000000000/(_xlfn.XLOOKUP($B5,[1]data!$C$2:$C$201,[1]data!Z$2:Z$201)*1000000)</f>
        <v>125262.04397507296</v>
      </c>
      <c r="T5">
        <f>[4]data!T5*1000000000/(_xlfn.XLOOKUP($B5,[1]data!$C$2:$C$201,[1]data!AA$2:AA$201)*1000000)</f>
        <v>127185.18507329977</v>
      </c>
      <c r="U5">
        <f>[4]data!U5*1000000000/(_xlfn.XLOOKUP($B5,[1]data!$C$2:$C$201,[1]data!AB$2:AB$201)*1000000)</f>
        <v>129295.67710583503</v>
      </c>
      <c r="V5">
        <f>[4]data!V5*1000000000/(_xlfn.XLOOKUP($B5,[1]data!$C$2:$C$201,[1]data!AC$2:AC$201)*1000000)</f>
        <v>131915.47438338632</v>
      </c>
      <c r="W5">
        <f>[4]data!W5*1000000000/(_xlfn.XLOOKUP($B5,[1]data!$C$2:$C$201,[1]data!AD$2:AD$201)*1000000)</f>
        <v>134592.01541138225</v>
      </c>
      <c r="X5">
        <f>[4]data!X5*1000000000/(_xlfn.XLOOKUP($B5,[1]data!$C$2:$C$201,[1]data!AE$2:AE$201)*1000000)</f>
        <v>137083.69383048048</v>
      </c>
      <c r="Y5">
        <f>[4]data!Y5*1000000000/(_xlfn.XLOOKUP($B5,[1]data!$C$2:$C$201,[1]data!AF$2:AF$201)*1000000)</f>
        <v>139713.94787987389</v>
      </c>
      <c r="Z5">
        <f>[4]data!Z5*1000000000/(_xlfn.XLOOKUP($B5,[1]data!$C$2:$C$201,[1]data!AG$2:AG$201)*1000000)</f>
        <v>142337.7372002808</v>
      </c>
      <c r="AA5">
        <f>[4]data!AA5*1000000000/(_xlfn.XLOOKUP($B5,[1]data!$C$2:$C$201,[1]data!AH$2:AH$201)*1000000)</f>
        <v>144978.03551650757</v>
      </c>
      <c r="AB5">
        <f>[4]data!AB5*1000000000/(_xlfn.XLOOKUP($B5,[1]data!$C$2:$C$201,[1]data!AI$2:AI$201)*1000000)</f>
        <v>147742.18021860984</v>
      </c>
      <c r="AC5">
        <f>[4]data!AC5*1000000000/(_xlfn.XLOOKUP($B5,[1]data!$C$2:$C$201,[1]data!AJ$2:AJ$201)*1000000)</f>
        <v>150943.53313120306</v>
      </c>
    </row>
    <row r="6" spans="1:29" x14ac:dyDescent="0.25">
      <c r="A6" t="s">
        <v>232</v>
      </c>
      <c r="B6" t="s">
        <v>38</v>
      </c>
      <c r="C6" t="s">
        <v>233</v>
      </c>
      <c r="D6" t="s">
        <v>234</v>
      </c>
      <c r="E6">
        <f>[4]data!E6*1000000000/(_xlfn.XLOOKUP($B6,[1]data!$C$2:$C$201,[1]data!L$2:L$201)*1000000)</f>
        <v>18452.823520809663</v>
      </c>
      <c r="F6">
        <f>[4]data!F6*1000000000/(_xlfn.XLOOKUP($B6,[1]data!$C$2:$C$201,[1]data!M$2:M$201)*1000000)</f>
        <v>15341.206354512447</v>
      </c>
      <c r="G6">
        <f>[4]data!G6*1000000000/(_xlfn.XLOOKUP($B6,[1]data!$C$2:$C$201,[1]data!N$2:N$201)*1000000)</f>
        <v>14236.70432855684</v>
      </c>
      <c r="H6">
        <f>[4]data!H6*1000000000/(_xlfn.XLOOKUP($B6,[1]data!$C$2:$C$201,[1]data!O$2:O$201)*1000000)</f>
        <v>17412.923072244033</v>
      </c>
      <c r="I6">
        <f>[4]data!I6*1000000000/(_xlfn.XLOOKUP($B6,[1]data!$C$2:$C$201,[1]data!P$2:P$201)*1000000)</f>
        <v>15645.887586805553</v>
      </c>
      <c r="J6">
        <f>[4]data!J6*1000000000/(_xlfn.XLOOKUP($B6,[1]data!$C$2:$C$201,[1]data!Q$2:Q$201)*1000000)</f>
        <v>16326.38401411304</v>
      </c>
      <c r="K6">
        <f>[4]data!K6*1000000000/(_xlfn.XLOOKUP($B6,[1]data!$C$2:$C$201,[1]data!R$2:R$201)*1000000)</f>
        <v>19704.652982979049</v>
      </c>
      <c r="L6">
        <f>[4]data!L6*1000000000/(_xlfn.XLOOKUP($B6,[1]data!$C$2:$C$201,[1]data!S$2:S$201)*1000000)</f>
        <v>20143.469606993702</v>
      </c>
      <c r="M6">
        <f>[4]data!M6*1000000000/(_xlfn.XLOOKUP($B6,[1]data!$C$2:$C$201,[1]data!T$2:T$201)*1000000)</f>
        <v>16713.561711037797</v>
      </c>
      <c r="N6">
        <f>[4]data!N6*1000000000/(_xlfn.XLOOKUP($B6,[1]data!$C$2:$C$201,[1]data!U$2:U$201)*1000000)</f>
        <v>18714.706772827016</v>
      </c>
      <c r="O6">
        <f>[4]data!O6*1000000000/(_xlfn.XLOOKUP($B6,[1]data!$C$2:$C$201,[1]data!V$2:V$201)*1000000)</f>
        <v>20653.171295826724</v>
      </c>
      <c r="P6">
        <f>[4]data!P6*1000000000/(_xlfn.XLOOKUP($B6,[1]data!$C$2:$C$201,[1]data!W$2:W$201)*1000000)</f>
        <v>22464.974158067402</v>
      </c>
      <c r="Q6">
        <f>[4]data!Q6*1000000000/(_xlfn.XLOOKUP($B6,[1]data!$C$2:$C$201,[1]data!X$2:X$201)*1000000)</f>
        <v>24541.64217901514</v>
      </c>
      <c r="R6">
        <f>[4]data!R6*1000000000/(_xlfn.XLOOKUP($B6,[1]data!$C$2:$C$201,[1]data!Y$2:Y$201)*1000000)</f>
        <v>27006.367972916851</v>
      </c>
      <c r="S6">
        <f>[4]data!S6*1000000000/(_xlfn.XLOOKUP($B6,[1]data!$C$2:$C$201,[1]data!Z$2:Z$201)*1000000)</f>
        <v>29925.942467145622</v>
      </c>
      <c r="T6">
        <f>[4]data!T6*1000000000/(_xlfn.XLOOKUP($B6,[1]data!$C$2:$C$201,[1]data!AA$2:AA$201)*1000000)</f>
        <v>33309.271919150524</v>
      </c>
      <c r="U6">
        <f>[4]data!U6*1000000000/(_xlfn.XLOOKUP($B6,[1]data!$C$2:$C$201,[1]data!AB$2:AB$201)*1000000)</f>
        <v>37127.78422671817</v>
      </c>
      <c r="V6">
        <f>[4]data!V6*1000000000/(_xlfn.XLOOKUP($B6,[1]data!$C$2:$C$201,[1]data!AC$2:AC$201)*1000000)</f>
        <v>41398.651265747998</v>
      </c>
      <c r="W6">
        <f>[4]data!W6*1000000000/(_xlfn.XLOOKUP($B6,[1]data!$C$2:$C$201,[1]data!AD$2:AD$201)*1000000)</f>
        <v>46075.585297576945</v>
      </c>
      <c r="X6">
        <f>[4]data!X6*1000000000/(_xlfn.XLOOKUP($B6,[1]data!$C$2:$C$201,[1]data!AE$2:AE$201)*1000000)</f>
        <v>51096.15508847349</v>
      </c>
      <c r="Y6">
        <f>[4]data!Y6*1000000000/(_xlfn.XLOOKUP($B6,[1]data!$C$2:$C$201,[1]data!AF$2:AF$201)*1000000)</f>
        <v>56466.912219040394</v>
      </c>
      <c r="Z6">
        <f>[4]data!Z6*1000000000/(_xlfn.XLOOKUP($B6,[1]data!$C$2:$C$201,[1]data!AG$2:AG$201)*1000000)</f>
        <v>62230.801308106085</v>
      </c>
      <c r="AA6">
        <f>[4]data!AA6*1000000000/(_xlfn.XLOOKUP($B6,[1]data!$C$2:$C$201,[1]data!AH$2:AH$201)*1000000)</f>
        <v>68421.584982877306</v>
      </c>
      <c r="AB6">
        <f>[4]data!AB6*1000000000/(_xlfn.XLOOKUP($B6,[1]data!$C$2:$C$201,[1]data!AI$2:AI$201)*1000000)</f>
        <v>75035.311968649956</v>
      </c>
      <c r="AC6">
        <f>[4]data!AC6*1000000000/(_xlfn.XLOOKUP($B6,[1]data!$C$2:$C$201,[1]data!AJ$2:AJ$201)*1000000)</f>
        <v>82032.328017843509</v>
      </c>
    </row>
    <row r="7" spans="1:29" x14ac:dyDescent="0.25">
      <c r="A7" t="s">
        <v>232</v>
      </c>
      <c r="B7" t="s">
        <v>39</v>
      </c>
      <c r="C7" t="s">
        <v>233</v>
      </c>
      <c r="D7" t="s">
        <v>234</v>
      </c>
      <c r="E7" t="e">
        <f>[4]data!E7*1000000000/(_xlfn.XLOOKUP($B7,[1]data!$C$2:$C$201,[1]data!L$2:L$201)*1000000)</f>
        <v>#VALUE!</v>
      </c>
      <c r="F7" t="e">
        <f>[4]data!F7*1000000000/(_xlfn.XLOOKUP($B7,[1]data!$C$2:$C$201,[1]data!M$2:M$201)*1000000)</f>
        <v>#VALUE!</v>
      </c>
      <c r="G7">
        <f>[4]data!G7*1000000000/(_xlfn.XLOOKUP($B7,[1]data!$C$2:$C$201,[1]data!N$2:N$201)*1000000)</f>
        <v>5198.2495803059919</v>
      </c>
      <c r="H7">
        <f>[4]data!H7*1000000000/(_xlfn.XLOOKUP($B7,[1]data!$C$2:$C$201,[1]data!O$2:O$201)*1000000)</f>
        <v>2905.6685722581515</v>
      </c>
      <c r="I7">
        <f>[4]data!I7*1000000000/(_xlfn.XLOOKUP($B7,[1]data!$C$2:$C$201,[1]data!P$2:P$201)*1000000)</f>
        <v>3834.8435168767874</v>
      </c>
      <c r="J7">
        <f>[4]data!J7*1000000000/(_xlfn.XLOOKUP($B7,[1]data!$C$2:$C$201,[1]data!Q$2:Q$201)*1000000)</f>
        <v>7226.9486583941034</v>
      </c>
      <c r="K7">
        <f>[4]data!K7*1000000000/(_xlfn.XLOOKUP($B7,[1]data!$C$2:$C$201,[1]data!R$2:R$201)*1000000)</f>
        <v>9029.7495473012641</v>
      </c>
      <c r="L7">
        <f>[4]data!L7*1000000000/(_xlfn.XLOOKUP($B7,[1]data!$C$2:$C$201,[1]data!S$2:S$201)*1000000)</f>
        <v>11479.473877955937</v>
      </c>
      <c r="M7">
        <f>[4]data!M7*1000000000/(_xlfn.XLOOKUP($B7,[1]data!$C$2:$C$201,[1]data!T$2:T$201)*1000000)</f>
        <v>13339.264012652116</v>
      </c>
      <c r="N7">
        <f>[4]data!N7*1000000000/(_xlfn.XLOOKUP($B7,[1]data!$C$2:$C$201,[1]data!U$2:U$201)*1000000)</f>
        <v>18984.093329944466</v>
      </c>
      <c r="O7">
        <f>[4]data!O7*1000000000/(_xlfn.XLOOKUP($B7,[1]data!$C$2:$C$201,[1]data!V$2:V$201)*1000000)</f>
        <v>24086.692407904215</v>
      </c>
      <c r="P7">
        <f>[4]data!P7*1000000000/(_xlfn.XLOOKUP($B7,[1]data!$C$2:$C$201,[1]data!W$2:W$201)*1000000)</f>
        <v>29565.300579249077</v>
      </c>
      <c r="Q7">
        <f>[4]data!Q7*1000000000/(_xlfn.XLOOKUP($B7,[1]data!$C$2:$C$201,[1]data!X$2:X$201)*1000000)</f>
        <v>34700.705472436799</v>
      </c>
      <c r="R7">
        <f>[4]data!R7*1000000000/(_xlfn.XLOOKUP($B7,[1]data!$C$2:$C$201,[1]data!Y$2:Y$201)*1000000)</f>
        <v>39286.443607733745</v>
      </c>
      <c r="S7">
        <f>[4]data!S7*1000000000/(_xlfn.XLOOKUP($B7,[1]data!$C$2:$C$201,[1]data!Z$2:Z$201)*1000000)</f>
        <v>43483.195104352657</v>
      </c>
      <c r="T7">
        <f>[4]data!T7*1000000000/(_xlfn.XLOOKUP($B7,[1]data!$C$2:$C$201,[1]data!AA$2:AA$201)*1000000)</f>
        <v>47636.926297585727</v>
      </c>
      <c r="U7">
        <f>[4]data!U7*1000000000/(_xlfn.XLOOKUP($B7,[1]data!$C$2:$C$201,[1]data!AB$2:AB$201)*1000000)</f>
        <v>52100.568393975853</v>
      </c>
      <c r="V7">
        <f>[4]data!V7*1000000000/(_xlfn.XLOOKUP($B7,[1]data!$C$2:$C$201,[1]data!AC$2:AC$201)*1000000)</f>
        <v>56945.954828484522</v>
      </c>
      <c r="W7">
        <f>[4]data!W7*1000000000/(_xlfn.XLOOKUP($B7,[1]data!$C$2:$C$201,[1]data!AD$2:AD$201)*1000000)</f>
        <v>61735.620941633599</v>
      </c>
      <c r="X7">
        <f>[4]data!X7*1000000000/(_xlfn.XLOOKUP($B7,[1]data!$C$2:$C$201,[1]data!AE$2:AE$201)*1000000)</f>
        <v>66012.339516822773</v>
      </c>
      <c r="Y7">
        <f>[4]data!Y7*1000000000/(_xlfn.XLOOKUP($B7,[1]data!$C$2:$C$201,[1]data!AF$2:AF$201)*1000000)</f>
        <v>70160.945531031975</v>
      </c>
      <c r="Z7">
        <f>[4]data!Z7*1000000000/(_xlfn.XLOOKUP($B7,[1]data!$C$2:$C$201,[1]data!AG$2:AG$201)*1000000)</f>
        <v>74377.442108903386</v>
      </c>
      <c r="AA7">
        <f>[4]data!AA7*1000000000/(_xlfn.XLOOKUP($B7,[1]data!$C$2:$C$201,[1]data!AH$2:AH$201)*1000000)</f>
        <v>78793.375452325621</v>
      </c>
      <c r="AB7">
        <f>[4]data!AB7*1000000000/(_xlfn.XLOOKUP($B7,[1]data!$C$2:$C$201,[1]data!AI$2:AI$201)*1000000)</f>
        <v>83440.620613746738</v>
      </c>
      <c r="AC7">
        <f>[4]data!AC7*1000000000/(_xlfn.XLOOKUP($B7,[1]data!$C$2:$C$201,[1]data!AJ$2:AJ$201)*1000000)</f>
        <v>88327.570436832713</v>
      </c>
    </row>
    <row r="8" spans="1:29" x14ac:dyDescent="0.25">
      <c r="A8" t="s">
        <v>232</v>
      </c>
      <c r="B8" t="s">
        <v>40</v>
      </c>
      <c r="C8" t="s">
        <v>233</v>
      </c>
      <c r="D8" t="s">
        <v>234</v>
      </c>
      <c r="E8">
        <f>[4]data!E8*1000000000/(_xlfn.XLOOKUP($B8,[1]data!$C$2:$C$201,[1]data!L$2:L$201)*1000000)</f>
        <v>8487.8515637059681</v>
      </c>
      <c r="F8">
        <f>[4]data!F8*1000000000/(_xlfn.XLOOKUP($B8,[1]data!$C$2:$C$201,[1]data!M$2:M$201)*1000000)</f>
        <v>10932.20572900693</v>
      </c>
      <c r="G8">
        <f>[4]data!G8*1000000000/(_xlfn.XLOOKUP($B8,[1]data!$C$2:$C$201,[1]data!N$2:N$201)*1000000)</f>
        <v>15230.68076189876</v>
      </c>
      <c r="H8">
        <f>[4]data!H8*1000000000/(_xlfn.XLOOKUP($B8,[1]data!$C$2:$C$201,[1]data!O$2:O$201)*1000000)</f>
        <v>15848.766799586478</v>
      </c>
      <c r="I8">
        <f>[4]data!I8*1000000000/(_xlfn.XLOOKUP($B8,[1]data!$C$2:$C$201,[1]data!P$2:P$201)*1000000)</f>
        <v>18699.998656329361</v>
      </c>
      <c r="J8">
        <f>[4]data!J8*1000000000/(_xlfn.XLOOKUP($B8,[1]data!$C$2:$C$201,[1]data!Q$2:Q$201)*1000000)</f>
        <v>20198.160745779802</v>
      </c>
      <c r="K8">
        <f>[4]data!K8*1000000000/(_xlfn.XLOOKUP($B8,[1]data!$C$2:$C$201,[1]data!R$2:R$201)*1000000)</f>
        <v>18819.792632950928</v>
      </c>
      <c r="L8">
        <f>[4]data!L8*1000000000/(_xlfn.XLOOKUP($B8,[1]data!$C$2:$C$201,[1]data!S$2:S$201)*1000000)</f>
        <v>19418.271108878842</v>
      </c>
      <c r="M8">
        <f>[4]data!M8*1000000000/(_xlfn.XLOOKUP($B8,[1]data!$C$2:$C$201,[1]data!T$2:T$201)*1000000)</f>
        <v>18846.441136671179</v>
      </c>
      <c r="N8">
        <f>[4]data!N8*1000000000/(_xlfn.XLOOKUP($B8,[1]data!$C$2:$C$201,[1]data!U$2:U$201)*1000000)</f>
        <v>24441.604157063233</v>
      </c>
      <c r="O8">
        <f>[4]data!O8*1000000000/(_xlfn.XLOOKUP($B8,[1]data!$C$2:$C$201,[1]data!V$2:V$201)*1000000)</f>
        <v>27420.01569618706</v>
      </c>
      <c r="P8">
        <f>[4]data!P8*1000000000/(_xlfn.XLOOKUP($B8,[1]data!$C$2:$C$201,[1]data!W$2:W$201)*1000000)</f>
        <v>30843.775857084463</v>
      </c>
      <c r="Q8">
        <f>[4]data!Q8*1000000000/(_xlfn.XLOOKUP($B8,[1]data!$C$2:$C$201,[1]data!X$2:X$201)*1000000)</f>
        <v>34523.846877941971</v>
      </c>
      <c r="R8">
        <f>[4]data!R8*1000000000/(_xlfn.XLOOKUP($B8,[1]data!$C$2:$C$201,[1]data!Y$2:Y$201)*1000000)</f>
        <v>38671.484697094631</v>
      </c>
      <c r="S8">
        <f>[4]data!S8*1000000000/(_xlfn.XLOOKUP($B8,[1]data!$C$2:$C$201,[1]data!Z$2:Z$201)*1000000)</f>
        <v>43353.833696427537</v>
      </c>
      <c r="T8">
        <f>[4]data!T8*1000000000/(_xlfn.XLOOKUP($B8,[1]data!$C$2:$C$201,[1]data!AA$2:AA$201)*1000000)</f>
        <v>48681.364112721021</v>
      </c>
      <c r="U8">
        <f>[4]data!U8*1000000000/(_xlfn.XLOOKUP($B8,[1]data!$C$2:$C$201,[1]data!AB$2:AB$201)*1000000)</f>
        <v>54750.088893587163</v>
      </c>
      <c r="V8">
        <f>[4]data!V8*1000000000/(_xlfn.XLOOKUP($B8,[1]data!$C$2:$C$201,[1]data!AC$2:AC$201)*1000000)</f>
        <v>61703.021427470318</v>
      </c>
      <c r="W8">
        <f>[4]data!W8*1000000000/(_xlfn.XLOOKUP($B8,[1]data!$C$2:$C$201,[1]data!AD$2:AD$201)*1000000)</f>
        <v>69340.553946310421</v>
      </c>
      <c r="X8">
        <f>[4]data!X8*1000000000/(_xlfn.XLOOKUP($B8,[1]data!$C$2:$C$201,[1]data!AE$2:AE$201)*1000000)</f>
        <v>77691.330643191424</v>
      </c>
      <c r="Y8">
        <f>[4]data!Y8*1000000000/(_xlfn.XLOOKUP($B8,[1]data!$C$2:$C$201,[1]data!AF$2:AF$201)*1000000)</f>
        <v>86761.843536742163</v>
      </c>
      <c r="Z8">
        <f>[4]data!Z8*1000000000/(_xlfn.XLOOKUP($B8,[1]data!$C$2:$C$201,[1]data!AG$2:AG$201)*1000000)</f>
        <v>96642.506735292918</v>
      </c>
      <c r="AA8">
        <f>[4]data!AA8*1000000000/(_xlfn.XLOOKUP($B8,[1]data!$C$2:$C$201,[1]data!AH$2:AH$201)*1000000)</f>
        <v>107418.58031151882</v>
      </c>
      <c r="AB8">
        <f>[4]data!AB8*1000000000/(_xlfn.XLOOKUP($B8,[1]data!$C$2:$C$201,[1]data!AI$2:AI$201)*1000000)</f>
        <v>119089.81960388545</v>
      </c>
      <c r="AC8">
        <f>[4]data!AC8*1000000000/(_xlfn.XLOOKUP($B8,[1]data!$C$2:$C$201,[1]data!AJ$2:AJ$201)*1000000)</f>
        <v>131699.6150019466</v>
      </c>
    </row>
    <row r="9" spans="1:29" x14ac:dyDescent="0.25">
      <c r="A9" t="s">
        <v>232</v>
      </c>
      <c r="B9" t="s">
        <v>41</v>
      </c>
      <c r="C9" t="s">
        <v>233</v>
      </c>
      <c r="D9" t="s">
        <v>234</v>
      </c>
      <c r="E9">
        <f>[4]data!E9*1000000000/(_xlfn.XLOOKUP($B9,[1]data!$C$2:$C$201,[1]data!L$2:L$201)*1000000)</f>
        <v>26710.089868992949</v>
      </c>
      <c r="F9">
        <f>[4]data!F9*1000000000/(_xlfn.XLOOKUP($B9,[1]data!$C$2:$C$201,[1]data!M$2:M$201)*1000000)</f>
        <v>28864.542845346336</v>
      </c>
      <c r="G9">
        <f>[4]data!G9*1000000000/(_xlfn.XLOOKUP($B9,[1]data!$C$2:$C$201,[1]data!N$2:N$201)*1000000)</f>
        <v>31661.917978536803</v>
      </c>
      <c r="H9">
        <f>[4]data!H9*1000000000/(_xlfn.XLOOKUP($B9,[1]data!$C$2:$C$201,[1]data!O$2:O$201)*1000000)</f>
        <v>34233.094035828923</v>
      </c>
      <c r="I9">
        <f>[4]data!I9*1000000000/(_xlfn.XLOOKUP($B9,[1]data!$C$2:$C$201,[1]data!P$2:P$201)*1000000)</f>
        <v>38009.263243961526</v>
      </c>
      <c r="J9">
        <f>[4]data!J9*1000000000/(_xlfn.XLOOKUP($B9,[1]data!$C$2:$C$201,[1]data!Q$2:Q$201)*1000000)</f>
        <v>42318.388154168664</v>
      </c>
      <c r="K9">
        <f>[4]data!K9*1000000000/(_xlfn.XLOOKUP($B9,[1]data!$C$2:$C$201,[1]data!R$2:R$201)*1000000)</f>
        <v>44513.773984631443</v>
      </c>
      <c r="L9">
        <f>[4]data!L9*1000000000/(_xlfn.XLOOKUP($B9,[1]data!$C$2:$C$201,[1]data!S$2:S$201)*1000000)</f>
        <v>47022.520372914718</v>
      </c>
      <c r="M9">
        <f>[4]data!M9*1000000000/(_xlfn.XLOOKUP($B9,[1]data!$C$2:$C$201,[1]data!T$2:T$201)*1000000)</f>
        <v>47086.649825519962</v>
      </c>
      <c r="N9">
        <f>[4]data!N9*1000000000/(_xlfn.XLOOKUP($B9,[1]data!$C$2:$C$201,[1]data!U$2:U$201)*1000000)</f>
        <v>52072.674087161373</v>
      </c>
      <c r="O9">
        <f>[4]data!O9*1000000000/(_xlfn.XLOOKUP($B9,[1]data!$C$2:$C$201,[1]data!V$2:V$201)*1000000)</f>
        <v>57195.919497657007</v>
      </c>
      <c r="P9">
        <f>[4]data!P9*1000000000/(_xlfn.XLOOKUP($B9,[1]data!$C$2:$C$201,[1]data!W$2:W$201)*1000000)</f>
        <v>62633.805599132967</v>
      </c>
      <c r="Q9">
        <f>[4]data!Q9*1000000000/(_xlfn.XLOOKUP($B9,[1]data!$C$2:$C$201,[1]data!X$2:X$201)*1000000)</f>
        <v>68390.281265555255</v>
      </c>
      <c r="R9">
        <f>[4]data!R9*1000000000/(_xlfn.XLOOKUP($B9,[1]data!$C$2:$C$201,[1]data!Y$2:Y$201)*1000000)</f>
        <v>74440.561553752355</v>
      </c>
      <c r="S9">
        <f>[4]data!S9*1000000000/(_xlfn.XLOOKUP($B9,[1]data!$C$2:$C$201,[1]data!Z$2:Z$201)*1000000)</f>
        <v>80421.894932591167</v>
      </c>
      <c r="T9">
        <f>[4]data!T9*1000000000/(_xlfn.XLOOKUP($B9,[1]data!$C$2:$C$201,[1]data!AA$2:AA$201)*1000000)</f>
        <v>86359.88177088977</v>
      </c>
      <c r="U9">
        <f>[4]data!U9*1000000000/(_xlfn.XLOOKUP($B9,[1]data!$C$2:$C$201,[1]data!AB$2:AB$201)*1000000)</f>
        <v>92469.923245223632</v>
      </c>
      <c r="V9">
        <f>[4]data!V9*1000000000/(_xlfn.XLOOKUP($B9,[1]data!$C$2:$C$201,[1]data!AC$2:AC$201)*1000000)</f>
        <v>98878.307399614569</v>
      </c>
      <c r="W9">
        <f>[4]data!W9*1000000000/(_xlfn.XLOOKUP($B9,[1]data!$C$2:$C$201,[1]data!AD$2:AD$201)*1000000)</f>
        <v>105356.73038353588</v>
      </c>
      <c r="X9">
        <f>[4]data!X9*1000000000/(_xlfn.XLOOKUP($B9,[1]data!$C$2:$C$201,[1]data!AE$2:AE$201)*1000000)</f>
        <v>111796.19900264071</v>
      </c>
      <c r="Y9">
        <f>[4]data!Y9*1000000000/(_xlfn.XLOOKUP($B9,[1]data!$C$2:$C$201,[1]data!AF$2:AF$201)*1000000)</f>
        <v>118176.10513329791</v>
      </c>
      <c r="Z9">
        <f>[4]data!Z9*1000000000/(_xlfn.XLOOKUP($B9,[1]data!$C$2:$C$201,[1]data!AG$2:AG$201)*1000000)</f>
        <v>124558.41723637255</v>
      </c>
      <c r="AA9">
        <f>[4]data!AA9*1000000000/(_xlfn.XLOOKUP($B9,[1]data!$C$2:$C$201,[1]data!AH$2:AH$201)*1000000)</f>
        <v>130991.58559310103</v>
      </c>
      <c r="AB9">
        <f>[4]data!AB9*1000000000/(_xlfn.XLOOKUP($B9,[1]data!$C$2:$C$201,[1]data!AI$2:AI$201)*1000000)</f>
        <v>137452.82146698615</v>
      </c>
      <c r="AC9">
        <f>[4]data!AC9*1000000000/(_xlfn.XLOOKUP($B9,[1]data!$C$2:$C$201,[1]data!AJ$2:AJ$201)*1000000)</f>
        <v>143848.41972056052</v>
      </c>
    </row>
    <row r="10" spans="1:29" x14ac:dyDescent="0.25">
      <c r="A10" t="s">
        <v>232</v>
      </c>
      <c r="B10" t="s">
        <v>42</v>
      </c>
      <c r="C10" t="s">
        <v>233</v>
      </c>
      <c r="D10" t="s">
        <v>234</v>
      </c>
      <c r="E10">
        <f>[4]data!E10*1000000000/(_xlfn.XLOOKUP($B10,[1]data!$C$2:$C$201,[1]data!L$2:L$201)*1000000)</f>
        <v>30455.134206920302</v>
      </c>
      <c r="F10">
        <f>[4]data!F10*1000000000/(_xlfn.XLOOKUP($B10,[1]data!$C$2:$C$201,[1]data!M$2:M$201)*1000000)</f>
        <v>32688.181373032709</v>
      </c>
      <c r="G10">
        <f>[4]data!G10*1000000000/(_xlfn.XLOOKUP($B10,[1]data!$C$2:$C$201,[1]data!N$2:N$201)*1000000)</f>
        <v>37530.231982026467</v>
      </c>
      <c r="H10">
        <f>[4]data!H10*1000000000/(_xlfn.XLOOKUP($B10,[1]data!$C$2:$C$201,[1]data!O$2:O$201)*1000000)</f>
        <v>40322.305482877178</v>
      </c>
      <c r="I10">
        <f>[4]data!I10*1000000000/(_xlfn.XLOOKUP($B10,[1]data!$C$2:$C$201,[1]data!P$2:P$201)*1000000)</f>
        <v>43771.700659288857</v>
      </c>
      <c r="J10">
        <f>[4]data!J10*1000000000/(_xlfn.XLOOKUP($B10,[1]data!$C$2:$C$201,[1]data!Q$2:Q$201)*1000000)</f>
        <v>46603.316969525957</v>
      </c>
      <c r="K10">
        <f>[4]data!K10*1000000000/(_xlfn.XLOOKUP($B10,[1]data!$C$2:$C$201,[1]data!R$2:R$201)*1000000)</f>
        <v>48851.894676741969</v>
      </c>
      <c r="L10">
        <f>[4]data!L10*1000000000/(_xlfn.XLOOKUP($B10,[1]data!$C$2:$C$201,[1]data!S$2:S$201)*1000000)</f>
        <v>50206.363504732712</v>
      </c>
      <c r="M10">
        <f>[4]data!M10*1000000000/(_xlfn.XLOOKUP($B10,[1]data!$C$2:$C$201,[1]data!T$2:T$201)*1000000)</f>
        <v>48964.060621720972</v>
      </c>
      <c r="N10">
        <f>[4]data!N10*1000000000/(_xlfn.XLOOKUP($B10,[1]data!$C$2:$C$201,[1]data!U$2:U$201)*1000000)</f>
        <v>53626.409103171281</v>
      </c>
      <c r="O10">
        <f>[4]data!O10*1000000000/(_xlfn.XLOOKUP($B10,[1]data!$C$2:$C$201,[1]data!V$2:V$201)*1000000)</f>
        <v>58594.960172963263</v>
      </c>
      <c r="P10">
        <f>[4]data!P10*1000000000/(_xlfn.XLOOKUP($B10,[1]data!$C$2:$C$201,[1]data!W$2:W$201)*1000000)</f>
        <v>62279.323135780745</v>
      </c>
      <c r="Q10">
        <f>[4]data!Q10*1000000000/(_xlfn.XLOOKUP($B10,[1]data!$C$2:$C$201,[1]data!X$2:X$201)*1000000)</f>
        <v>65975.052260106793</v>
      </c>
      <c r="R10">
        <f>[4]data!R10*1000000000/(_xlfn.XLOOKUP($B10,[1]data!$C$2:$C$201,[1]data!Y$2:Y$201)*1000000)</f>
        <v>69642.072436648057</v>
      </c>
      <c r="S10">
        <f>[4]data!S10*1000000000/(_xlfn.XLOOKUP($B10,[1]data!$C$2:$C$201,[1]data!Z$2:Z$201)*1000000)</f>
        <v>73140.37666298401</v>
      </c>
      <c r="T10">
        <f>[4]data!T10*1000000000/(_xlfn.XLOOKUP($B10,[1]data!$C$2:$C$201,[1]data!AA$2:AA$201)*1000000)</f>
        <v>76687.60838378394</v>
      </c>
      <c r="U10">
        <f>[4]data!U10*1000000000/(_xlfn.XLOOKUP($B10,[1]data!$C$2:$C$201,[1]data!AB$2:AB$201)*1000000)</f>
        <v>80451.664747093266</v>
      </c>
      <c r="V10">
        <f>[4]data!V10*1000000000/(_xlfn.XLOOKUP($B10,[1]data!$C$2:$C$201,[1]data!AC$2:AC$201)*1000000)</f>
        <v>84487.609139371067</v>
      </c>
      <c r="W10">
        <f>[4]data!W10*1000000000/(_xlfn.XLOOKUP($B10,[1]data!$C$2:$C$201,[1]data!AD$2:AD$201)*1000000)</f>
        <v>88541.905830470612</v>
      </c>
      <c r="X10">
        <f>[4]data!X10*1000000000/(_xlfn.XLOOKUP($B10,[1]data!$C$2:$C$201,[1]data!AE$2:AE$201)*1000000)</f>
        <v>92541.948213798692</v>
      </c>
      <c r="Y10">
        <f>[4]data!Y10*1000000000/(_xlfn.XLOOKUP($B10,[1]data!$C$2:$C$201,[1]data!AF$2:AF$201)*1000000)</f>
        <v>96440.903042840742</v>
      </c>
      <c r="Z10">
        <f>[4]data!Z10*1000000000/(_xlfn.XLOOKUP($B10,[1]data!$C$2:$C$201,[1]data!AG$2:AG$201)*1000000)</f>
        <v>100245.68237204179</v>
      </c>
      <c r="AA10">
        <f>[4]data!AA10*1000000000/(_xlfn.XLOOKUP($B10,[1]data!$C$2:$C$201,[1]data!AH$2:AH$201)*1000000)</f>
        <v>103952.47336471657</v>
      </c>
      <c r="AB10">
        <f>[4]data!AB10*1000000000/(_xlfn.XLOOKUP($B10,[1]data!$C$2:$C$201,[1]data!AI$2:AI$201)*1000000)</f>
        <v>107560.21216430691</v>
      </c>
      <c r="AC10">
        <f>[4]data!AC10*1000000000/(_xlfn.XLOOKUP($B10,[1]data!$C$2:$C$201,[1]data!AJ$2:AJ$201)*1000000)</f>
        <v>111043.31902705043</v>
      </c>
    </row>
    <row r="11" spans="1:29" x14ac:dyDescent="0.25">
      <c r="A11" t="s">
        <v>232</v>
      </c>
      <c r="B11" t="s">
        <v>43</v>
      </c>
      <c r="C11" t="s">
        <v>233</v>
      </c>
      <c r="D11" t="s">
        <v>234</v>
      </c>
      <c r="E11" t="e">
        <f>[4]data!E11*1000000000/(_xlfn.XLOOKUP($B11,[1]data!$C$2:$C$201,[1]data!L$2:L$201)*1000000)</f>
        <v>#VALUE!</v>
      </c>
      <c r="F11" t="e">
        <f>[4]data!F11*1000000000/(_xlfn.XLOOKUP($B11,[1]data!$C$2:$C$201,[1]data!M$2:M$201)*1000000)</f>
        <v>#VALUE!</v>
      </c>
      <c r="G11">
        <f>[4]data!G11*1000000000/(_xlfn.XLOOKUP($B11,[1]data!$C$2:$C$201,[1]data!N$2:N$201)*1000000)</f>
        <v>7413.5934894061775</v>
      </c>
      <c r="H11">
        <f>[4]data!H11*1000000000/(_xlfn.XLOOKUP($B11,[1]data!$C$2:$C$201,[1]data!O$2:O$201)*1000000)</f>
        <v>3056.9373431887038</v>
      </c>
      <c r="I11">
        <f>[4]data!I11*1000000000/(_xlfn.XLOOKUP($B11,[1]data!$C$2:$C$201,[1]data!P$2:P$201)*1000000)</f>
        <v>4130.4218094640974</v>
      </c>
      <c r="J11">
        <f>[4]data!J11*1000000000/(_xlfn.XLOOKUP($B11,[1]data!$C$2:$C$201,[1]data!Q$2:Q$201)*1000000)</f>
        <v>6933.2371683088204</v>
      </c>
      <c r="K11">
        <f>[4]data!K11*1000000000/(_xlfn.XLOOKUP($B11,[1]data!$C$2:$C$201,[1]data!R$2:R$201)*1000000)</f>
        <v>13883.93883980244</v>
      </c>
      <c r="L11">
        <f>[4]data!L11*1000000000/(_xlfn.XLOOKUP($B11,[1]data!$C$2:$C$201,[1]data!S$2:S$201)*1000000)</f>
        <v>14618.850280783388</v>
      </c>
      <c r="M11">
        <f>[4]data!M11*1000000000/(_xlfn.XLOOKUP($B11,[1]data!$C$2:$C$201,[1]data!T$2:T$201)*1000000)</f>
        <v>13493.321232328488</v>
      </c>
      <c r="N11">
        <f>[4]data!N11*1000000000/(_xlfn.XLOOKUP($B11,[1]data!$C$2:$C$201,[1]data!U$2:U$201)*1000000)</f>
        <v>15724.337119921482</v>
      </c>
      <c r="O11">
        <f>[4]data!O11*1000000000/(_xlfn.XLOOKUP($B11,[1]data!$C$2:$C$201,[1]data!V$2:V$201)*1000000)</f>
        <v>17375.661434841735</v>
      </c>
      <c r="P11">
        <f>[4]data!P11*1000000000/(_xlfn.XLOOKUP($B11,[1]data!$C$2:$C$201,[1]data!W$2:W$201)*1000000)</f>
        <v>18859.987693889103</v>
      </c>
      <c r="Q11">
        <f>[4]data!Q11*1000000000/(_xlfn.XLOOKUP($B11,[1]data!$C$2:$C$201,[1]data!X$2:X$201)*1000000)</f>
        <v>20401.475440122918</v>
      </c>
      <c r="R11">
        <f>[4]data!R11*1000000000/(_xlfn.XLOOKUP($B11,[1]data!$C$2:$C$201,[1]data!Y$2:Y$201)*1000000)</f>
        <v>22316.195073389139</v>
      </c>
      <c r="S11">
        <f>[4]data!S11*1000000000/(_xlfn.XLOOKUP($B11,[1]data!$C$2:$C$201,[1]data!Z$2:Z$201)*1000000)</f>
        <v>24731.078594622792</v>
      </c>
      <c r="T11">
        <f>[4]data!T11*1000000000/(_xlfn.XLOOKUP($B11,[1]data!$C$2:$C$201,[1]data!AA$2:AA$201)*1000000)</f>
        <v>27554.300971379715</v>
      </c>
      <c r="U11">
        <f>[4]data!U11*1000000000/(_xlfn.XLOOKUP($B11,[1]data!$C$2:$C$201,[1]data!AB$2:AB$201)*1000000)</f>
        <v>30776.426100548411</v>
      </c>
      <c r="V11">
        <f>[4]data!V11*1000000000/(_xlfn.XLOOKUP($B11,[1]data!$C$2:$C$201,[1]data!AC$2:AC$201)*1000000)</f>
        <v>34383.340297683906</v>
      </c>
      <c r="W11">
        <f>[4]data!W11*1000000000/(_xlfn.XLOOKUP($B11,[1]data!$C$2:$C$201,[1]data!AD$2:AD$201)*1000000)</f>
        <v>38354.350032755465</v>
      </c>
      <c r="X11">
        <f>[4]data!X11*1000000000/(_xlfn.XLOOKUP($B11,[1]data!$C$2:$C$201,[1]data!AE$2:AE$201)*1000000)</f>
        <v>42701.135569507162</v>
      </c>
      <c r="Y11">
        <f>[4]data!Y11*1000000000/(_xlfn.XLOOKUP($B11,[1]data!$C$2:$C$201,[1]data!AF$2:AF$201)*1000000)</f>
        <v>47458.478878371396</v>
      </c>
      <c r="Z11">
        <f>[4]data!Z11*1000000000/(_xlfn.XLOOKUP($B11,[1]data!$C$2:$C$201,[1]data!AG$2:AG$201)*1000000)</f>
        <v>52662.220108900219</v>
      </c>
      <c r="AA11">
        <f>[4]data!AA11*1000000000/(_xlfn.XLOOKUP($B11,[1]data!$C$2:$C$201,[1]data!AH$2:AH$201)*1000000)</f>
        <v>58316.343714795505</v>
      </c>
      <c r="AB11">
        <f>[4]data!AB11*1000000000/(_xlfn.XLOOKUP($B11,[1]data!$C$2:$C$201,[1]data!AI$2:AI$201)*1000000)</f>
        <v>64347.724049429235</v>
      </c>
      <c r="AC11">
        <f>[4]data!AC11*1000000000/(_xlfn.XLOOKUP($B11,[1]data!$C$2:$C$201,[1]data!AJ$2:AJ$201)*1000000)</f>
        <v>70749.453608910233</v>
      </c>
    </row>
    <row r="12" spans="1:29" x14ac:dyDescent="0.25">
      <c r="A12" t="s">
        <v>232</v>
      </c>
      <c r="B12" t="s">
        <v>44</v>
      </c>
      <c r="C12" t="s">
        <v>233</v>
      </c>
      <c r="D12" t="s">
        <v>234</v>
      </c>
      <c r="E12">
        <f>[4]data!E12*1000000000/(_xlfn.XLOOKUP($B12,[1]data!$C$2:$C$201,[1]data!L$2:L$201)*1000000)</f>
        <v>892.41872312060309</v>
      </c>
      <c r="F12">
        <f>[4]data!F12*1000000000/(_xlfn.XLOOKUP($B12,[1]data!$C$2:$C$201,[1]data!M$2:M$201)*1000000)</f>
        <v>979.50251686269451</v>
      </c>
      <c r="G12">
        <f>[4]data!G12*1000000000/(_xlfn.XLOOKUP($B12,[1]data!$C$2:$C$201,[1]data!N$2:N$201)*1000000)</f>
        <v>1061.5410548500276</v>
      </c>
      <c r="H12">
        <f>[4]data!H12*1000000000/(_xlfn.XLOOKUP($B12,[1]data!$C$2:$C$201,[1]data!O$2:O$201)*1000000)</f>
        <v>866.70050685687704</v>
      </c>
      <c r="I12">
        <f>[4]data!I12*1000000000/(_xlfn.XLOOKUP($B12,[1]data!$C$2:$C$201,[1]data!P$2:P$201)*1000000)</f>
        <v>815.80871430070079</v>
      </c>
      <c r="J12">
        <f>[4]data!J12*1000000000/(_xlfn.XLOOKUP($B12,[1]data!$C$2:$C$201,[1]data!Q$2:Q$201)*1000000)</f>
        <v>810.48123072310273</v>
      </c>
      <c r="K12">
        <f>[4]data!K12*1000000000/(_xlfn.XLOOKUP($B12,[1]data!$C$2:$C$201,[1]data!R$2:R$201)*1000000)</f>
        <v>819.65574815891227</v>
      </c>
      <c r="L12">
        <f>[4]data!L12*1000000000/(_xlfn.XLOOKUP($B12,[1]data!$C$2:$C$201,[1]data!S$2:S$201)*1000000)</f>
        <v>785.89104154218614</v>
      </c>
      <c r="M12">
        <f>[4]data!M12*1000000000/(_xlfn.XLOOKUP($B12,[1]data!$C$2:$C$201,[1]data!T$2:T$201)*1000000)</f>
        <v>721.39918258786895</v>
      </c>
      <c r="N12">
        <f>[4]data!N12*1000000000/(_xlfn.XLOOKUP($B12,[1]data!$C$2:$C$201,[1]data!U$2:U$201)*1000000)</f>
        <v>774.5024302151819</v>
      </c>
      <c r="O12">
        <f>[4]data!O12*1000000000/(_xlfn.XLOOKUP($B12,[1]data!$C$2:$C$201,[1]data!V$2:V$201)*1000000)</f>
        <v>911.98047323828519</v>
      </c>
      <c r="P12">
        <f>[4]data!P12*1000000000/(_xlfn.XLOOKUP($B12,[1]data!$C$2:$C$201,[1]data!W$2:W$201)*1000000)</f>
        <v>1086.8576372993277</v>
      </c>
      <c r="Q12">
        <f>[4]data!Q12*1000000000/(_xlfn.XLOOKUP($B12,[1]data!$C$2:$C$201,[1]data!X$2:X$201)*1000000)</f>
        <v>1298.6491716596688</v>
      </c>
      <c r="R12">
        <f>[4]data!R12*1000000000/(_xlfn.XLOOKUP($B12,[1]data!$C$2:$C$201,[1]data!Y$2:Y$201)*1000000)</f>
        <v>1567.1106904041865</v>
      </c>
      <c r="S12">
        <f>[4]data!S12*1000000000/(_xlfn.XLOOKUP($B12,[1]data!$C$2:$C$201,[1]data!Z$2:Z$201)*1000000)</f>
        <v>1912.797162764434</v>
      </c>
      <c r="T12">
        <f>[4]data!T12*1000000000/(_xlfn.XLOOKUP($B12,[1]data!$C$2:$C$201,[1]data!AA$2:AA$201)*1000000)</f>
        <v>2361.2655118544799</v>
      </c>
      <c r="U12">
        <f>[4]data!U12*1000000000/(_xlfn.XLOOKUP($B12,[1]data!$C$2:$C$201,[1]data!AB$2:AB$201)*1000000)</f>
        <v>2937.6633774576062</v>
      </c>
      <c r="V12">
        <f>[4]data!V12*1000000000/(_xlfn.XLOOKUP($B12,[1]data!$C$2:$C$201,[1]data!AC$2:AC$201)*1000000)</f>
        <v>3659.7581600335543</v>
      </c>
      <c r="W12">
        <f>[4]data!W12*1000000000/(_xlfn.XLOOKUP($B12,[1]data!$C$2:$C$201,[1]data!AD$2:AD$201)*1000000)</f>
        <v>4539.7213418756464</v>
      </c>
      <c r="X12">
        <f>[4]data!X12*1000000000/(_xlfn.XLOOKUP($B12,[1]data!$C$2:$C$201,[1]data!AE$2:AE$201)*1000000)</f>
        <v>5606.3988688005156</v>
      </c>
      <c r="Y12">
        <f>[4]data!Y12*1000000000/(_xlfn.XLOOKUP($B12,[1]data!$C$2:$C$201,[1]data!AF$2:AF$201)*1000000)</f>
        <v>6891.2346180438981</v>
      </c>
      <c r="Z12">
        <f>[4]data!Z12*1000000000/(_xlfn.XLOOKUP($B12,[1]data!$C$2:$C$201,[1]data!AG$2:AG$201)*1000000)</f>
        <v>8427.0031254055466</v>
      </c>
      <c r="AA12">
        <f>[4]data!AA12*1000000000/(_xlfn.XLOOKUP($B12,[1]data!$C$2:$C$201,[1]data!AH$2:AH$201)*1000000)</f>
        <v>10240.14693063003</v>
      </c>
      <c r="AB12">
        <f>[4]data!AB12*1000000000/(_xlfn.XLOOKUP($B12,[1]data!$C$2:$C$201,[1]data!AI$2:AI$201)*1000000)</f>
        <v>12360.16058008549</v>
      </c>
      <c r="AC12">
        <f>[4]data!AC12*1000000000/(_xlfn.XLOOKUP($B12,[1]data!$C$2:$C$201,[1]data!AJ$2:AJ$201)*1000000)</f>
        <v>14819.244713262644</v>
      </c>
    </row>
    <row r="13" spans="1:29" x14ac:dyDescent="0.25">
      <c r="A13" t="s">
        <v>232</v>
      </c>
      <c r="B13" t="s">
        <v>45</v>
      </c>
      <c r="C13" t="s">
        <v>233</v>
      </c>
      <c r="D13" t="s">
        <v>234</v>
      </c>
      <c r="E13">
        <f>[4]data!E13*1000000000/(_xlfn.XLOOKUP($B13,[1]data!$C$2:$C$201,[1]data!L$2:L$201)*1000000)</f>
        <v>29530.154467616248</v>
      </c>
      <c r="F13">
        <f>[4]data!F13*1000000000/(_xlfn.XLOOKUP($B13,[1]data!$C$2:$C$201,[1]data!M$2:M$201)*1000000)</f>
        <v>30776.764510133722</v>
      </c>
      <c r="G13">
        <f>[4]data!G13*1000000000/(_xlfn.XLOOKUP($B13,[1]data!$C$2:$C$201,[1]data!N$2:N$201)*1000000)</f>
        <v>35581.038700792567</v>
      </c>
      <c r="H13">
        <f>[4]data!H13*1000000000/(_xlfn.XLOOKUP($B13,[1]data!$C$2:$C$201,[1]data!O$2:O$201)*1000000)</f>
        <v>37988.98251961881</v>
      </c>
      <c r="I13">
        <f>[4]data!I13*1000000000/(_xlfn.XLOOKUP($B13,[1]data!$C$2:$C$201,[1]data!P$2:P$201)*1000000)</f>
        <v>40226.350224663198</v>
      </c>
      <c r="J13">
        <f>[4]data!J13*1000000000/(_xlfn.XLOOKUP($B13,[1]data!$C$2:$C$201,[1]data!Q$2:Q$201)*1000000)</f>
        <v>43262.75717654809</v>
      </c>
      <c r="K13">
        <f>[4]data!K13*1000000000/(_xlfn.XLOOKUP($B13,[1]data!$C$2:$C$201,[1]data!R$2:R$201)*1000000)</f>
        <v>45047.468717919772</v>
      </c>
      <c r="L13">
        <f>[4]data!L13*1000000000/(_xlfn.XLOOKUP($B13,[1]data!$C$2:$C$201,[1]data!S$2:S$201)*1000000)</f>
        <v>46445.406009637816</v>
      </c>
      <c r="M13">
        <f>[4]data!M13*1000000000/(_xlfn.XLOOKUP($B13,[1]data!$C$2:$C$201,[1]data!T$2:T$201)*1000000)</f>
        <v>45791.754287006544</v>
      </c>
      <c r="N13">
        <f>[4]data!N13*1000000000/(_xlfn.XLOOKUP($B13,[1]data!$C$2:$C$201,[1]data!U$2:U$201)*1000000)</f>
        <v>51817.063365072281</v>
      </c>
      <c r="O13">
        <f>[4]data!O13*1000000000/(_xlfn.XLOOKUP($B13,[1]data!$C$2:$C$201,[1]data!V$2:V$201)*1000000)</f>
        <v>55612.656563216908</v>
      </c>
      <c r="P13">
        <f>[4]data!P13*1000000000/(_xlfn.XLOOKUP($B13,[1]data!$C$2:$C$201,[1]data!W$2:W$201)*1000000)</f>
        <v>58763.315074542305</v>
      </c>
      <c r="Q13">
        <f>[4]data!Q13*1000000000/(_xlfn.XLOOKUP($B13,[1]data!$C$2:$C$201,[1]data!X$2:X$201)*1000000)</f>
        <v>61505.586778655692</v>
      </c>
      <c r="R13">
        <f>[4]data!R13*1000000000/(_xlfn.XLOOKUP($B13,[1]data!$C$2:$C$201,[1]data!Y$2:Y$201)*1000000)</f>
        <v>63986.0060532649</v>
      </c>
      <c r="S13">
        <f>[4]data!S13*1000000000/(_xlfn.XLOOKUP($B13,[1]data!$C$2:$C$201,[1]data!Z$2:Z$201)*1000000)</f>
        <v>66374.028836863072</v>
      </c>
      <c r="T13">
        <f>[4]data!T13*1000000000/(_xlfn.XLOOKUP($B13,[1]data!$C$2:$C$201,[1]data!AA$2:AA$201)*1000000)</f>
        <v>68950.340866045168</v>
      </c>
      <c r="U13">
        <f>[4]data!U13*1000000000/(_xlfn.XLOOKUP($B13,[1]data!$C$2:$C$201,[1]data!AB$2:AB$201)*1000000)</f>
        <v>71843.089204629025</v>
      </c>
      <c r="V13">
        <f>[4]data!V13*1000000000/(_xlfn.XLOOKUP($B13,[1]data!$C$2:$C$201,[1]data!AC$2:AC$201)*1000000)</f>
        <v>74992.050100989713</v>
      </c>
      <c r="W13">
        <f>[4]data!W13*1000000000/(_xlfn.XLOOKUP($B13,[1]data!$C$2:$C$201,[1]data!AD$2:AD$201)*1000000)</f>
        <v>78076.153165201875</v>
      </c>
      <c r="X13">
        <f>[4]data!X13*1000000000/(_xlfn.XLOOKUP($B13,[1]data!$C$2:$C$201,[1]data!AE$2:AE$201)*1000000)</f>
        <v>81033.441742997995</v>
      </c>
      <c r="Y13">
        <f>[4]data!Y13*1000000000/(_xlfn.XLOOKUP($B13,[1]data!$C$2:$C$201,[1]data!AF$2:AF$201)*1000000)</f>
        <v>83910.485873405036</v>
      </c>
      <c r="Z13">
        <f>[4]data!Z13*1000000000/(_xlfn.XLOOKUP($B13,[1]data!$C$2:$C$201,[1]data!AG$2:AG$201)*1000000)</f>
        <v>86791.050286099868</v>
      </c>
      <c r="AA13">
        <f>[4]data!AA13*1000000000/(_xlfn.XLOOKUP($B13,[1]data!$C$2:$C$201,[1]data!AH$2:AH$201)*1000000)</f>
        <v>89716.078930435615</v>
      </c>
      <c r="AB13">
        <f>[4]data!AB13*1000000000/(_xlfn.XLOOKUP($B13,[1]data!$C$2:$C$201,[1]data!AI$2:AI$201)*1000000)</f>
        <v>92645.895549006804</v>
      </c>
      <c r="AC13">
        <f>[4]data!AC13*1000000000/(_xlfn.XLOOKUP($B13,[1]data!$C$2:$C$201,[1]data!AJ$2:AJ$201)*1000000)</f>
        <v>95495.653127084268</v>
      </c>
    </row>
    <row r="14" spans="1:29" x14ac:dyDescent="0.25">
      <c r="A14" t="s">
        <v>232</v>
      </c>
      <c r="B14" t="s">
        <v>46</v>
      </c>
      <c r="C14" t="s">
        <v>233</v>
      </c>
      <c r="D14" t="s">
        <v>234</v>
      </c>
      <c r="E14">
        <f>[4]data!E14*1000000000/(_xlfn.XLOOKUP($B14,[1]data!$C$2:$C$201,[1]data!L$2:L$201)*1000000)</f>
        <v>2466.1389296202224</v>
      </c>
      <c r="F14">
        <f>[4]data!F14*1000000000/(_xlfn.XLOOKUP($B14,[1]data!$C$2:$C$201,[1]data!M$2:M$201)*1000000)</f>
        <v>2278.2173577699959</v>
      </c>
      <c r="G14">
        <f>[4]data!G14*1000000000/(_xlfn.XLOOKUP($B14,[1]data!$C$2:$C$201,[1]data!N$2:N$201)*1000000)</f>
        <v>2162.4792160609777</v>
      </c>
      <c r="H14">
        <f>[4]data!H14*1000000000/(_xlfn.XLOOKUP($B14,[1]data!$C$2:$C$201,[1]data!O$2:O$201)*1000000)</f>
        <v>2247.6360688081568</v>
      </c>
      <c r="I14">
        <f>[4]data!I14*1000000000/(_xlfn.XLOOKUP($B14,[1]data!$C$2:$C$201,[1]data!P$2:P$201)*1000000)</f>
        <v>2468.6974966702551</v>
      </c>
      <c r="J14">
        <f>[4]data!J14*1000000000/(_xlfn.XLOOKUP($B14,[1]data!$C$2:$C$201,[1]data!Q$2:Q$201)*1000000)</f>
        <v>2571.4629406958293</v>
      </c>
      <c r="K14">
        <f>[4]data!K14*1000000000/(_xlfn.XLOOKUP($B14,[1]data!$C$2:$C$201,[1]data!R$2:R$201)*1000000)</f>
        <v>2673.2750391221593</v>
      </c>
      <c r="L14">
        <f>[4]data!L14*1000000000/(_xlfn.XLOOKUP($B14,[1]data!$C$2:$C$201,[1]data!S$2:S$201)*1000000)</f>
        <v>2892.4426390480126</v>
      </c>
      <c r="M14">
        <f>[4]data!M14*1000000000/(_xlfn.XLOOKUP($B14,[1]data!$C$2:$C$201,[1]data!T$2:T$201)*1000000)</f>
        <v>3231.5372754981181</v>
      </c>
      <c r="N14">
        <f>[4]data!N14*1000000000/(_xlfn.XLOOKUP($B14,[1]data!$C$2:$C$201,[1]data!U$2:U$201)*1000000)</f>
        <v>3816.6689328587722</v>
      </c>
      <c r="O14">
        <f>[4]data!O14*1000000000/(_xlfn.XLOOKUP($B14,[1]data!$C$2:$C$201,[1]data!V$2:V$201)*1000000)</f>
        <v>4561.5121642836484</v>
      </c>
      <c r="P14">
        <f>[4]data!P14*1000000000/(_xlfn.XLOOKUP($B14,[1]data!$C$2:$C$201,[1]data!W$2:W$201)*1000000)</f>
        <v>5562.9098351849188</v>
      </c>
      <c r="Q14">
        <f>[4]data!Q14*1000000000/(_xlfn.XLOOKUP($B14,[1]data!$C$2:$C$201,[1]data!X$2:X$201)*1000000)</f>
        <v>6634.1959864119199</v>
      </c>
      <c r="R14">
        <f>[4]data!R14*1000000000/(_xlfn.XLOOKUP($B14,[1]data!$C$2:$C$201,[1]data!Y$2:Y$201)*1000000)</f>
        <v>7839.2655982298165</v>
      </c>
      <c r="S14">
        <f>[4]data!S14*1000000000/(_xlfn.XLOOKUP($B14,[1]data!$C$2:$C$201,[1]data!Z$2:Z$201)*1000000)</f>
        <v>9232.6406583384505</v>
      </c>
      <c r="T14">
        <f>[4]data!T14*1000000000/(_xlfn.XLOOKUP($B14,[1]data!$C$2:$C$201,[1]data!AA$2:AA$201)*1000000)</f>
        <v>10878.90063645316</v>
      </c>
      <c r="U14">
        <f>[4]data!U14*1000000000/(_xlfn.XLOOKUP($B14,[1]data!$C$2:$C$201,[1]data!AB$2:AB$201)*1000000)</f>
        <v>12843.699552830312</v>
      </c>
      <c r="V14">
        <f>[4]data!V14*1000000000/(_xlfn.XLOOKUP($B14,[1]data!$C$2:$C$201,[1]data!AC$2:AC$201)*1000000)</f>
        <v>15151.31544664066</v>
      </c>
      <c r="W14">
        <f>[4]data!W14*1000000000/(_xlfn.XLOOKUP($B14,[1]data!$C$2:$C$201,[1]data!AD$2:AD$201)*1000000)</f>
        <v>17839.41844367771</v>
      </c>
      <c r="X14">
        <f>[4]data!X14*1000000000/(_xlfn.XLOOKUP($B14,[1]data!$C$2:$C$201,[1]data!AE$2:AE$201)*1000000)</f>
        <v>20930.135436752855</v>
      </c>
      <c r="Y14">
        <f>[4]data!Y14*1000000000/(_xlfn.XLOOKUP($B14,[1]data!$C$2:$C$201,[1]data!AF$2:AF$201)*1000000)</f>
        <v>24494.156145733185</v>
      </c>
      <c r="Z14">
        <f>[4]data!Z14*1000000000/(_xlfn.XLOOKUP($B14,[1]data!$C$2:$C$201,[1]data!AG$2:AG$201)*1000000)</f>
        <v>28548.713570408727</v>
      </c>
      <c r="AA14">
        <f>[4]data!AA14*1000000000/(_xlfn.XLOOKUP($B14,[1]data!$C$2:$C$201,[1]data!AH$2:AH$201)*1000000)</f>
        <v>33183.804752422686</v>
      </c>
      <c r="AB14">
        <f>[4]data!AB14*1000000000/(_xlfn.XLOOKUP($B14,[1]data!$C$2:$C$201,[1]data!AI$2:AI$201)*1000000)</f>
        <v>38384.164323825527</v>
      </c>
      <c r="AC14">
        <f>[4]data!AC14*1000000000/(_xlfn.XLOOKUP($B14,[1]data!$C$2:$C$201,[1]data!AJ$2:AJ$201)*1000000)</f>
        <v>44161.33770157805</v>
      </c>
    </row>
    <row r="15" spans="1:29" x14ac:dyDescent="0.25">
      <c r="A15" t="s">
        <v>232</v>
      </c>
      <c r="B15" t="s">
        <v>47</v>
      </c>
      <c r="C15" t="s">
        <v>233</v>
      </c>
      <c r="D15" t="s">
        <v>234</v>
      </c>
      <c r="E15">
        <f>[4]data!E15*1000000000/(_xlfn.XLOOKUP($B15,[1]data!$C$2:$C$201,[1]data!L$2:L$201)*1000000)</f>
        <v>980.01265449442928</v>
      </c>
      <c r="F15">
        <f>[4]data!F15*1000000000/(_xlfn.XLOOKUP($B15,[1]data!$C$2:$C$201,[1]data!M$2:M$201)*1000000)</f>
        <v>991.16697797930908</v>
      </c>
      <c r="G15">
        <f>[4]data!G15*1000000000/(_xlfn.XLOOKUP($B15,[1]data!$C$2:$C$201,[1]data!N$2:N$201)*1000000)</f>
        <v>1000.6457146198823</v>
      </c>
      <c r="H15">
        <f>[4]data!H15*1000000000/(_xlfn.XLOOKUP($B15,[1]data!$C$2:$C$201,[1]data!O$2:O$201)*1000000)</f>
        <v>1068.887700844512</v>
      </c>
      <c r="I15">
        <f>[4]data!I15*1000000000/(_xlfn.XLOOKUP($B15,[1]data!$C$2:$C$201,[1]data!P$2:P$201)*1000000)</f>
        <v>1292.8753987713706</v>
      </c>
      <c r="J15">
        <f>[4]data!J15*1000000000/(_xlfn.XLOOKUP($B15,[1]data!$C$2:$C$201,[1]data!Q$2:Q$201)*1000000)</f>
        <v>1508.4445438237458</v>
      </c>
      <c r="K15">
        <f>[4]data!K15*1000000000/(_xlfn.XLOOKUP($B15,[1]data!$C$2:$C$201,[1]data!R$2:R$201)*1000000)</f>
        <v>1695.4509448758356</v>
      </c>
      <c r="L15">
        <f>[4]data!L15*1000000000/(_xlfn.XLOOKUP($B15,[1]data!$C$2:$C$201,[1]data!S$2:S$201)*1000000)</f>
        <v>1900.5244297485958</v>
      </c>
      <c r="M15">
        <f>[4]data!M15*1000000000/(_xlfn.XLOOKUP($B15,[1]data!$C$2:$C$201,[1]data!T$2:T$201)*1000000)</f>
        <v>2133.4841128133198</v>
      </c>
      <c r="N15">
        <f>[4]data!N15*1000000000/(_xlfn.XLOOKUP($B15,[1]data!$C$2:$C$201,[1]data!U$2:U$201)*1000000)</f>
        <v>2391.7714312171111</v>
      </c>
      <c r="O15">
        <f>[4]data!O15*1000000000/(_xlfn.XLOOKUP($B15,[1]data!$C$2:$C$201,[1]data!V$2:V$201)*1000000)</f>
        <v>2820.134704819518</v>
      </c>
      <c r="P15">
        <f>[4]data!P15*1000000000/(_xlfn.XLOOKUP($B15,[1]data!$C$2:$C$201,[1]data!W$2:W$201)*1000000)</f>
        <v>3484.6537717517067</v>
      </c>
      <c r="Q15">
        <f>[4]data!Q15*1000000000/(_xlfn.XLOOKUP($B15,[1]data!$C$2:$C$201,[1]data!X$2:X$201)*1000000)</f>
        <v>4214.9937799942318</v>
      </c>
      <c r="R15">
        <f>[4]data!R15*1000000000/(_xlfn.XLOOKUP($B15,[1]data!$C$2:$C$201,[1]data!Y$2:Y$201)*1000000)</f>
        <v>5080.129571697692</v>
      </c>
      <c r="S15">
        <f>[4]data!S15*1000000000/(_xlfn.XLOOKUP($B15,[1]data!$C$2:$C$201,[1]data!Z$2:Z$201)*1000000)</f>
        <v>6125.6955021351168</v>
      </c>
      <c r="T15">
        <f>[4]data!T15*1000000000/(_xlfn.XLOOKUP($B15,[1]data!$C$2:$C$201,[1]data!AA$2:AA$201)*1000000)</f>
        <v>7407.8096106742205</v>
      </c>
      <c r="U15">
        <f>[4]data!U15*1000000000/(_xlfn.XLOOKUP($B15,[1]data!$C$2:$C$201,[1]data!AB$2:AB$201)*1000000)</f>
        <v>8957.9868932763984</v>
      </c>
      <c r="V15">
        <f>[4]data!V15*1000000000/(_xlfn.XLOOKUP($B15,[1]data!$C$2:$C$201,[1]data!AC$2:AC$201)*1000000)</f>
        <v>10802.770651380049</v>
      </c>
      <c r="W15">
        <f>[4]data!W15*1000000000/(_xlfn.XLOOKUP($B15,[1]data!$C$2:$C$201,[1]data!AD$2:AD$201)*1000000)</f>
        <v>12926.125744296303</v>
      </c>
      <c r="X15">
        <f>[4]data!X15*1000000000/(_xlfn.XLOOKUP($B15,[1]data!$C$2:$C$201,[1]data!AE$2:AE$201)*1000000)</f>
        <v>15372.446759144608</v>
      </c>
      <c r="Y15">
        <f>[4]data!Y15*1000000000/(_xlfn.XLOOKUP($B15,[1]data!$C$2:$C$201,[1]data!AF$2:AF$201)*1000000)</f>
        <v>18171.180375637497</v>
      </c>
      <c r="Z15">
        <f>[4]data!Z15*1000000000/(_xlfn.XLOOKUP($B15,[1]data!$C$2:$C$201,[1]data!AG$2:AG$201)*1000000)</f>
        <v>21379.143471067058</v>
      </c>
      <c r="AA15">
        <f>[4]data!AA15*1000000000/(_xlfn.XLOOKUP($B15,[1]data!$C$2:$C$201,[1]data!AH$2:AH$201)*1000000)</f>
        <v>25053.721895438972</v>
      </c>
      <c r="AB15">
        <f>[4]data!AB15*1000000000/(_xlfn.XLOOKUP($B15,[1]data!$C$2:$C$201,[1]data!AI$2:AI$201)*1000000)</f>
        <v>29212.040784544653</v>
      </c>
      <c r="AC15">
        <f>[4]data!AC15*1000000000/(_xlfn.XLOOKUP($B15,[1]data!$C$2:$C$201,[1]data!AJ$2:AJ$201)*1000000)</f>
        <v>33836.061167617954</v>
      </c>
    </row>
    <row r="16" spans="1:29" x14ac:dyDescent="0.25">
      <c r="A16" t="s">
        <v>232</v>
      </c>
      <c r="B16" t="s">
        <v>48</v>
      </c>
      <c r="C16" t="s">
        <v>233</v>
      </c>
      <c r="D16" t="s">
        <v>234</v>
      </c>
      <c r="E16">
        <f>[4]data!E16*1000000000/(_xlfn.XLOOKUP($B16,[1]data!$C$2:$C$201,[1]data!L$2:L$201)*1000000)</f>
        <v>1666.6962092462177</v>
      </c>
      <c r="F16">
        <f>[4]data!F16*1000000000/(_xlfn.XLOOKUP($B16,[1]data!$C$2:$C$201,[1]data!M$2:M$201)*1000000)</f>
        <v>1749.2738751660452</v>
      </c>
      <c r="G16">
        <f>[4]data!G16*1000000000/(_xlfn.XLOOKUP($B16,[1]data!$C$2:$C$201,[1]data!N$2:N$201)*1000000)</f>
        <v>1878.0758150600361</v>
      </c>
      <c r="H16">
        <f>[4]data!H16*1000000000/(_xlfn.XLOOKUP($B16,[1]data!$C$2:$C$201,[1]data!O$2:O$201)*1000000)</f>
        <v>2113.9577341564332</v>
      </c>
      <c r="I16">
        <f>[4]data!I16*1000000000/(_xlfn.XLOOKUP($B16,[1]data!$C$2:$C$201,[1]data!P$2:P$201)*1000000)</f>
        <v>2443.7007972982719</v>
      </c>
      <c r="J16">
        <f>[4]data!J16*1000000000/(_xlfn.XLOOKUP($B16,[1]data!$C$2:$C$201,[1]data!Q$2:Q$201)*1000000)</f>
        <v>2863.6360699679499</v>
      </c>
      <c r="K16">
        <f>[4]data!K16*1000000000/(_xlfn.XLOOKUP($B16,[1]data!$C$2:$C$201,[1]data!R$2:R$201)*1000000)</f>
        <v>3647.6093058451215</v>
      </c>
      <c r="L16">
        <f>[4]data!L16*1000000000/(_xlfn.XLOOKUP($B16,[1]data!$C$2:$C$201,[1]data!S$2:S$201)*1000000)</f>
        <v>4658.2024187617344</v>
      </c>
      <c r="M16">
        <f>[4]data!M16*1000000000/(_xlfn.XLOOKUP($B16,[1]data!$C$2:$C$201,[1]data!T$2:T$201)*1000000)</f>
        <v>6005.8467319162182</v>
      </c>
      <c r="N16">
        <f>[4]data!N16*1000000000/(_xlfn.XLOOKUP($B16,[1]data!$C$2:$C$201,[1]data!U$2:U$201)*1000000)</f>
        <v>7813.5681611277505</v>
      </c>
      <c r="O16">
        <f>[4]data!O16*1000000000/(_xlfn.XLOOKUP($B16,[1]data!$C$2:$C$201,[1]data!V$2:V$201)*1000000)</f>
        <v>10504.35674606459</v>
      </c>
      <c r="P16">
        <f>[4]data!P16*1000000000/(_xlfn.XLOOKUP($B16,[1]data!$C$2:$C$201,[1]data!W$2:W$201)*1000000)</f>
        <v>13526.083683652976</v>
      </c>
      <c r="Q16">
        <f>[4]data!Q16*1000000000/(_xlfn.XLOOKUP($B16,[1]data!$C$2:$C$201,[1]data!X$2:X$201)*1000000)</f>
        <v>16594.328524946577</v>
      </c>
      <c r="R16">
        <f>[4]data!R16*1000000000/(_xlfn.XLOOKUP($B16,[1]data!$C$2:$C$201,[1]data!Y$2:Y$201)*1000000)</f>
        <v>19835.432744181373</v>
      </c>
      <c r="S16">
        <f>[4]data!S16*1000000000/(_xlfn.XLOOKUP($B16,[1]data!$C$2:$C$201,[1]data!Z$2:Z$201)*1000000)</f>
        <v>23306.454813483506</v>
      </c>
      <c r="T16">
        <f>[4]data!T16*1000000000/(_xlfn.XLOOKUP($B16,[1]data!$C$2:$C$201,[1]data!AA$2:AA$201)*1000000)</f>
        <v>27037.489983199739</v>
      </c>
      <c r="U16">
        <f>[4]data!U16*1000000000/(_xlfn.XLOOKUP($B16,[1]data!$C$2:$C$201,[1]data!AB$2:AB$201)*1000000)</f>
        <v>31103.557043131514</v>
      </c>
      <c r="V16">
        <f>[4]data!V16*1000000000/(_xlfn.XLOOKUP($B16,[1]data!$C$2:$C$201,[1]data!AC$2:AC$201)*1000000)</f>
        <v>35580.651685693534</v>
      </c>
      <c r="W16">
        <f>[4]data!W16*1000000000/(_xlfn.XLOOKUP($B16,[1]data!$C$2:$C$201,[1]data!AD$2:AD$201)*1000000)</f>
        <v>40318.680036653968</v>
      </c>
      <c r="X16">
        <f>[4]data!X16*1000000000/(_xlfn.XLOOKUP($B16,[1]data!$C$2:$C$201,[1]data!AE$2:AE$201)*1000000)</f>
        <v>45340.065619105866</v>
      </c>
      <c r="Y16">
        <f>[4]data!Y16*1000000000/(_xlfn.XLOOKUP($B16,[1]data!$C$2:$C$201,[1]data!AF$2:AF$201)*1000000)</f>
        <v>50486.137401895168</v>
      </c>
      <c r="Z16">
        <f>[4]data!Z16*1000000000/(_xlfn.XLOOKUP($B16,[1]data!$C$2:$C$201,[1]data!AG$2:AG$201)*1000000)</f>
        <v>55704.703279263013</v>
      </c>
      <c r="AA16">
        <f>[4]data!AA16*1000000000/(_xlfn.XLOOKUP($B16,[1]data!$C$2:$C$201,[1]data!AH$2:AH$201)*1000000)</f>
        <v>61064.786714149785</v>
      </c>
      <c r="AB16">
        <f>[4]data!AB16*1000000000/(_xlfn.XLOOKUP($B16,[1]data!$C$2:$C$201,[1]data!AI$2:AI$201)*1000000)</f>
        <v>66636.154664058675</v>
      </c>
      <c r="AC16">
        <f>[4]data!AC16*1000000000/(_xlfn.XLOOKUP($B16,[1]data!$C$2:$C$201,[1]data!AJ$2:AJ$201)*1000000)</f>
        <v>72393.437808772389</v>
      </c>
    </row>
    <row r="17" spans="1:29" x14ac:dyDescent="0.25">
      <c r="A17" t="s">
        <v>232</v>
      </c>
      <c r="B17" t="s">
        <v>49</v>
      </c>
      <c r="C17" t="s">
        <v>233</v>
      </c>
      <c r="D17" t="s">
        <v>234</v>
      </c>
      <c r="E17">
        <f>[4]data!E17*1000000000/(_xlfn.XLOOKUP($B17,[1]data!$C$2:$C$201,[1]data!L$2:L$201)*1000000)</f>
        <v>12682.896629192464</v>
      </c>
      <c r="F17">
        <f>[4]data!F17*1000000000/(_xlfn.XLOOKUP($B17,[1]data!$C$2:$C$201,[1]data!M$2:M$201)*1000000)</f>
        <v>15348.375723920037</v>
      </c>
      <c r="G17">
        <f>[4]data!G17*1000000000/(_xlfn.XLOOKUP($B17,[1]data!$C$2:$C$201,[1]data!N$2:N$201)*1000000)</f>
        <v>15926.532352098779</v>
      </c>
      <c r="H17">
        <f>[4]data!H17*1000000000/(_xlfn.XLOOKUP($B17,[1]data!$C$2:$C$201,[1]data!O$2:O$201)*1000000)</f>
        <v>11252.995966389042</v>
      </c>
      <c r="I17">
        <f>[4]data!I17*1000000000/(_xlfn.XLOOKUP($B17,[1]data!$C$2:$C$201,[1]data!P$2:P$201)*1000000)</f>
        <v>10589.544479523516</v>
      </c>
      <c r="J17">
        <f>[4]data!J17*1000000000/(_xlfn.XLOOKUP($B17,[1]data!$C$2:$C$201,[1]data!Q$2:Q$201)*1000000)</f>
        <v>14483.297024226236</v>
      </c>
      <c r="K17">
        <f>[4]data!K17*1000000000/(_xlfn.XLOOKUP($B17,[1]data!$C$2:$C$201,[1]data!R$2:R$201)*1000000)</f>
        <v>17691.724471731348</v>
      </c>
      <c r="L17">
        <f>[4]data!L17*1000000000/(_xlfn.XLOOKUP($B17,[1]data!$C$2:$C$201,[1]data!S$2:S$201)*1000000)</f>
        <v>19605.025374646713</v>
      </c>
      <c r="M17">
        <f>[4]data!M17*1000000000/(_xlfn.XLOOKUP($B17,[1]data!$C$2:$C$201,[1]data!T$2:T$201)*1000000)</f>
        <v>22273.315766030155</v>
      </c>
      <c r="N17">
        <f>[4]data!N17*1000000000/(_xlfn.XLOOKUP($B17,[1]data!$C$2:$C$201,[1]data!U$2:U$201)*1000000)</f>
        <v>28139.52481944843</v>
      </c>
      <c r="O17">
        <f>[4]data!O17*1000000000/(_xlfn.XLOOKUP($B17,[1]data!$C$2:$C$201,[1]data!V$2:V$201)*1000000)</f>
        <v>33542.210341544574</v>
      </c>
      <c r="P17">
        <f>[4]data!P17*1000000000/(_xlfn.XLOOKUP($B17,[1]data!$C$2:$C$201,[1]data!W$2:W$201)*1000000)</f>
        <v>38748.34199193216</v>
      </c>
      <c r="Q17">
        <f>[4]data!Q17*1000000000/(_xlfn.XLOOKUP($B17,[1]data!$C$2:$C$201,[1]data!X$2:X$201)*1000000)</f>
        <v>43588.433358591872</v>
      </c>
      <c r="R17">
        <f>[4]data!R17*1000000000/(_xlfn.XLOOKUP($B17,[1]data!$C$2:$C$201,[1]data!Y$2:Y$201)*1000000)</f>
        <v>48204.035461735693</v>
      </c>
      <c r="S17">
        <f>[4]data!S17*1000000000/(_xlfn.XLOOKUP($B17,[1]data!$C$2:$C$201,[1]data!Z$2:Z$201)*1000000)</f>
        <v>52753.997831647939</v>
      </c>
      <c r="T17">
        <f>[4]data!T17*1000000000/(_xlfn.XLOOKUP($B17,[1]data!$C$2:$C$201,[1]data!AA$2:AA$201)*1000000)</f>
        <v>57455.774514701683</v>
      </c>
      <c r="U17">
        <f>[4]data!U17*1000000000/(_xlfn.XLOOKUP($B17,[1]data!$C$2:$C$201,[1]data!AB$2:AB$201)*1000000)</f>
        <v>62311.050233429145</v>
      </c>
      <c r="V17">
        <f>[4]data!V17*1000000000/(_xlfn.XLOOKUP($B17,[1]data!$C$2:$C$201,[1]data!AC$2:AC$201)*1000000)</f>
        <v>67300.858562463123</v>
      </c>
      <c r="W17">
        <f>[4]data!W17*1000000000/(_xlfn.XLOOKUP($B17,[1]data!$C$2:$C$201,[1]data!AD$2:AD$201)*1000000)</f>
        <v>72320.393754949488</v>
      </c>
      <c r="X17">
        <f>[4]data!X17*1000000000/(_xlfn.XLOOKUP($B17,[1]data!$C$2:$C$201,[1]data!AE$2:AE$201)*1000000)</f>
        <v>77395.849103520377</v>
      </c>
      <c r="Y17">
        <f>[4]data!Y17*1000000000/(_xlfn.XLOOKUP($B17,[1]data!$C$2:$C$201,[1]data!AF$2:AF$201)*1000000)</f>
        <v>82559.067187837485</v>
      </c>
      <c r="Z17">
        <f>[4]data!Z17*1000000000/(_xlfn.XLOOKUP($B17,[1]data!$C$2:$C$201,[1]data!AG$2:AG$201)*1000000)</f>
        <v>87866.877552060469</v>
      </c>
      <c r="AA17">
        <f>[4]data!AA17*1000000000/(_xlfn.XLOOKUP($B17,[1]data!$C$2:$C$201,[1]data!AH$2:AH$201)*1000000)</f>
        <v>93401.729790395009</v>
      </c>
      <c r="AB17">
        <f>[4]data!AB17*1000000000/(_xlfn.XLOOKUP($B17,[1]data!$C$2:$C$201,[1]data!AI$2:AI$201)*1000000)</f>
        <v>99265.429241811551</v>
      </c>
      <c r="AC17">
        <f>[4]data!AC17*1000000000/(_xlfn.XLOOKUP($B17,[1]data!$C$2:$C$201,[1]data!AJ$2:AJ$201)*1000000)</f>
        <v>105569.26460828318</v>
      </c>
    </row>
    <row r="18" spans="1:29" x14ac:dyDescent="0.25">
      <c r="A18" t="s">
        <v>232</v>
      </c>
      <c r="B18" t="s">
        <v>50</v>
      </c>
      <c r="C18" t="s">
        <v>233</v>
      </c>
      <c r="D18" t="s">
        <v>234</v>
      </c>
      <c r="E18">
        <f>[4]data!E18*1000000000/(_xlfn.XLOOKUP($B18,[1]data!$C$2:$C$201,[1]data!L$2:L$201)*1000000)</f>
        <v>44742.593046896371</v>
      </c>
      <c r="F18">
        <f>[4]data!F18*1000000000/(_xlfn.XLOOKUP($B18,[1]data!$C$2:$C$201,[1]data!M$2:M$201)*1000000)</f>
        <v>44920.79639587269</v>
      </c>
      <c r="G18">
        <f>[4]data!G18*1000000000/(_xlfn.XLOOKUP($B18,[1]data!$C$2:$C$201,[1]data!N$2:N$201)*1000000)</f>
        <v>41404.266524134786</v>
      </c>
      <c r="H18">
        <f>[4]data!H18*1000000000/(_xlfn.XLOOKUP($B18,[1]data!$C$2:$C$201,[1]data!O$2:O$201)*1000000)</f>
        <v>43330.260077074614</v>
      </c>
      <c r="I18">
        <f>[4]data!I18*1000000000/(_xlfn.XLOOKUP($B18,[1]data!$C$2:$C$201,[1]data!P$2:P$201)*1000000)</f>
        <v>46778.612511700609</v>
      </c>
      <c r="J18">
        <f>[4]data!J18*1000000000/(_xlfn.XLOOKUP($B18,[1]data!$C$2:$C$201,[1]data!Q$2:Q$201)*1000000)</f>
        <v>48675.017665278421</v>
      </c>
      <c r="K18">
        <f>[4]data!K18*1000000000/(_xlfn.XLOOKUP($B18,[1]data!$C$2:$C$201,[1]data!R$2:R$201)*1000000)</f>
        <v>45598.61969180368</v>
      </c>
      <c r="L18">
        <f>[4]data!L18*1000000000/(_xlfn.XLOOKUP($B18,[1]data!$C$2:$C$201,[1]data!S$2:S$201)*1000000)</f>
        <v>49315.509659678923</v>
      </c>
      <c r="M18">
        <f>[4]data!M18*1000000000/(_xlfn.XLOOKUP($B18,[1]data!$C$2:$C$201,[1]data!T$2:T$201)*1000000)</f>
        <v>47462.007248826165</v>
      </c>
      <c r="N18">
        <f>[4]data!N18*1000000000/(_xlfn.XLOOKUP($B18,[1]data!$C$2:$C$201,[1]data!U$2:U$201)*1000000)</f>
        <v>51590.778949701686</v>
      </c>
      <c r="O18">
        <f>[4]data!O18*1000000000/(_xlfn.XLOOKUP($B18,[1]data!$C$2:$C$201,[1]data!V$2:V$201)*1000000)</f>
        <v>55206.981245442075</v>
      </c>
      <c r="P18">
        <f>[4]data!P18*1000000000/(_xlfn.XLOOKUP($B18,[1]data!$C$2:$C$201,[1]data!W$2:W$201)*1000000)</f>
        <v>59388.683462040157</v>
      </c>
      <c r="Q18">
        <f>[4]data!Q18*1000000000/(_xlfn.XLOOKUP($B18,[1]data!$C$2:$C$201,[1]data!X$2:X$201)*1000000)</f>
        <v>62605.715881576813</v>
      </c>
      <c r="R18">
        <f>[4]data!R18*1000000000/(_xlfn.XLOOKUP($B18,[1]data!$C$2:$C$201,[1]data!Y$2:Y$201)*1000000)</f>
        <v>65286.722325704846</v>
      </c>
      <c r="S18">
        <f>[4]data!S18*1000000000/(_xlfn.XLOOKUP($B18,[1]data!$C$2:$C$201,[1]data!Z$2:Z$201)*1000000)</f>
        <v>67852.095619183587</v>
      </c>
      <c r="T18">
        <f>[4]data!T18*1000000000/(_xlfn.XLOOKUP($B18,[1]data!$C$2:$C$201,[1]data!AA$2:AA$201)*1000000)</f>
        <v>70949.889223120874</v>
      </c>
      <c r="U18">
        <f>[4]data!U18*1000000000/(_xlfn.XLOOKUP($B18,[1]data!$C$2:$C$201,[1]data!AB$2:AB$201)*1000000)</f>
        <v>74714.998931493334</v>
      </c>
      <c r="V18">
        <f>[4]data!V18*1000000000/(_xlfn.XLOOKUP($B18,[1]data!$C$2:$C$201,[1]data!AC$2:AC$201)*1000000)</f>
        <v>79215.342907449347</v>
      </c>
      <c r="W18">
        <f>[4]data!W18*1000000000/(_xlfn.XLOOKUP($B18,[1]data!$C$2:$C$201,[1]data!AD$2:AD$201)*1000000)</f>
        <v>83731.235042110755</v>
      </c>
      <c r="X18">
        <f>[4]data!X18*1000000000/(_xlfn.XLOOKUP($B18,[1]data!$C$2:$C$201,[1]data!AE$2:AE$201)*1000000)</f>
        <v>88401.613327151063</v>
      </c>
      <c r="Y18">
        <f>[4]data!Y18*1000000000/(_xlfn.XLOOKUP($B18,[1]data!$C$2:$C$201,[1]data!AF$2:AF$201)*1000000)</f>
        <v>93277.623956390424</v>
      </c>
      <c r="Z18">
        <f>[4]data!Z18*1000000000/(_xlfn.XLOOKUP($B18,[1]data!$C$2:$C$201,[1]data!AG$2:AG$201)*1000000)</f>
        <v>98394.439823200169</v>
      </c>
      <c r="AA18">
        <f>[4]data!AA18*1000000000/(_xlfn.XLOOKUP($B18,[1]data!$C$2:$C$201,[1]data!AH$2:AH$201)*1000000)</f>
        <v>103818.9989380792</v>
      </c>
      <c r="AB18">
        <f>[4]data!AB18*1000000000/(_xlfn.XLOOKUP($B18,[1]data!$C$2:$C$201,[1]data!AI$2:AI$201)*1000000)</f>
        <v>109588.4737054405</v>
      </c>
      <c r="AC18">
        <f>[4]data!AC18*1000000000/(_xlfn.XLOOKUP($B18,[1]data!$C$2:$C$201,[1]data!AJ$2:AJ$201)*1000000)</f>
        <v>115731.76729250442</v>
      </c>
    </row>
    <row r="19" spans="1:29" x14ac:dyDescent="0.25">
      <c r="A19" t="s">
        <v>232</v>
      </c>
      <c r="B19" t="s">
        <v>51</v>
      </c>
      <c r="C19" t="s">
        <v>233</v>
      </c>
      <c r="D19" t="s">
        <v>234</v>
      </c>
      <c r="E19">
        <f>[4]data!E19*1000000000/(_xlfn.XLOOKUP($B19,[1]data!$C$2:$C$201,[1]data!L$2:L$201)*1000000)</f>
        <v>32124.775510572435</v>
      </c>
      <c r="F19">
        <f>[4]data!F19*1000000000/(_xlfn.XLOOKUP($B19,[1]data!$C$2:$C$201,[1]data!M$2:M$201)*1000000)</f>
        <v>34360.207480297177</v>
      </c>
      <c r="G19">
        <f>[4]data!G19*1000000000/(_xlfn.XLOOKUP($B19,[1]data!$C$2:$C$201,[1]data!N$2:N$201)*1000000)</f>
        <v>35097.057682551989</v>
      </c>
      <c r="H19">
        <f>[4]data!H19*1000000000/(_xlfn.XLOOKUP($B19,[1]data!$C$2:$C$201,[1]data!O$2:O$201)*1000000)</f>
        <v>31552.917469773962</v>
      </c>
      <c r="I19">
        <f>[4]data!I19*1000000000/(_xlfn.XLOOKUP($B19,[1]data!$C$2:$C$201,[1]data!P$2:P$201)*1000000)</f>
        <v>37104.539522021783</v>
      </c>
      <c r="J19">
        <f>[4]data!J19*1000000000/(_xlfn.XLOOKUP($B19,[1]data!$C$2:$C$201,[1]data!Q$2:Q$201)*1000000)</f>
        <v>37614.609841608981</v>
      </c>
      <c r="K19">
        <f>[4]data!K19*1000000000/(_xlfn.XLOOKUP($B19,[1]data!$C$2:$C$201,[1]data!R$2:R$201)*1000000)</f>
        <v>34637.89773524239</v>
      </c>
      <c r="L19">
        <f>[4]data!L19*1000000000/(_xlfn.XLOOKUP($B19,[1]data!$C$2:$C$201,[1]data!S$2:S$201)*1000000)</f>
        <v>34170.238667635116</v>
      </c>
      <c r="M19">
        <f>[4]data!M19*1000000000/(_xlfn.XLOOKUP($B19,[1]data!$C$2:$C$201,[1]data!T$2:T$201)*1000000)</f>
        <v>26177.455645946338</v>
      </c>
      <c r="N19">
        <f>[4]data!N19*1000000000/(_xlfn.XLOOKUP($B19,[1]data!$C$2:$C$201,[1]data!U$2:U$201)*1000000)</f>
        <v>36918.200241649385</v>
      </c>
      <c r="O19">
        <f>[4]data!O19*1000000000/(_xlfn.XLOOKUP($B19,[1]data!$C$2:$C$201,[1]data!V$2:V$201)*1000000)</f>
        <v>39042.392349672809</v>
      </c>
      <c r="P19">
        <f>[4]data!P19*1000000000/(_xlfn.XLOOKUP($B19,[1]data!$C$2:$C$201,[1]data!W$2:W$201)*1000000)</f>
        <v>41407.668974673485</v>
      </c>
      <c r="Q19">
        <f>[4]data!Q19*1000000000/(_xlfn.XLOOKUP($B19,[1]data!$C$2:$C$201,[1]data!X$2:X$201)*1000000)</f>
        <v>43850.179952088467</v>
      </c>
      <c r="R19">
        <f>[4]data!R19*1000000000/(_xlfn.XLOOKUP($B19,[1]data!$C$2:$C$201,[1]data!Y$2:Y$201)*1000000)</f>
        <v>46560.693121835859</v>
      </c>
      <c r="S19">
        <f>[4]data!S19*1000000000/(_xlfn.XLOOKUP($B19,[1]data!$C$2:$C$201,[1]data!Z$2:Z$201)*1000000)</f>
        <v>49653.539398573907</v>
      </c>
      <c r="T19">
        <f>[4]data!T19*1000000000/(_xlfn.XLOOKUP($B19,[1]data!$C$2:$C$201,[1]data!AA$2:AA$201)*1000000)</f>
        <v>53142.60451345396</v>
      </c>
      <c r="U19">
        <f>[4]data!U19*1000000000/(_xlfn.XLOOKUP($B19,[1]data!$C$2:$C$201,[1]data!AB$2:AB$201)*1000000)</f>
        <v>57022.514625114054</v>
      </c>
      <c r="V19">
        <f>[4]data!V19*1000000000/(_xlfn.XLOOKUP($B19,[1]data!$C$2:$C$201,[1]data!AC$2:AC$201)*1000000)</f>
        <v>61299.327809981121</v>
      </c>
      <c r="W19">
        <f>[4]data!W19*1000000000/(_xlfn.XLOOKUP($B19,[1]data!$C$2:$C$201,[1]data!AD$2:AD$201)*1000000)</f>
        <v>65940.800419560182</v>
      </c>
      <c r="X19">
        <f>[4]data!X19*1000000000/(_xlfn.XLOOKUP($B19,[1]data!$C$2:$C$201,[1]data!AE$2:AE$201)*1000000)</f>
        <v>70935.104449153179</v>
      </c>
      <c r="Y19">
        <f>[4]data!Y19*1000000000/(_xlfn.XLOOKUP($B19,[1]data!$C$2:$C$201,[1]data!AF$2:AF$201)*1000000)</f>
        <v>76316.688361444219</v>
      </c>
      <c r="Z19">
        <f>[4]data!Z19*1000000000/(_xlfn.XLOOKUP($B19,[1]data!$C$2:$C$201,[1]data!AG$2:AG$201)*1000000)</f>
        <v>82130.464223205767</v>
      </c>
      <c r="AA19">
        <f>[4]data!AA19*1000000000/(_xlfn.XLOOKUP($B19,[1]data!$C$2:$C$201,[1]data!AH$2:AH$201)*1000000)</f>
        <v>88360.311085338471</v>
      </c>
      <c r="AB19">
        <f>[4]data!AB19*1000000000/(_xlfn.XLOOKUP($B19,[1]data!$C$2:$C$201,[1]data!AI$2:AI$201)*1000000)</f>
        <v>95019.01048013648</v>
      </c>
      <c r="AC19">
        <f>[4]data!AC19*1000000000/(_xlfn.XLOOKUP($B19,[1]data!$C$2:$C$201,[1]data!AJ$2:AJ$201)*1000000)</f>
        <v>102108.66062386823</v>
      </c>
    </row>
    <row r="20" spans="1:29" x14ac:dyDescent="0.25">
      <c r="A20" t="s">
        <v>232</v>
      </c>
      <c r="B20" t="s">
        <v>52</v>
      </c>
      <c r="C20" t="s">
        <v>233</v>
      </c>
      <c r="D20" t="s">
        <v>234</v>
      </c>
      <c r="E20" t="e">
        <f>[4]data!E20*1000000000/(_xlfn.XLOOKUP($B20,[1]data!$C$2:$C$201,[1]data!L$2:L$201)*1000000)</f>
        <v>#VALUE!</v>
      </c>
      <c r="F20" t="e">
        <f>[4]data!F20*1000000000/(_xlfn.XLOOKUP($B20,[1]data!$C$2:$C$201,[1]data!M$2:M$201)*1000000)</f>
        <v>#VALUE!</v>
      </c>
      <c r="G20" t="e">
        <f>[4]data!G20*1000000000/(_xlfn.XLOOKUP($B20,[1]data!$C$2:$C$201,[1]data!N$2:N$201)*1000000)</f>
        <v>#VALUE!</v>
      </c>
      <c r="H20">
        <f>[4]data!H20*1000000000/(_xlfn.XLOOKUP($B20,[1]data!$C$2:$C$201,[1]data!O$2:O$201)*1000000)</f>
        <v>2884.6075571535175</v>
      </c>
      <c r="I20">
        <f>[4]data!I20*1000000000/(_xlfn.XLOOKUP($B20,[1]data!$C$2:$C$201,[1]data!P$2:P$201)*1000000)</f>
        <v>6683.8794364611722</v>
      </c>
      <c r="J20">
        <f>[4]data!J20*1000000000/(_xlfn.XLOOKUP($B20,[1]data!$C$2:$C$201,[1]data!Q$2:Q$201)*1000000)</f>
        <v>8387.5770186566497</v>
      </c>
      <c r="K20">
        <f>[4]data!K20*1000000000/(_xlfn.XLOOKUP($B20,[1]data!$C$2:$C$201,[1]data!R$2:R$201)*1000000)</f>
        <v>10604.753821976947</v>
      </c>
      <c r="L20">
        <f>[4]data!L20*1000000000/(_xlfn.XLOOKUP($B20,[1]data!$C$2:$C$201,[1]data!S$2:S$201)*1000000)</f>
        <v>12438.055428919899</v>
      </c>
      <c r="M20">
        <f>[4]data!M20*1000000000/(_xlfn.XLOOKUP($B20,[1]data!$C$2:$C$201,[1]data!T$2:T$201)*1000000)</f>
        <v>14582.351210439341</v>
      </c>
      <c r="N20">
        <f>[4]data!N20*1000000000/(_xlfn.XLOOKUP($B20,[1]data!$C$2:$C$201,[1]data!U$2:U$201)*1000000)</f>
        <v>18530.416323984718</v>
      </c>
      <c r="O20">
        <f>[4]data!O20*1000000000/(_xlfn.XLOOKUP($B20,[1]data!$C$2:$C$201,[1]data!V$2:V$201)*1000000)</f>
        <v>22355.720571123351</v>
      </c>
      <c r="P20">
        <f>[4]data!P20*1000000000/(_xlfn.XLOOKUP($B20,[1]data!$C$2:$C$201,[1]data!W$2:W$201)*1000000)</f>
        <v>26072.432408506123</v>
      </c>
      <c r="Q20">
        <f>[4]data!Q20*1000000000/(_xlfn.XLOOKUP($B20,[1]data!$C$2:$C$201,[1]data!X$2:X$201)*1000000)</f>
        <v>29194.032382382506</v>
      </c>
      <c r="R20">
        <f>[4]data!R20*1000000000/(_xlfn.XLOOKUP($B20,[1]data!$C$2:$C$201,[1]data!Y$2:Y$201)*1000000)</f>
        <v>31877.348909403558</v>
      </c>
      <c r="S20">
        <f>[4]data!S20*1000000000/(_xlfn.XLOOKUP($B20,[1]data!$C$2:$C$201,[1]data!Z$2:Z$201)*1000000)</f>
        <v>34263.274604257858</v>
      </c>
      <c r="T20">
        <f>[4]data!T20*1000000000/(_xlfn.XLOOKUP($B20,[1]data!$C$2:$C$201,[1]data!AA$2:AA$201)*1000000)</f>
        <v>36480.611917415474</v>
      </c>
      <c r="U20">
        <f>[4]data!U20*1000000000/(_xlfn.XLOOKUP($B20,[1]data!$C$2:$C$201,[1]data!AB$2:AB$201)*1000000)</f>
        <v>38672.912069870021</v>
      </c>
      <c r="V20">
        <f>[4]data!V20*1000000000/(_xlfn.XLOOKUP($B20,[1]data!$C$2:$C$201,[1]data!AC$2:AC$201)*1000000)</f>
        <v>40882.720499123323</v>
      </c>
      <c r="W20">
        <f>[4]data!W20*1000000000/(_xlfn.XLOOKUP($B20,[1]data!$C$2:$C$201,[1]data!AD$2:AD$201)*1000000)</f>
        <v>42936.591574965307</v>
      </c>
      <c r="X20">
        <f>[4]data!X20*1000000000/(_xlfn.XLOOKUP($B20,[1]data!$C$2:$C$201,[1]data!AE$2:AE$201)*1000000)</f>
        <v>44950.303754897956</v>
      </c>
      <c r="Y20">
        <f>[4]data!Y20*1000000000/(_xlfn.XLOOKUP($B20,[1]data!$C$2:$C$201,[1]data!AF$2:AF$201)*1000000)</f>
        <v>46896.678796344757</v>
      </c>
      <c r="Z20">
        <f>[4]data!Z20*1000000000/(_xlfn.XLOOKUP($B20,[1]data!$C$2:$C$201,[1]data!AG$2:AG$201)*1000000)</f>
        <v>48835.386355871393</v>
      </c>
      <c r="AA20">
        <f>[4]data!AA20*1000000000/(_xlfn.XLOOKUP($B20,[1]data!$C$2:$C$201,[1]data!AH$2:AH$201)*1000000)</f>
        <v>50837.33666855326</v>
      </c>
      <c r="AB20">
        <f>[4]data!AB20*1000000000/(_xlfn.XLOOKUP($B20,[1]data!$C$2:$C$201,[1]data!AI$2:AI$201)*1000000)</f>
        <v>52965.680675786527</v>
      </c>
      <c r="AC20">
        <f>[4]data!AC20*1000000000/(_xlfn.XLOOKUP($B20,[1]data!$C$2:$C$201,[1]data!AJ$2:AJ$201)*1000000)</f>
        <v>55256.900291198566</v>
      </c>
    </row>
    <row r="21" spans="1:29" x14ac:dyDescent="0.25">
      <c r="A21" t="s">
        <v>232</v>
      </c>
      <c r="B21" t="s">
        <v>53</v>
      </c>
      <c r="C21" t="s">
        <v>233</v>
      </c>
      <c r="D21" t="s">
        <v>234</v>
      </c>
      <c r="E21" t="e">
        <f>[4]data!E21*1000000000/(_xlfn.XLOOKUP($B21,[1]data!$C$2:$C$201,[1]data!L$2:L$201)*1000000)</f>
        <v>#VALUE!</v>
      </c>
      <c r="F21" t="e">
        <f>[4]data!F21*1000000000/(_xlfn.XLOOKUP($B21,[1]data!$C$2:$C$201,[1]data!M$2:M$201)*1000000)</f>
        <v>#VALUE!</v>
      </c>
      <c r="G21">
        <f>[4]data!G21*1000000000/(_xlfn.XLOOKUP($B21,[1]data!$C$2:$C$201,[1]data!N$2:N$201)*1000000)</f>
        <v>8705.8563395387719</v>
      </c>
      <c r="H21">
        <f>[4]data!H21*1000000000/(_xlfn.XLOOKUP($B21,[1]data!$C$2:$C$201,[1]data!O$2:O$201)*1000000)</f>
        <v>5662.031461162539</v>
      </c>
      <c r="I21">
        <f>[4]data!I21*1000000000/(_xlfn.XLOOKUP($B21,[1]data!$C$2:$C$201,[1]data!P$2:P$201)*1000000)</f>
        <v>7829.2948525418251</v>
      </c>
      <c r="J21">
        <f>[4]data!J21*1000000000/(_xlfn.XLOOKUP($B21,[1]data!$C$2:$C$201,[1]data!Q$2:Q$201)*1000000)</f>
        <v>11597.713705088343</v>
      </c>
      <c r="K21">
        <f>[4]data!K21*1000000000/(_xlfn.XLOOKUP($B21,[1]data!$C$2:$C$201,[1]data!R$2:R$201)*1000000)</f>
        <v>16874.644821281356</v>
      </c>
      <c r="L21">
        <f>[4]data!L21*1000000000/(_xlfn.XLOOKUP($B21,[1]data!$C$2:$C$201,[1]data!S$2:S$201)*1000000)</f>
        <v>17917.184765927421</v>
      </c>
      <c r="M21">
        <f>[4]data!M21*1000000000/(_xlfn.XLOOKUP($B21,[1]data!$C$2:$C$201,[1]data!T$2:T$201)*1000000)</f>
        <v>18677.701228615268</v>
      </c>
      <c r="N21">
        <f>[4]data!N21*1000000000/(_xlfn.XLOOKUP($B21,[1]data!$C$2:$C$201,[1]data!U$2:U$201)*1000000)</f>
        <v>19606.548979326129</v>
      </c>
      <c r="O21">
        <f>[4]data!O21*1000000000/(_xlfn.XLOOKUP($B21,[1]data!$C$2:$C$201,[1]data!V$2:V$201)*1000000)</f>
        <v>20781.677326705161</v>
      </c>
      <c r="P21">
        <f>[4]data!P21*1000000000/(_xlfn.XLOOKUP($B21,[1]data!$C$2:$C$201,[1]data!W$2:W$201)*1000000)</f>
        <v>22290.447962855269</v>
      </c>
      <c r="Q21">
        <f>[4]data!Q21*1000000000/(_xlfn.XLOOKUP($B21,[1]data!$C$2:$C$201,[1]data!X$2:X$201)*1000000)</f>
        <v>23929.55494982906</v>
      </c>
      <c r="R21">
        <f>[4]data!R21*1000000000/(_xlfn.XLOOKUP($B21,[1]data!$C$2:$C$201,[1]data!Y$2:Y$201)*1000000)</f>
        <v>25686.741202967394</v>
      </c>
      <c r="S21">
        <f>[4]data!S21*1000000000/(_xlfn.XLOOKUP($B21,[1]data!$C$2:$C$201,[1]data!Z$2:Z$201)*1000000)</f>
        <v>27628.825465441863</v>
      </c>
      <c r="T21">
        <f>[4]data!T21*1000000000/(_xlfn.XLOOKUP($B21,[1]data!$C$2:$C$201,[1]data!AA$2:AA$201)*1000000)</f>
        <v>29969.492161832346</v>
      </c>
      <c r="U21">
        <f>[4]data!U21*1000000000/(_xlfn.XLOOKUP($B21,[1]data!$C$2:$C$201,[1]data!AB$2:AB$201)*1000000)</f>
        <v>32795.139803849423</v>
      </c>
      <c r="V21">
        <f>[4]data!V21*1000000000/(_xlfn.XLOOKUP($B21,[1]data!$C$2:$C$201,[1]data!AC$2:AC$201)*1000000)</f>
        <v>36101.008173042115</v>
      </c>
      <c r="W21">
        <f>[4]data!W21*1000000000/(_xlfn.XLOOKUP($B21,[1]data!$C$2:$C$201,[1]data!AD$2:AD$201)*1000000)</f>
        <v>39707.367466559845</v>
      </c>
      <c r="X21">
        <f>[4]data!X21*1000000000/(_xlfn.XLOOKUP($B21,[1]data!$C$2:$C$201,[1]data!AE$2:AE$201)*1000000)</f>
        <v>43542.180287641961</v>
      </c>
      <c r="Y21">
        <f>[4]data!Y21*1000000000/(_xlfn.XLOOKUP($B21,[1]data!$C$2:$C$201,[1]data!AF$2:AF$201)*1000000)</f>
        <v>47654.217895686757</v>
      </c>
      <c r="Z21">
        <f>[4]data!Z21*1000000000/(_xlfn.XLOOKUP($B21,[1]data!$C$2:$C$201,[1]data!AG$2:AG$201)*1000000)</f>
        <v>52139.750271047975</v>
      </c>
      <c r="AA21">
        <f>[4]data!AA21*1000000000/(_xlfn.XLOOKUP($B21,[1]data!$C$2:$C$201,[1]data!AH$2:AH$201)*1000000)</f>
        <v>57093.109097535096</v>
      </c>
      <c r="AB21">
        <f>[4]data!AB21*1000000000/(_xlfn.XLOOKUP($B21,[1]data!$C$2:$C$201,[1]data!AI$2:AI$201)*1000000)</f>
        <v>62536.771546916461</v>
      </c>
      <c r="AC21">
        <f>[4]data!AC21*1000000000/(_xlfn.XLOOKUP($B21,[1]data!$C$2:$C$201,[1]data!AJ$2:AJ$201)*1000000)</f>
        <v>68450.208912455564</v>
      </c>
    </row>
    <row r="22" spans="1:29" x14ac:dyDescent="0.25">
      <c r="A22" t="s">
        <v>232</v>
      </c>
      <c r="B22" t="s">
        <v>54</v>
      </c>
      <c r="C22" t="s">
        <v>233</v>
      </c>
      <c r="D22" t="s">
        <v>234</v>
      </c>
      <c r="E22">
        <f>[4]data!E22*1000000000/(_xlfn.XLOOKUP($B22,[1]data!$C$2:$C$201,[1]data!L$2:L$201)*1000000)</f>
        <v>4053.024488941604</v>
      </c>
      <c r="F22">
        <f>[4]data!F22*1000000000/(_xlfn.XLOOKUP($B22,[1]data!$C$2:$C$201,[1]data!M$2:M$201)*1000000)</f>
        <v>3879.5137470444784</v>
      </c>
      <c r="G22">
        <f>[4]data!G22*1000000000/(_xlfn.XLOOKUP($B22,[1]data!$C$2:$C$201,[1]data!N$2:N$201)*1000000)</f>
        <v>6461.3434306528934</v>
      </c>
      <c r="H22">
        <f>[4]data!H22*1000000000/(_xlfn.XLOOKUP($B22,[1]data!$C$2:$C$201,[1]data!O$2:O$201)*1000000)</f>
        <v>7781.0774719470619</v>
      </c>
      <c r="I22">
        <f>[4]data!I22*1000000000/(_xlfn.XLOOKUP($B22,[1]data!$C$2:$C$201,[1]data!P$2:P$201)*1000000)</f>
        <v>8841.2142316810841</v>
      </c>
      <c r="J22">
        <f>[4]data!J22*1000000000/(_xlfn.XLOOKUP($B22,[1]data!$C$2:$C$201,[1]data!Q$2:Q$201)*1000000)</f>
        <v>9793.2452637561946</v>
      </c>
      <c r="K22">
        <f>[4]data!K22*1000000000/(_xlfn.XLOOKUP($B22,[1]data!$C$2:$C$201,[1]data!R$2:R$201)*1000000)</f>
        <v>9093.2587974812741</v>
      </c>
      <c r="L22">
        <f>[4]data!L22*1000000000/(_xlfn.XLOOKUP($B22,[1]data!$C$2:$C$201,[1]data!S$2:S$201)*1000000)</f>
        <v>9486.5725453197647</v>
      </c>
      <c r="M22">
        <f>[4]data!M22*1000000000/(_xlfn.XLOOKUP($B22,[1]data!$C$2:$C$201,[1]data!T$2:T$201)*1000000)</f>
        <v>7752.278148125497</v>
      </c>
      <c r="N22">
        <f>[4]data!N22*1000000000/(_xlfn.XLOOKUP($B22,[1]data!$C$2:$C$201,[1]data!U$2:U$201)*1000000)</f>
        <v>10242.589127495557</v>
      </c>
      <c r="O22">
        <f>[4]data!O22*1000000000/(_xlfn.XLOOKUP($B22,[1]data!$C$2:$C$201,[1]data!V$2:V$201)*1000000)</f>
        <v>10931.870712917491</v>
      </c>
      <c r="P22">
        <f>[4]data!P22*1000000000/(_xlfn.XLOOKUP($B22,[1]data!$C$2:$C$201,[1]data!W$2:W$201)*1000000)</f>
        <v>12270.378970063852</v>
      </c>
      <c r="Q22">
        <f>[4]data!Q22*1000000000/(_xlfn.XLOOKUP($B22,[1]data!$C$2:$C$201,[1]data!X$2:X$201)*1000000)</f>
        <v>14096.459506194287</v>
      </c>
      <c r="R22">
        <f>[4]data!R22*1000000000/(_xlfn.XLOOKUP($B22,[1]data!$C$2:$C$201,[1]data!Y$2:Y$201)*1000000)</f>
        <v>16390.167342232759</v>
      </c>
      <c r="S22">
        <f>[4]data!S22*1000000000/(_xlfn.XLOOKUP($B22,[1]data!$C$2:$C$201,[1]data!Z$2:Z$201)*1000000)</f>
        <v>19158.35454734712</v>
      </c>
      <c r="T22">
        <f>[4]data!T22*1000000000/(_xlfn.XLOOKUP($B22,[1]data!$C$2:$C$201,[1]data!AA$2:AA$201)*1000000)</f>
        <v>22425.636584834592</v>
      </c>
      <c r="U22">
        <f>[4]data!U22*1000000000/(_xlfn.XLOOKUP($B22,[1]data!$C$2:$C$201,[1]data!AB$2:AB$201)*1000000)</f>
        <v>26260.374043706892</v>
      </c>
      <c r="V22">
        <f>[4]data!V22*1000000000/(_xlfn.XLOOKUP($B22,[1]data!$C$2:$C$201,[1]data!AC$2:AC$201)*1000000)</f>
        <v>30737.080331725905</v>
      </c>
      <c r="W22">
        <f>[4]data!W22*1000000000/(_xlfn.XLOOKUP($B22,[1]data!$C$2:$C$201,[1]data!AD$2:AD$201)*1000000)</f>
        <v>35798.997085947922</v>
      </c>
      <c r="X22">
        <f>[4]data!X22*1000000000/(_xlfn.XLOOKUP($B22,[1]data!$C$2:$C$201,[1]data!AE$2:AE$201)*1000000)</f>
        <v>41462.008017793814</v>
      </c>
      <c r="Y22">
        <f>[4]data!Y22*1000000000/(_xlfn.XLOOKUP($B22,[1]data!$C$2:$C$201,[1]data!AF$2:AF$201)*1000000)</f>
        <v>47649.549791230187</v>
      </c>
      <c r="Z22">
        <f>[4]data!Z22*1000000000/(_xlfn.XLOOKUP($B22,[1]data!$C$2:$C$201,[1]data!AG$2:AG$201)*1000000)</f>
        <v>54356.057488105711</v>
      </c>
      <c r="AA22">
        <f>[4]data!AA22*1000000000/(_xlfn.XLOOKUP($B22,[1]data!$C$2:$C$201,[1]data!AH$2:AH$201)*1000000)</f>
        <v>61581.984406276395</v>
      </c>
      <c r="AB22">
        <f>[4]data!AB22*1000000000/(_xlfn.XLOOKUP($B22,[1]data!$C$2:$C$201,[1]data!AI$2:AI$201)*1000000)</f>
        <v>69353.036859201151</v>
      </c>
      <c r="AC22">
        <f>[4]data!AC22*1000000000/(_xlfn.XLOOKUP($B22,[1]data!$C$2:$C$201,[1]data!AJ$2:AJ$201)*1000000)</f>
        <v>77696.730975258208</v>
      </c>
    </row>
    <row r="23" spans="1:29" x14ac:dyDescent="0.25">
      <c r="A23" t="s">
        <v>232</v>
      </c>
      <c r="B23" t="s">
        <v>55</v>
      </c>
      <c r="C23" t="s">
        <v>233</v>
      </c>
      <c r="D23" t="s">
        <v>234</v>
      </c>
      <c r="E23">
        <f>[4]data!E23*1000000000/(_xlfn.XLOOKUP($B23,[1]data!$C$2:$C$201,[1]data!L$2:L$201)*1000000)</f>
        <v>5484.715957066127</v>
      </c>
      <c r="F23">
        <f>[4]data!F23*1000000000/(_xlfn.XLOOKUP($B23,[1]data!$C$2:$C$201,[1]data!M$2:M$201)*1000000)</f>
        <v>4467.5848913619111</v>
      </c>
      <c r="G23">
        <f>[4]data!G23*1000000000/(_xlfn.XLOOKUP($B23,[1]data!$C$2:$C$201,[1]data!N$2:N$201)*1000000)</f>
        <v>4484.588148861867</v>
      </c>
      <c r="H23">
        <f>[4]data!H23*1000000000/(_xlfn.XLOOKUP($B23,[1]data!$C$2:$C$201,[1]data!O$2:O$201)*1000000)</f>
        <v>4955.6435261176021</v>
      </c>
      <c r="I23">
        <f>[4]data!I23*1000000000/(_xlfn.XLOOKUP($B23,[1]data!$C$2:$C$201,[1]data!P$2:P$201)*1000000)</f>
        <v>5353.321245423439</v>
      </c>
      <c r="J23">
        <f>[4]data!J23*1000000000/(_xlfn.XLOOKUP($B23,[1]data!$C$2:$C$201,[1]data!Q$2:Q$201)*1000000)</f>
        <v>5709.9567402256807</v>
      </c>
      <c r="K23">
        <f>[4]data!K23*1000000000/(_xlfn.XLOOKUP($B23,[1]data!$C$2:$C$201,[1]data!R$2:R$201)*1000000)</f>
        <v>6555.1488950570265</v>
      </c>
      <c r="L23">
        <f>[4]data!L23*1000000000/(_xlfn.XLOOKUP($B23,[1]data!$C$2:$C$201,[1]data!S$2:S$201)*1000000)</f>
        <v>7887.2613525656861</v>
      </c>
      <c r="M23">
        <f>[4]data!M23*1000000000/(_xlfn.XLOOKUP($B23,[1]data!$C$2:$C$201,[1]data!T$2:T$201)*1000000)</f>
        <v>7727.7002065020479</v>
      </c>
      <c r="N23">
        <f>[4]data!N23*1000000000/(_xlfn.XLOOKUP($B23,[1]data!$C$2:$C$201,[1]data!U$2:U$201)*1000000)</f>
        <v>8438.5878665762702</v>
      </c>
      <c r="O23">
        <f>[4]data!O23*1000000000/(_xlfn.XLOOKUP($B23,[1]data!$C$2:$C$201,[1]data!V$2:V$201)*1000000)</f>
        <v>8887.3629796989189</v>
      </c>
      <c r="P23">
        <f>[4]data!P23*1000000000/(_xlfn.XLOOKUP($B23,[1]data!$C$2:$C$201,[1]data!W$2:W$201)*1000000)</f>
        <v>9712.9967837059867</v>
      </c>
      <c r="Q23">
        <f>[4]data!Q23*1000000000/(_xlfn.XLOOKUP($B23,[1]data!$C$2:$C$201,[1]data!X$2:X$201)*1000000)</f>
        <v>11045.835920032016</v>
      </c>
      <c r="R23">
        <f>[4]data!R23*1000000000/(_xlfn.XLOOKUP($B23,[1]data!$C$2:$C$201,[1]data!Y$2:Y$201)*1000000)</f>
        <v>12843.039892208782</v>
      </c>
      <c r="S23">
        <f>[4]data!S23*1000000000/(_xlfn.XLOOKUP($B23,[1]data!$C$2:$C$201,[1]data!Z$2:Z$201)*1000000)</f>
        <v>15127.221115690121</v>
      </c>
      <c r="T23">
        <f>[4]data!T23*1000000000/(_xlfn.XLOOKUP($B23,[1]data!$C$2:$C$201,[1]data!AA$2:AA$201)*1000000)</f>
        <v>17914.305610376377</v>
      </c>
      <c r="U23">
        <f>[4]data!U23*1000000000/(_xlfn.XLOOKUP($B23,[1]data!$C$2:$C$201,[1]data!AB$2:AB$201)*1000000)</f>
        <v>21212.351035522865</v>
      </c>
      <c r="V23">
        <f>[4]data!V23*1000000000/(_xlfn.XLOOKUP($B23,[1]data!$C$2:$C$201,[1]data!AC$2:AC$201)*1000000)</f>
        <v>25018.076257067321</v>
      </c>
      <c r="W23">
        <f>[4]data!W23*1000000000/(_xlfn.XLOOKUP($B23,[1]data!$C$2:$C$201,[1]data!AD$2:AD$201)*1000000)</f>
        <v>29288.623184339758</v>
      </c>
      <c r="X23">
        <f>[4]data!X23*1000000000/(_xlfn.XLOOKUP($B23,[1]data!$C$2:$C$201,[1]data!AE$2:AE$201)*1000000)</f>
        <v>34033.082351900062</v>
      </c>
      <c r="Y23">
        <f>[4]data!Y23*1000000000/(_xlfn.XLOOKUP($B23,[1]data!$C$2:$C$201,[1]data!AF$2:AF$201)*1000000)</f>
        <v>39309.903735163542</v>
      </c>
      <c r="Z23">
        <f>[4]data!Z23*1000000000/(_xlfn.XLOOKUP($B23,[1]data!$C$2:$C$201,[1]data!AG$2:AG$201)*1000000)</f>
        <v>45153.181132861886</v>
      </c>
      <c r="AA23">
        <f>[4]data!AA23*1000000000/(_xlfn.XLOOKUP($B23,[1]data!$C$2:$C$201,[1]data!AH$2:AH$201)*1000000)</f>
        <v>51581.54246461382</v>
      </c>
      <c r="AB23">
        <f>[4]data!AB23*1000000000/(_xlfn.XLOOKUP($B23,[1]data!$C$2:$C$201,[1]data!AI$2:AI$201)*1000000)</f>
        <v>58567.169589721903</v>
      </c>
      <c r="AC23">
        <f>[4]data!AC23*1000000000/(_xlfn.XLOOKUP($B23,[1]data!$C$2:$C$201,[1]data!AJ$2:AJ$201)*1000000)</f>
        <v>66112.413998705888</v>
      </c>
    </row>
    <row r="24" spans="1:29" x14ac:dyDescent="0.25">
      <c r="A24" t="s">
        <v>232</v>
      </c>
      <c r="B24" t="s">
        <v>56</v>
      </c>
      <c r="C24" t="s">
        <v>233</v>
      </c>
      <c r="D24" t="s">
        <v>234</v>
      </c>
      <c r="E24">
        <f>[4]data!E24*1000000000/(_xlfn.XLOOKUP($B24,[1]data!$C$2:$C$201,[1]data!L$2:L$201)*1000000)</f>
        <v>11045.876526457796</v>
      </c>
      <c r="F24">
        <f>[4]data!F24*1000000000/(_xlfn.XLOOKUP($B24,[1]data!$C$2:$C$201,[1]data!M$2:M$201)*1000000)</f>
        <v>10507.13592530928</v>
      </c>
      <c r="G24">
        <f>[4]data!G24*1000000000/(_xlfn.XLOOKUP($B24,[1]data!$C$2:$C$201,[1]data!N$2:N$201)*1000000)</f>
        <v>10450.848065851329</v>
      </c>
      <c r="H24">
        <f>[4]data!H24*1000000000/(_xlfn.XLOOKUP($B24,[1]data!$C$2:$C$201,[1]data!O$2:O$201)*1000000)</f>
        <v>11192.225721764167</v>
      </c>
      <c r="I24">
        <f>[4]data!I24*1000000000/(_xlfn.XLOOKUP($B24,[1]data!$C$2:$C$201,[1]data!P$2:P$201)*1000000)</f>
        <v>11354.054860783615</v>
      </c>
      <c r="J24">
        <f>[4]data!J24*1000000000/(_xlfn.XLOOKUP($B24,[1]data!$C$2:$C$201,[1]data!Q$2:Q$201)*1000000)</f>
        <v>12340.103218324564</v>
      </c>
      <c r="K24">
        <f>[4]data!K24*1000000000/(_xlfn.XLOOKUP($B24,[1]data!$C$2:$C$201,[1]data!R$2:R$201)*1000000)</f>
        <v>14580.667774464617</v>
      </c>
      <c r="L24">
        <f>[4]data!L24*1000000000/(_xlfn.XLOOKUP($B24,[1]data!$C$2:$C$201,[1]data!S$2:S$201)*1000000)</f>
        <v>14760.774241060542</v>
      </c>
      <c r="M24">
        <f>[4]data!M24*1000000000/(_xlfn.XLOOKUP($B24,[1]data!$C$2:$C$201,[1]data!T$2:T$201)*1000000)</f>
        <v>13811.402894676825</v>
      </c>
      <c r="N24">
        <f>[4]data!N24*1000000000/(_xlfn.XLOOKUP($B24,[1]data!$C$2:$C$201,[1]data!U$2:U$201)*1000000)</f>
        <v>15672.915159691687</v>
      </c>
      <c r="O24">
        <f>[4]data!O24*1000000000/(_xlfn.XLOOKUP($B24,[1]data!$C$2:$C$201,[1]data!V$2:V$201)*1000000)</f>
        <v>16679.321655175652</v>
      </c>
      <c r="P24">
        <f>[4]data!P24*1000000000/(_xlfn.XLOOKUP($B24,[1]data!$C$2:$C$201,[1]data!W$2:W$201)*1000000)</f>
        <v>18683.091347549125</v>
      </c>
      <c r="Q24">
        <f>[4]data!Q24*1000000000/(_xlfn.XLOOKUP($B24,[1]data!$C$2:$C$201,[1]data!X$2:X$201)*1000000)</f>
        <v>21440.865918455907</v>
      </c>
      <c r="R24">
        <f>[4]data!R24*1000000000/(_xlfn.XLOOKUP($B24,[1]data!$C$2:$C$201,[1]data!Y$2:Y$201)*1000000)</f>
        <v>24923.479491095448</v>
      </c>
      <c r="S24">
        <f>[4]data!S24*1000000000/(_xlfn.XLOOKUP($B24,[1]data!$C$2:$C$201,[1]data!Z$2:Z$201)*1000000)</f>
        <v>29073.095977320834</v>
      </c>
      <c r="T24">
        <f>[4]data!T24*1000000000/(_xlfn.XLOOKUP($B24,[1]data!$C$2:$C$201,[1]data!AA$2:AA$201)*1000000)</f>
        <v>33843.873317889615</v>
      </c>
      <c r="U24">
        <f>[4]data!U24*1000000000/(_xlfn.XLOOKUP($B24,[1]data!$C$2:$C$201,[1]data!AB$2:AB$201)*1000000)</f>
        <v>39174.64539461604</v>
      </c>
      <c r="V24">
        <f>[4]data!V24*1000000000/(_xlfn.XLOOKUP($B24,[1]data!$C$2:$C$201,[1]data!AC$2:AC$201)*1000000)</f>
        <v>45138.16078336697</v>
      </c>
      <c r="W24">
        <f>[4]data!W24*1000000000/(_xlfn.XLOOKUP($B24,[1]data!$C$2:$C$201,[1]data!AD$2:AD$201)*1000000)</f>
        <v>51624.670363253041</v>
      </c>
      <c r="X24">
        <f>[4]data!X24*1000000000/(_xlfn.XLOOKUP($B24,[1]data!$C$2:$C$201,[1]data!AE$2:AE$201)*1000000)</f>
        <v>58676.44111791555</v>
      </c>
      <c r="Y24">
        <f>[4]data!Y24*1000000000/(_xlfn.XLOOKUP($B24,[1]data!$C$2:$C$201,[1]data!AF$2:AF$201)*1000000)</f>
        <v>66213.577169712255</v>
      </c>
      <c r="Z24">
        <f>[4]data!Z24*1000000000/(_xlfn.XLOOKUP($B24,[1]data!$C$2:$C$201,[1]data!AG$2:AG$201)*1000000)</f>
        <v>74225.085824229318</v>
      </c>
      <c r="AA24">
        <f>[4]data!AA24*1000000000/(_xlfn.XLOOKUP($B24,[1]data!$C$2:$C$201,[1]data!AH$2:AH$201)*1000000)</f>
        <v>82702.994634748553</v>
      </c>
      <c r="AB24">
        <f>[4]data!AB24*1000000000/(_xlfn.XLOOKUP($B24,[1]data!$C$2:$C$201,[1]data!AI$2:AI$201)*1000000)</f>
        <v>91623.365433996136</v>
      </c>
      <c r="AC24">
        <f>[4]data!AC24*1000000000/(_xlfn.XLOOKUP($B24,[1]data!$C$2:$C$201,[1]data!AJ$2:AJ$201)*1000000)</f>
        <v>100955.88800021879</v>
      </c>
    </row>
    <row r="25" spans="1:29" x14ac:dyDescent="0.25">
      <c r="A25" t="s">
        <v>232</v>
      </c>
      <c r="B25" t="s">
        <v>57</v>
      </c>
      <c r="C25" t="s">
        <v>233</v>
      </c>
      <c r="D25" t="s">
        <v>234</v>
      </c>
      <c r="E25">
        <f>[4]data!E25*1000000000/(_xlfn.XLOOKUP($B25,[1]data!$C$2:$C$201,[1]data!L$2:L$201)*1000000)</f>
        <v>13177.376510024667</v>
      </c>
      <c r="F25">
        <f>[4]data!F25*1000000000/(_xlfn.XLOOKUP($B25,[1]data!$C$2:$C$201,[1]data!M$2:M$201)*1000000)</f>
        <v>12706.8600128863</v>
      </c>
      <c r="G25">
        <f>[4]data!G25*1000000000/(_xlfn.XLOOKUP($B25,[1]data!$C$2:$C$201,[1]data!N$2:N$201)*1000000)</f>
        <v>14145.864493114896</v>
      </c>
      <c r="H25">
        <f>[4]data!H25*1000000000/(_xlfn.XLOOKUP($B25,[1]data!$C$2:$C$201,[1]data!O$2:O$201)*1000000)</f>
        <v>13277.94780989307</v>
      </c>
      <c r="I25">
        <f>[4]data!I25*1000000000/(_xlfn.XLOOKUP($B25,[1]data!$C$2:$C$201,[1]data!P$2:P$201)*1000000)</f>
        <v>15574.044456543521</v>
      </c>
      <c r="J25">
        <f>[4]data!J25*1000000000/(_xlfn.XLOOKUP($B25,[1]data!$C$2:$C$201,[1]data!Q$2:Q$201)*1000000)</f>
        <v>16230.483271375464</v>
      </c>
      <c r="K25">
        <f>[4]data!K25*1000000000/(_xlfn.XLOOKUP($B25,[1]data!$C$2:$C$201,[1]data!R$2:R$201)*1000000)</f>
        <v>16054.910081187592</v>
      </c>
      <c r="L25">
        <f>[4]data!L25*1000000000/(_xlfn.XLOOKUP($B25,[1]data!$C$2:$C$201,[1]data!S$2:S$201)*1000000)</f>
        <v>15812.73375882389</v>
      </c>
      <c r="M25">
        <f>[4]data!M25*1000000000/(_xlfn.XLOOKUP($B25,[1]data!$C$2:$C$201,[1]data!T$2:T$201)*1000000)</f>
        <v>13828.853244706268</v>
      </c>
      <c r="N25">
        <f>[4]data!N25*1000000000/(_xlfn.XLOOKUP($B25,[1]data!$C$2:$C$201,[1]data!U$2:U$201)*1000000)</f>
        <v>16787.687255148299</v>
      </c>
      <c r="O25">
        <f>[4]data!O25*1000000000/(_xlfn.XLOOKUP($B25,[1]data!$C$2:$C$201,[1]data!V$2:V$201)*1000000)</f>
        <v>18477.621818770705</v>
      </c>
      <c r="P25">
        <f>[4]data!P25*1000000000/(_xlfn.XLOOKUP($B25,[1]data!$C$2:$C$201,[1]data!W$2:W$201)*1000000)</f>
        <v>20457.184427122509</v>
      </c>
      <c r="Q25">
        <f>[4]data!Q25*1000000000/(_xlfn.XLOOKUP($B25,[1]data!$C$2:$C$201,[1]data!X$2:X$201)*1000000)</f>
        <v>22938.412497138208</v>
      </c>
      <c r="R25">
        <f>[4]data!R25*1000000000/(_xlfn.XLOOKUP($B25,[1]data!$C$2:$C$201,[1]data!Y$2:Y$201)*1000000)</f>
        <v>25871.816935972209</v>
      </c>
      <c r="S25">
        <f>[4]data!S25*1000000000/(_xlfn.XLOOKUP($B25,[1]data!$C$2:$C$201,[1]data!Z$2:Z$201)*1000000)</f>
        <v>29242.7405512078</v>
      </c>
      <c r="T25">
        <f>[4]data!T25*1000000000/(_xlfn.XLOOKUP($B25,[1]data!$C$2:$C$201,[1]data!AA$2:AA$201)*1000000)</f>
        <v>32984.291121569302</v>
      </c>
      <c r="U25">
        <f>[4]data!U25*1000000000/(_xlfn.XLOOKUP($B25,[1]data!$C$2:$C$201,[1]data!AB$2:AB$201)*1000000)</f>
        <v>37110.63353253917</v>
      </c>
      <c r="V25">
        <f>[4]data!V25*1000000000/(_xlfn.XLOOKUP($B25,[1]data!$C$2:$C$201,[1]data!AC$2:AC$201)*1000000)</f>
        <v>41649.027021503345</v>
      </c>
      <c r="W25">
        <f>[4]data!W25*1000000000/(_xlfn.XLOOKUP($B25,[1]data!$C$2:$C$201,[1]data!AD$2:AD$201)*1000000)</f>
        <v>46503.234342840333</v>
      </c>
      <c r="X25">
        <f>[4]data!X25*1000000000/(_xlfn.XLOOKUP($B25,[1]data!$C$2:$C$201,[1]data!AE$2:AE$201)*1000000)</f>
        <v>51672.547270054834</v>
      </c>
      <c r="Y25">
        <f>[4]data!Y25*1000000000/(_xlfn.XLOOKUP($B25,[1]data!$C$2:$C$201,[1]data!AF$2:AF$201)*1000000)</f>
        <v>57143.177000925454</v>
      </c>
      <c r="Z25">
        <f>[4]data!Z25*1000000000/(_xlfn.XLOOKUP($B25,[1]data!$C$2:$C$201,[1]data!AG$2:AG$201)*1000000)</f>
        <v>62960.758983552587</v>
      </c>
      <c r="AA25">
        <f>[4]data!AA25*1000000000/(_xlfn.XLOOKUP($B25,[1]data!$C$2:$C$201,[1]data!AH$2:AH$201)*1000000)</f>
        <v>69128.313633561411</v>
      </c>
      <c r="AB25">
        <f>[4]data!AB25*1000000000/(_xlfn.XLOOKUP($B25,[1]data!$C$2:$C$201,[1]data!AI$2:AI$201)*1000000)</f>
        <v>75663.85648843208</v>
      </c>
      <c r="AC25">
        <f>[4]data!AC25*1000000000/(_xlfn.XLOOKUP($B25,[1]data!$C$2:$C$201,[1]data!AJ$2:AJ$201)*1000000)</f>
        <v>82612.902596515865</v>
      </c>
    </row>
    <row r="26" spans="1:29" x14ac:dyDescent="0.25">
      <c r="A26" t="s">
        <v>232</v>
      </c>
      <c r="B26" t="s">
        <v>58</v>
      </c>
      <c r="C26" t="s">
        <v>233</v>
      </c>
      <c r="D26" t="s">
        <v>234</v>
      </c>
      <c r="E26" t="e">
        <f>[4]data!E26*1000000000/(_xlfn.XLOOKUP($B26,[1]data!$C$2:$C$201,[1]data!L$2:L$201)*1000000)</f>
        <v>#VALUE!</v>
      </c>
      <c r="F26">
        <f>[4]data!F26*1000000000/(_xlfn.XLOOKUP($B26,[1]data!$C$2:$C$201,[1]data!M$2:M$201)*1000000)</f>
        <v>84121.960491542734</v>
      </c>
      <c r="G26">
        <f>[4]data!G26*1000000000/(_xlfn.XLOOKUP($B26,[1]data!$C$2:$C$201,[1]data!N$2:N$201)*1000000)</f>
        <v>71461.366051139674</v>
      </c>
      <c r="H26">
        <f>[4]data!H26*1000000000/(_xlfn.XLOOKUP($B26,[1]data!$C$2:$C$201,[1]data!O$2:O$201)*1000000)</f>
        <v>72831.092718481101</v>
      </c>
      <c r="I26">
        <f>[4]data!I26*1000000000/(_xlfn.XLOOKUP($B26,[1]data!$C$2:$C$201,[1]data!P$2:P$201)*1000000)</f>
        <v>69581.859498255595</v>
      </c>
      <c r="J26">
        <f>[4]data!J26*1000000000/(_xlfn.XLOOKUP($B26,[1]data!$C$2:$C$201,[1]data!Q$2:Q$201)*1000000)</f>
        <v>70070.704320636243</v>
      </c>
      <c r="K26">
        <f>[4]data!K26*1000000000/(_xlfn.XLOOKUP($B26,[1]data!$C$2:$C$201,[1]data!R$2:R$201)*1000000)</f>
        <v>66968.906975265461</v>
      </c>
      <c r="L26">
        <f>[4]data!L26*1000000000/(_xlfn.XLOOKUP($B26,[1]data!$C$2:$C$201,[1]data!S$2:S$201)*1000000)</f>
        <v>62508.082931473436</v>
      </c>
      <c r="M26">
        <f>[4]data!M26*1000000000/(_xlfn.XLOOKUP($B26,[1]data!$C$2:$C$201,[1]data!T$2:T$201)*1000000)</f>
        <v>61858.08399296194</v>
      </c>
      <c r="N26">
        <f>[4]data!N26*1000000000/(_xlfn.XLOOKUP($B26,[1]data!$C$2:$C$201,[1]data!U$2:U$201)*1000000)</f>
        <v>60313.40365297992</v>
      </c>
      <c r="O26">
        <f>[4]data!O26*1000000000/(_xlfn.XLOOKUP($B26,[1]data!$C$2:$C$201,[1]data!V$2:V$201)*1000000)</f>
        <v>67508.881678960126</v>
      </c>
      <c r="P26">
        <f>[4]data!P26*1000000000/(_xlfn.XLOOKUP($B26,[1]data!$C$2:$C$201,[1]data!W$2:W$201)*1000000)</f>
        <v>73423.262875771994</v>
      </c>
      <c r="Q26">
        <f>[4]data!Q26*1000000000/(_xlfn.XLOOKUP($B26,[1]data!$C$2:$C$201,[1]data!X$2:X$201)*1000000)</f>
        <v>76902.687263736341</v>
      </c>
      <c r="R26">
        <f>[4]data!R26*1000000000/(_xlfn.XLOOKUP($B26,[1]data!$C$2:$C$201,[1]data!Y$2:Y$201)*1000000)</f>
        <v>78936.174282271488</v>
      </c>
      <c r="S26">
        <f>[4]data!S26*1000000000/(_xlfn.XLOOKUP($B26,[1]data!$C$2:$C$201,[1]data!Z$2:Z$201)*1000000)</f>
        <v>80314.416385714154</v>
      </c>
      <c r="T26">
        <f>[4]data!T26*1000000000/(_xlfn.XLOOKUP($B26,[1]data!$C$2:$C$201,[1]data!AA$2:AA$201)*1000000)</f>
        <v>81591.067534894784</v>
      </c>
      <c r="U26">
        <f>[4]data!U26*1000000000/(_xlfn.XLOOKUP($B26,[1]data!$C$2:$C$201,[1]data!AB$2:AB$201)*1000000)</f>
        <v>83042.433446653435</v>
      </c>
      <c r="V26">
        <f>[4]data!V26*1000000000/(_xlfn.XLOOKUP($B26,[1]data!$C$2:$C$201,[1]data!AC$2:AC$201)*1000000)</f>
        <v>84864.746026657056</v>
      </c>
      <c r="W26">
        <f>[4]data!W26*1000000000/(_xlfn.XLOOKUP($B26,[1]data!$C$2:$C$201,[1]data!AD$2:AD$201)*1000000)</f>
        <v>86517.992254225552</v>
      </c>
      <c r="X26">
        <f>[4]data!X26*1000000000/(_xlfn.XLOOKUP($B26,[1]data!$C$2:$C$201,[1]data!AE$2:AE$201)*1000000)</f>
        <v>88257.611232616749</v>
      </c>
      <c r="Y26">
        <f>[4]data!Y26*1000000000/(_xlfn.XLOOKUP($B26,[1]data!$C$2:$C$201,[1]data!AF$2:AF$201)*1000000)</f>
        <v>90069.198474056568</v>
      </c>
      <c r="Z26">
        <f>[4]data!Z26*1000000000/(_xlfn.XLOOKUP($B26,[1]data!$C$2:$C$201,[1]data!AG$2:AG$201)*1000000)</f>
        <v>92081.087293407574</v>
      </c>
      <c r="AA26">
        <f>[4]data!AA26*1000000000/(_xlfn.XLOOKUP($B26,[1]data!$C$2:$C$201,[1]data!AH$2:AH$201)*1000000)</f>
        <v>94415.988957696041</v>
      </c>
      <c r="AB26">
        <f>[4]data!AB26*1000000000/(_xlfn.XLOOKUP($B26,[1]data!$C$2:$C$201,[1]data!AI$2:AI$201)*1000000)</f>
        <v>97122.402168624452</v>
      </c>
      <c r="AC26">
        <f>[4]data!AC26*1000000000/(_xlfn.XLOOKUP($B26,[1]data!$C$2:$C$201,[1]data!AJ$2:AJ$201)*1000000)</f>
        <v>100226.04158179845</v>
      </c>
    </row>
    <row r="27" spans="1:29" x14ac:dyDescent="0.25">
      <c r="A27" t="s">
        <v>232</v>
      </c>
      <c r="B27" t="s">
        <v>59</v>
      </c>
      <c r="C27" t="s">
        <v>233</v>
      </c>
      <c r="D27" t="s">
        <v>234</v>
      </c>
      <c r="E27">
        <f>[4]data!E27*1000000000/(_xlfn.XLOOKUP($B27,[1]data!$C$2:$C$201,[1]data!L$2:L$201)*1000000)</f>
        <v>1342.2065701272859</v>
      </c>
      <c r="F27">
        <f>[4]data!F27*1000000000/(_xlfn.XLOOKUP($B27,[1]data!$C$2:$C$201,[1]data!M$2:M$201)*1000000)</f>
        <v>1702.2095488715502</v>
      </c>
      <c r="G27">
        <f>[4]data!G27*1000000000/(_xlfn.XLOOKUP($B27,[1]data!$C$2:$C$201,[1]data!N$2:N$201)*1000000)</f>
        <v>2547.6413111236752</v>
      </c>
      <c r="H27">
        <f>[4]data!H27*1000000000/(_xlfn.XLOOKUP($B27,[1]data!$C$2:$C$201,[1]data!O$2:O$201)*1000000)</f>
        <v>3223.3906306533963</v>
      </c>
      <c r="I27">
        <f>[4]data!I27*1000000000/(_xlfn.XLOOKUP($B27,[1]data!$C$2:$C$201,[1]data!P$2:P$201)*1000000)</f>
        <v>3947.4847447793836</v>
      </c>
      <c r="J27">
        <f>[4]data!J27*1000000000/(_xlfn.XLOOKUP($B27,[1]data!$C$2:$C$201,[1]data!Q$2:Q$201)*1000000)</f>
        <v>5078.7380022626912</v>
      </c>
      <c r="K27">
        <f>[4]data!K27*1000000000/(_xlfn.XLOOKUP($B27,[1]data!$C$2:$C$201,[1]data!R$2:R$201)*1000000)</f>
        <v>7398.4586900718487</v>
      </c>
      <c r="L27">
        <f>[4]data!L27*1000000000/(_xlfn.XLOOKUP($B27,[1]data!$C$2:$C$201,[1]data!S$2:S$201)*1000000)</f>
        <v>9388.6530745727305</v>
      </c>
      <c r="M27">
        <f>[4]data!M27*1000000000/(_xlfn.XLOOKUP($B27,[1]data!$C$2:$C$201,[1]data!T$2:T$201)*1000000)</f>
        <v>10910.198351422161</v>
      </c>
      <c r="N27">
        <f>[4]data!N27*1000000000/(_xlfn.XLOOKUP($B27,[1]data!$C$2:$C$201,[1]data!U$2:U$201)*1000000)</f>
        <v>12103.461330177704</v>
      </c>
      <c r="O27">
        <f>[4]data!O27*1000000000/(_xlfn.XLOOKUP($B27,[1]data!$C$2:$C$201,[1]data!V$2:V$201)*1000000)</f>
        <v>14220.435532064388</v>
      </c>
      <c r="P27">
        <f>[4]data!P27*1000000000/(_xlfn.XLOOKUP($B27,[1]data!$C$2:$C$201,[1]data!W$2:W$201)*1000000)</f>
        <v>16272.079903819495</v>
      </c>
      <c r="Q27">
        <f>[4]data!Q27*1000000000/(_xlfn.XLOOKUP($B27,[1]data!$C$2:$C$201,[1]data!X$2:X$201)*1000000)</f>
        <v>18358.706066289247</v>
      </c>
      <c r="R27">
        <f>[4]data!R27*1000000000/(_xlfn.XLOOKUP($B27,[1]data!$C$2:$C$201,[1]data!Y$2:Y$201)*1000000)</f>
        <v>20659.179996661507</v>
      </c>
      <c r="S27">
        <f>[4]data!S27*1000000000/(_xlfn.XLOOKUP($B27,[1]data!$C$2:$C$201,[1]data!Z$2:Z$201)*1000000)</f>
        <v>23262.53199701495</v>
      </c>
      <c r="T27">
        <f>[4]data!T27*1000000000/(_xlfn.XLOOKUP($B27,[1]data!$C$2:$C$201,[1]data!AA$2:AA$201)*1000000)</f>
        <v>26285.301421820546</v>
      </c>
      <c r="U27">
        <f>[4]data!U27*1000000000/(_xlfn.XLOOKUP($B27,[1]data!$C$2:$C$201,[1]data!AB$2:AB$201)*1000000)</f>
        <v>29754.5863115705</v>
      </c>
      <c r="V27">
        <f>[4]data!V27*1000000000/(_xlfn.XLOOKUP($B27,[1]data!$C$2:$C$201,[1]data!AC$2:AC$201)*1000000)</f>
        <v>33719.553728714032</v>
      </c>
      <c r="W27">
        <f>[4]data!W27*1000000000/(_xlfn.XLOOKUP($B27,[1]data!$C$2:$C$201,[1]data!AD$2:AD$201)*1000000)</f>
        <v>37995.672387239778</v>
      </c>
      <c r="X27">
        <f>[4]data!X27*1000000000/(_xlfn.XLOOKUP($B27,[1]data!$C$2:$C$201,[1]data!AE$2:AE$201)*1000000)</f>
        <v>42548.306066050653</v>
      </c>
      <c r="Y27">
        <f>[4]data!Y27*1000000000/(_xlfn.XLOOKUP($B27,[1]data!$C$2:$C$201,[1]data!AF$2:AF$201)*1000000)</f>
        <v>47329.977637192067</v>
      </c>
      <c r="Z27">
        <f>[4]data!Z27*1000000000/(_xlfn.XLOOKUP($B27,[1]data!$C$2:$C$201,[1]data!AG$2:AG$201)*1000000)</f>
        <v>52254.285823981016</v>
      </c>
      <c r="AA27">
        <f>[4]data!AA27*1000000000/(_xlfn.XLOOKUP($B27,[1]data!$C$2:$C$201,[1]data!AH$2:AH$201)*1000000)</f>
        <v>57391.89978616943</v>
      </c>
      <c r="AB27">
        <f>[4]data!AB27*1000000000/(_xlfn.XLOOKUP($B27,[1]data!$C$2:$C$201,[1]data!AI$2:AI$201)*1000000)</f>
        <v>62771.553432067856</v>
      </c>
      <c r="AC27">
        <f>[4]data!AC27*1000000000/(_xlfn.XLOOKUP($B27,[1]data!$C$2:$C$201,[1]data!AJ$2:AJ$201)*1000000)</f>
        <v>68422.313238006376</v>
      </c>
    </row>
    <row r="28" spans="1:29" x14ac:dyDescent="0.25">
      <c r="A28" t="s">
        <v>232</v>
      </c>
      <c r="B28" t="s">
        <v>60</v>
      </c>
      <c r="C28" t="s">
        <v>233</v>
      </c>
      <c r="D28" t="s">
        <v>234</v>
      </c>
      <c r="E28">
        <f>[4]data!E28*1000000000/(_xlfn.XLOOKUP($B28,[1]data!$C$2:$C$201,[1]data!L$2:L$201)*1000000)</f>
        <v>5306.8472631036502</v>
      </c>
      <c r="F28">
        <f>[4]data!F28*1000000000/(_xlfn.XLOOKUP($B28,[1]data!$C$2:$C$201,[1]data!M$2:M$201)*1000000)</f>
        <v>6920.8104711180722</v>
      </c>
      <c r="G28">
        <f>[4]data!G28*1000000000/(_xlfn.XLOOKUP($B28,[1]data!$C$2:$C$201,[1]data!N$2:N$201)*1000000)</f>
        <v>10271.65623600334</v>
      </c>
      <c r="H28">
        <f>[4]data!H28*1000000000/(_xlfn.XLOOKUP($B28,[1]data!$C$2:$C$201,[1]data!O$2:O$201)*1000000)</f>
        <v>10571.512186415677</v>
      </c>
      <c r="I28">
        <f>[4]data!I28*1000000000/(_xlfn.XLOOKUP($B28,[1]data!$C$2:$C$201,[1]data!P$2:P$201)*1000000)</f>
        <v>11463.165789341287</v>
      </c>
      <c r="J28">
        <f>[4]data!J28*1000000000/(_xlfn.XLOOKUP($B28,[1]data!$C$2:$C$201,[1]data!Q$2:Q$201)*1000000)</f>
        <v>12886.82029015954</v>
      </c>
      <c r="K28">
        <f>[4]data!K28*1000000000/(_xlfn.XLOOKUP($B28,[1]data!$C$2:$C$201,[1]data!R$2:R$201)*1000000)</f>
        <v>12785.353496317022</v>
      </c>
      <c r="L28">
        <f>[4]data!L28*1000000000/(_xlfn.XLOOKUP($B28,[1]data!$C$2:$C$201,[1]data!S$2:S$201)*1000000)</f>
        <v>13820.124728501025</v>
      </c>
      <c r="M28">
        <f>[4]data!M28*1000000000/(_xlfn.XLOOKUP($B28,[1]data!$C$2:$C$201,[1]data!T$2:T$201)*1000000)</f>
        <v>13668.239714592652</v>
      </c>
      <c r="N28">
        <f>[4]data!N28*1000000000/(_xlfn.XLOOKUP($B28,[1]data!$C$2:$C$201,[1]data!U$2:U$201)*1000000)</f>
        <v>16845.757627752992</v>
      </c>
      <c r="O28">
        <f>[4]data!O28*1000000000/(_xlfn.XLOOKUP($B28,[1]data!$C$2:$C$201,[1]data!V$2:V$201)*1000000)</f>
        <v>19143.371340465026</v>
      </c>
      <c r="P28">
        <f>[4]data!P28*1000000000/(_xlfn.XLOOKUP($B28,[1]data!$C$2:$C$201,[1]data!W$2:W$201)*1000000)</f>
        <v>21590.441759770751</v>
      </c>
      <c r="Q28">
        <f>[4]data!Q28*1000000000/(_xlfn.XLOOKUP($B28,[1]data!$C$2:$C$201,[1]data!X$2:X$201)*1000000)</f>
        <v>23881.152247400005</v>
      </c>
      <c r="R28">
        <f>[4]data!R28*1000000000/(_xlfn.XLOOKUP($B28,[1]data!$C$2:$C$201,[1]data!Y$2:Y$201)*1000000)</f>
        <v>26194.486958492471</v>
      </c>
      <c r="S28">
        <f>[4]data!S28*1000000000/(_xlfn.XLOOKUP($B28,[1]data!$C$2:$C$201,[1]data!Z$2:Z$201)*1000000)</f>
        <v>28750.40578433319</v>
      </c>
      <c r="T28">
        <f>[4]data!T28*1000000000/(_xlfn.XLOOKUP($B28,[1]data!$C$2:$C$201,[1]data!AA$2:AA$201)*1000000)</f>
        <v>31677.258409866368</v>
      </c>
      <c r="U28">
        <f>[4]data!U28*1000000000/(_xlfn.XLOOKUP($B28,[1]data!$C$2:$C$201,[1]data!AB$2:AB$201)*1000000)</f>
        <v>34954.80659509304</v>
      </c>
      <c r="V28">
        <f>[4]data!V28*1000000000/(_xlfn.XLOOKUP($B28,[1]data!$C$2:$C$201,[1]data!AC$2:AC$201)*1000000)</f>
        <v>38512.603143882625</v>
      </c>
      <c r="W28">
        <f>[4]data!W28*1000000000/(_xlfn.XLOOKUP($B28,[1]data!$C$2:$C$201,[1]data!AD$2:AD$201)*1000000)</f>
        <v>42308.471302563841</v>
      </c>
      <c r="X28">
        <f>[4]data!X28*1000000000/(_xlfn.XLOOKUP($B28,[1]data!$C$2:$C$201,[1]data!AE$2:AE$201)*1000000)</f>
        <v>46397.861988624682</v>
      </c>
      <c r="Y28">
        <f>[4]data!Y28*1000000000/(_xlfn.XLOOKUP($B28,[1]data!$C$2:$C$201,[1]data!AF$2:AF$201)*1000000)</f>
        <v>50897.724694070697</v>
      </c>
      <c r="Z28">
        <f>[4]data!Z28*1000000000/(_xlfn.XLOOKUP($B28,[1]data!$C$2:$C$201,[1]data!AG$2:AG$201)*1000000)</f>
        <v>55821.383246149395</v>
      </c>
      <c r="AA28">
        <f>[4]data!AA28*1000000000/(_xlfn.XLOOKUP($B28,[1]data!$C$2:$C$201,[1]data!AH$2:AH$201)*1000000)</f>
        <v>61248.635785160142</v>
      </c>
      <c r="AB28">
        <f>[4]data!AB28*1000000000/(_xlfn.XLOOKUP($B28,[1]data!$C$2:$C$201,[1]data!AI$2:AI$201)*1000000)</f>
        <v>67108.225100628712</v>
      </c>
      <c r="AC28">
        <f>[4]data!AC28*1000000000/(_xlfn.XLOOKUP($B28,[1]data!$C$2:$C$201,[1]data!AJ$2:AJ$201)*1000000)</f>
        <v>73444.068722580691</v>
      </c>
    </row>
    <row r="29" spans="1:29" x14ac:dyDescent="0.25">
      <c r="A29" t="s">
        <v>232</v>
      </c>
      <c r="B29" t="s">
        <v>61</v>
      </c>
      <c r="C29" t="s">
        <v>233</v>
      </c>
      <c r="D29" t="s">
        <v>234</v>
      </c>
      <c r="E29">
        <f>[4]data!E29*1000000000/(_xlfn.XLOOKUP($B29,[1]data!$C$2:$C$201,[1]data!L$2:L$201)*1000000)</f>
        <v>1193.3472123835979</v>
      </c>
      <c r="F29">
        <f>[4]data!F29*1000000000/(_xlfn.XLOOKUP($B29,[1]data!$C$2:$C$201,[1]data!M$2:M$201)*1000000)</f>
        <v>1318.3657660831018</v>
      </c>
      <c r="G29">
        <f>[4]data!G29*1000000000/(_xlfn.XLOOKUP($B29,[1]data!$C$2:$C$201,[1]data!N$2:N$201)*1000000)</f>
        <v>1387.7483726251028</v>
      </c>
      <c r="H29">
        <f>[4]data!H29*1000000000/(_xlfn.XLOOKUP($B29,[1]data!$C$2:$C$201,[1]data!O$2:O$201)*1000000)</f>
        <v>1283.1162444739334</v>
      </c>
      <c r="I29">
        <f>[4]data!I29*1000000000/(_xlfn.XLOOKUP($B29,[1]data!$C$2:$C$201,[1]data!P$2:P$201)*1000000)</f>
        <v>1122.4562752517588</v>
      </c>
      <c r="J29">
        <f>[4]data!J29*1000000000/(_xlfn.XLOOKUP($B29,[1]data!$C$2:$C$201,[1]data!Q$2:Q$201)*1000000)</f>
        <v>1052.9945371189631</v>
      </c>
      <c r="K29">
        <f>[4]data!K29*1000000000/(_xlfn.XLOOKUP($B29,[1]data!$C$2:$C$201,[1]data!R$2:R$201)*1000000)</f>
        <v>1142.0000229712832</v>
      </c>
      <c r="L29">
        <f>[4]data!L29*1000000000/(_xlfn.XLOOKUP($B29,[1]data!$C$2:$C$201,[1]data!S$2:S$201)*1000000)</f>
        <v>801.38996029162979</v>
      </c>
      <c r="M29">
        <f>[4]data!M29*1000000000/(_xlfn.XLOOKUP($B29,[1]data!$C$2:$C$201,[1]data!T$2:T$201)*1000000)</f>
        <v>858.8010980223155</v>
      </c>
      <c r="N29">
        <f>[4]data!N29*1000000000/(_xlfn.XLOOKUP($B29,[1]data!$C$2:$C$201,[1]data!U$2:U$201)*1000000)</f>
        <v>808.46966660802991</v>
      </c>
      <c r="O29">
        <f>[4]data!O29*1000000000/(_xlfn.XLOOKUP($B29,[1]data!$C$2:$C$201,[1]data!V$2:V$201)*1000000)</f>
        <v>865.7301762826329</v>
      </c>
      <c r="P29">
        <f>[4]data!P29*1000000000/(_xlfn.XLOOKUP($B29,[1]data!$C$2:$C$201,[1]data!W$2:W$201)*1000000)</f>
        <v>1027.1258095339736</v>
      </c>
      <c r="Q29">
        <f>[4]data!Q29*1000000000/(_xlfn.XLOOKUP($B29,[1]data!$C$2:$C$201,[1]data!X$2:X$201)*1000000)</f>
        <v>1246.9281446435325</v>
      </c>
      <c r="R29">
        <f>[4]data!R29*1000000000/(_xlfn.XLOOKUP($B29,[1]data!$C$2:$C$201,[1]data!Y$2:Y$201)*1000000)</f>
        <v>1548.6531909303594</v>
      </c>
      <c r="S29">
        <f>[4]data!S29*1000000000/(_xlfn.XLOOKUP($B29,[1]data!$C$2:$C$201,[1]data!Z$2:Z$201)*1000000)</f>
        <v>1947.8126241968509</v>
      </c>
      <c r="T29">
        <f>[4]data!T29*1000000000/(_xlfn.XLOOKUP($B29,[1]data!$C$2:$C$201,[1]data!AA$2:AA$201)*1000000)</f>
        <v>2463.6036052161671</v>
      </c>
      <c r="U29">
        <f>[4]data!U29*1000000000/(_xlfn.XLOOKUP($B29,[1]data!$C$2:$C$201,[1]data!AB$2:AB$201)*1000000)</f>
        <v>3118.8048218852059</v>
      </c>
      <c r="V29">
        <f>[4]data!V29*1000000000/(_xlfn.XLOOKUP($B29,[1]data!$C$2:$C$201,[1]data!AC$2:AC$201)*1000000)</f>
        <v>3943.7561515226002</v>
      </c>
      <c r="W29">
        <f>[4]data!W29*1000000000/(_xlfn.XLOOKUP($B29,[1]data!$C$2:$C$201,[1]data!AD$2:AD$201)*1000000)</f>
        <v>4961.5869829915537</v>
      </c>
      <c r="X29">
        <f>[4]data!X29*1000000000/(_xlfn.XLOOKUP($B29,[1]data!$C$2:$C$201,[1]data!AE$2:AE$201)*1000000)</f>
        <v>6215.2531486677799</v>
      </c>
      <c r="Y29">
        <f>[4]data!Y29*1000000000/(_xlfn.XLOOKUP($B29,[1]data!$C$2:$C$201,[1]data!AF$2:AF$201)*1000000)</f>
        <v>7743.7316484002904</v>
      </c>
      <c r="Z29">
        <f>[4]data!Z29*1000000000/(_xlfn.XLOOKUP($B29,[1]data!$C$2:$C$201,[1]data!AG$2:AG$201)*1000000)</f>
        <v>9589.0986462686997</v>
      </c>
      <c r="AA29">
        <f>[4]data!AA29*1000000000/(_xlfn.XLOOKUP($B29,[1]data!$C$2:$C$201,[1]data!AH$2:AH$201)*1000000)</f>
        <v>11816.99667030558</v>
      </c>
      <c r="AB29">
        <f>[4]data!AB29*1000000000/(_xlfn.XLOOKUP($B29,[1]data!$C$2:$C$201,[1]data!AI$2:AI$201)*1000000)</f>
        <v>14487.595323421085</v>
      </c>
      <c r="AC29">
        <f>[4]data!AC29*1000000000/(_xlfn.XLOOKUP($B29,[1]data!$C$2:$C$201,[1]data!AJ$2:AJ$201)*1000000)</f>
        <v>17642.120594106473</v>
      </c>
    </row>
    <row r="30" spans="1:29" x14ac:dyDescent="0.25">
      <c r="A30" t="s">
        <v>232</v>
      </c>
      <c r="B30" t="s">
        <v>62</v>
      </c>
      <c r="C30" t="s">
        <v>233</v>
      </c>
      <c r="D30" t="s">
        <v>234</v>
      </c>
      <c r="E30">
        <f>[4]data!E30*1000000000/(_xlfn.XLOOKUP($B30,[1]data!$C$2:$C$201,[1]data!L$2:L$201)*1000000)</f>
        <v>30299.155995075758</v>
      </c>
      <c r="F30">
        <f>[4]data!F30*1000000000/(_xlfn.XLOOKUP($B30,[1]data!$C$2:$C$201,[1]data!M$2:M$201)*1000000)</f>
        <v>32711.771941008028</v>
      </c>
      <c r="G30">
        <f>[4]data!G30*1000000000/(_xlfn.XLOOKUP($B30,[1]data!$C$2:$C$201,[1]data!N$2:N$201)*1000000)</f>
        <v>34844.602868333539</v>
      </c>
      <c r="H30">
        <f>[4]data!H30*1000000000/(_xlfn.XLOOKUP($B30,[1]data!$C$2:$C$201,[1]data!O$2:O$201)*1000000)</f>
        <v>35750.794308606164</v>
      </c>
      <c r="I30">
        <f>[4]data!I30*1000000000/(_xlfn.XLOOKUP($B30,[1]data!$C$2:$C$201,[1]data!P$2:P$201)*1000000)</f>
        <v>39056.513239754444</v>
      </c>
      <c r="J30">
        <f>[4]data!J30*1000000000/(_xlfn.XLOOKUP($B30,[1]data!$C$2:$C$201,[1]data!Q$2:Q$201)*1000000)</f>
        <v>42238.906255585098</v>
      </c>
      <c r="K30">
        <f>[4]data!K30*1000000000/(_xlfn.XLOOKUP($B30,[1]data!$C$2:$C$201,[1]data!R$2:R$201)*1000000)</f>
        <v>42446.739994580712</v>
      </c>
      <c r="L30">
        <f>[4]data!L30*1000000000/(_xlfn.XLOOKUP($B30,[1]data!$C$2:$C$201,[1]data!S$2:S$201)*1000000)</f>
        <v>44846.634268323163</v>
      </c>
      <c r="M30">
        <f>[4]data!M30*1000000000/(_xlfn.XLOOKUP($B30,[1]data!$C$2:$C$201,[1]data!T$2:T$201)*1000000)</f>
        <v>43696.162077063134</v>
      </c>
      <c r="N30">
        <f>[4]data!N30*1000000000/(_xlfn.XLOOKUP($B30,[1]data!$C$2:$C$201,[1]data!U$2:U$201)*1000000)</f>
        <v>48197.227637893855</v>
      </c>
      <c r="O30">
        <f>[4]data!O30*1000000000/(_xlfn.XLOOKUP($B30,[1]data!$C$2:$C$201,[1]data!V$2:V$201)*1000000)</f>
        <v>52413.857727469243</v>
      </c>
      <c r="P30">
        <f>[4]data!P30*1000000000/(_xlfn.XLOOKUP($B30,[1]data!$C$2:$C$201,[1]data!W$2:W$201)*1000000)</f>
        <v>57175.575113897001</v>
      </c>
      <c r="Q30">
        <f>[4]data!Q30*1000000000/(_xlfn.XLOOKUP($B30,[1]data!$C$2:$C$201,[1]data!X$2:X$201)*1000000)</f>
        <v>62487.981151018706</v>
      </c>
      <c r="R30">
        <f>[4]data!R30*1000000000/(_xlfn.XLOOKUP($B30,[1]data!$C$2:$C$201,[1]data!Y$2:Y$201)*1000000)</f>
        <v>67962.163407469445</v>
      </c>
      <c r="S30">
        <f>[4]data!S30*1000000000/(_xlfn.XLOOKUP($B30,[1]data!$C$2:$C$201,[1]data!Z$2:Z$201)*1000000)</f>
        <v>73236.978755518649</v>
      </c>
      <c r="T30">
        <f>[4]data!T30*1000000000/(_xlfn.XLOOKUP($B30,[1]data!$C$2:$C$201,[1]data!AA$2:AA$201)*1000000)</f>
        <v>78529.159493437968</v>
      </c>
      <c r="U30">
        <f>[4]data!U30*1000000000/(_xlfn.XLOOKUP($B30,[1]data!$C$2:$C$201,[1]data!AB$2:AB$201)*1000000)</f>
        <v>83806.259372864763</v>
      </c>
      <c r="V30">
        <f>[4]data!V30*1000000000/(_xlfn.XLOOKUP($B30,[1]data!$C$2:$C$201,[1]data!AC$2:AC$201)*1000000)</f>
        <v>89238.785892605025</v>
      </c>
      <c r="W30">
        <f>[4]data!W30*1000000000/(_xlfn.XLOOKUP($B30,[1]data!$C$2:$C$201,[1]data!AD$2:AD$201)*1000000)</f>
        <v>94658.220392985677</v>
      </c>
      <c r="X30">
        <f>[4]data!X30*1000000000/(_xlfn.XLOOKUP($B30,[1]data!$C$2:$C$201,[1]data!AE$2:AE$201)*1000000)</f>
        <v>99940.783986300274</v>
      </c>
      <c r="Y30">
        <f>[4]data!Y30*1000000000/(_xlfn.XLOOKUP($B30,[1]data!$C$2:$C$201,[1]data!AF$2:AF$201)*1000000)</f>
        <v>105109.12817646742</v>
      </c>
      <c r="Z30">
        <f>[4]data!Z30*1000000000/(_xlfn.XLOOKUP($B30,[1]data!$C$2:$C$201,[1]data!AG$2:AG$201)*1000000)</f>
        <v>110258.18755898051</v>
      </c>
      <c r="AA30">
        <f>[4]data!AA30*1000000000/(_xlfn.XLOOKUP($B30,[1]data!$C$2:$C$201,[1]data!AH$2:AH$201)*1000000)</f>
        <v>115453.95727843186</v>
      </c>
      <c r="AB30">
        <f>[4]data!AB30*1000000000/(_xlfn.XLOOKUP($B30,[1]data!$C$2:$C$201,[1]data!AI$2:AI$201)*1000000)</f>
        <v>120684.42809004786</v>
      </c>
      <c r="AC30">
        <f>[4]data!AC30*1000000000/(_xlfn.XLOOKUP($B30,[1]data!$C$2:$C$201,[1]data!AJ$2:AJ$201)*1000000)</f>
        <v>125851.43587077274</v>
      </c>
    </row>
    <row r="31" spans="1:29" x14ac:dyDescent="0.25">
      <c r="A31" t="s">
        <v>232</v>
      </c>
      <c r="B31" t="s">
        <v>63</v>
      </c>
      <c r="C31" t="s">
        <v>233</v>
      </c>
      <c r="D31" t="s">
        <v>234</v>
      </c>
      <c r="E31">
        <f>[4]data!E31*1000000000/(_xlfn.XLOOKUP($B31,[1]data!$C$2:$C$201,[1]data!L$2:L$201)*1000000)</f>
        <v>48050.870299741269</v>
      </c>
      <c r="F31">
        <f>[4]data!F31*1000000000/(_xlfn.XLOOKUP($B31,[1]data!$C$2:$C$201,[1]data!M$2:M$201)*1000000)</f>
        <v>50593.286057165766</v>
      </c>
      <c r="G31">
        <f>[4]data!G31*1000000000/(_xlfn.XLOOKUP($B31,[1]data!$C$2:$C$201,[1]data!N$2:N$201)*1000000)</f>
        <v>56613.890134340989</v>
      </c>
      <c r="H31">
        <f>[4]data!H31*1000000000/(_xlfn.XLOOKUP($B31,[1]data!$C$2:$C$201,[1]data!O$2:O$201)*1000000)</f>
        <v>54184.042665538676</v>
      </c>
      <c r="I31">
        <f>[4]data!I31*1000000000/(_xlfn.XLOOKUP($B31,[1]data!$C$2:$C$201,[1]data!P$2:P$201)*1000000)</f>
        <v>57627.206672719454</v>
      </c>
      <c r="J31">
        <f>[4]data!J31*1000000000/(_xlfn.XLOOKUP($B31,[1]data!$C$2:$C$201,[1]data!Q$2:Q$201)*1000000)</f>
        <v>59634.684244912532</v>
      </c>
      <c r="K31">
        <f>[4]data!K31*1000000000/(_xlfn.XLOOKUP($B31,[1]data!$C$2:$C$201,[1]data!R$2:R$201)*1000000)</f>
        <v>63660.133963263557</v>
      </c>
      <c r="L31">
        <f>[4]data!L31*1000000000/(_xlfn.XLOOKUP($B31,[1]data!$C$2:$C$201,[1]data!S$2:S$201)*1000000)</f>
        <v>65605.347629939337</v>
      </c>
      <c r="M31">
        <f>[4]data!M31*1000000000/(_xlfn.XLOOKUP($B31,[1]data!$C$2:$C$201,[1]data!T$2:T$201)*1000000)</f>
        <v>66108.742467546937</v>
      </c>
      <c r="N31">
        <f>[4]data!N31*1000000000/(_xlfn.XLOOKUP($B31,[1]data!$C$2:$C$201,[1]data!U$2:U$201)*1000000)</f>
        <v>71760.861018226351</v>
      </c>
      <c r="O31">
        <f>[4]data!O31*1000000000/(_xlfn.XLOOKUP($B31,[1]data!$C$2:$C$201,[1]data!V$2:V$201)*1000000)</f>
        <v>74366.411018556959</v>
      </c>
      <c r="P31">
        <f>[4]data!P31*1000000000/(_xlfn.XLOOKUP($B31,[1]data!$C$2:$C$201,[1]data!W$2:W$201)*1000000)</f>
        <v>77116.319003103315</v>
      </c>
      <c r="Q31">
        <f>[4]data!Q31*1000000000/(_xlfn.XLOOKUP($B31,[1]data!$C$2:$C$201,[1]data!X$2:X$201)*1000000)</f>
        <v>79464.488007477412</v>
      </c>
      <c r="R31">
        <f>[4]data!R31*1000000000/(_xlfn.XLOOKUP($B31,[1]data!$C$2:$C$201,[1]data!Y$2:Y$201)*1000000)</f>
        <v>81577.730647944365</v>
      </c>
      <c r="S31">
        <f>[4]data!S31*1000000000/(_xlfn.XLOOKUP($B31,[1]data!$C$2:$C$201,[1]data!Z$2:Z$201)*1000000)</f>
        <v>83490.325934005959</v>
      </c>
      <c r="T31">
        <f>[4]data!T31*1000000000/(_xlfn.XLOOKUP($B31,[1]data!$C$2:$C$201,[1]data!AA$2:AA$201)*1000000)</f>
        <v>85568.021995581759</v>
      </c>
      <c r="U31">
        <f>[4]data!U31*1000000000/(_xlfn.XLOOKUP($B31,[1]data!$C$2:$C$201,[1]data!AB$2:AB$201)*1000000)</f>
        <v>88035.016871464642</v>
      </c>
      <c r="V31">
        <f>[4]data!V31*1000000000/(_xlfn.XLOOKUP($B31,[1]data!$C$2:$C$201,[1]data!AC$2:AC$201)*1000000)</f>
        <v>90987.706398110895</v>
      </c>
      <c r="W31">
        <f>[4]data!W31*1000000000/(_xlfn.XLOOKUP($B31,[1]data!$C$2:$C$201,[1]data!AD$2:AD$201)*1000000)</f>
        <v>94090.866890630306</v>
      </c>
      <c r="X31">
        <f>[4]data!X31*1000000000/(_xlfn.XLOOKUP($B31,[1]data!$C$2:$C$201,[1]data!AE$2:AE$201)*1000000)</f>
        <v>97154.111632156899</v>
      </c>
      <c r="Y31">
        <f>[4]data!Y31*1000000000/(_xlfn.XLOOKUP($B31,[1]data!$C$2:$C$201,[1]data!AF$2:AF$201)*1000000)</f>
        <v>100063.39142067927</v>
      </c>
      <c r="Z31">
        <f>[4]data!Z31*1000000000/(_xlfn.XLOOKUP($B31,[1]data!$C$2:$C$201,[1]data!AG$2:AG$201)*1000000)</f>
        <v>102815.6822619161</v>
      </c>
      <c r="AA31">
        <f>[4]data!AA31*1000000000/(_xlfn.XLOOKUP($B31,[1]data!$C$2:$C$201,[1]data!AH$2:AH$201)*1000000)</f>
        <v>105461.60172442955</v>
      </c>
      <c r="AB31">
        <f>[4]data!AB31*1000000000/(_xlfn.XLOOKUP($B31,[1]data!$C$2:$C$201,[1]data!AI$2:AI$201)*1000000)</f>
        <v>108042.19573397592</v>
      </c>
      <c r="AC31">
        <f>[4]data!AC31*1000000000/(_xlfn.XLOOKUP($B31,[1]data!$C$2:$C$201,[1]data!AJ$2:AJ$201)*1000000)</f>
        <v>110540.65335800557</v>
      </c>
    </row>
    <row r="32" spans="1:29" x14ac:dyDescent="0.25">
      <c r="A32" t="s">
        <v>232</v>
      </c>
      <c r="B32" t="s">
        <v>64</v>
      </c>
      <c r="C32" t="s">
        <v>233</v>
      </c>
      <c r="D32" t="s">
        <v>234</v>
      </c>
      <c r="E32">
        <f>[4]data!E32*1000000000/(_xlfn.XLOOKUP($B32,[1]data!$C$2:$C$201,[1]data!L$2:L$201)*1000000)</f>
        <v>8524.7161071360642</v>
      </c>
      <c r="F32">
        <f>[4]data!F32*1000000000/(_xlfn.XLOOKUP($B32,[1]data!$C$2:$C$201,[1]data!M$2:M$201)*1000000)</f>
        <v>7641.739120768897</v>
      </c>
      <c r="G32">
        <f>[4]data!G32*1000000000/(_xlfn.XLOOKUP($B32,[1]data!$C$2:$C$201,[1]data!N$2:N$201)*1000000)</f>
        <v>9364.8313683580927</v>
      </c>
      <c r="H32">
        <f>[4]data!H32*1000000000/(_xlfn.XLOOKUP($B32,[1]data!$C$2:$C$201,[1]data!O$2:O$201)*1000000)</f>
        <v>13130.975233222125</v>
      </c>
      <c r="I32">
        <f>[4]data!I32*1000000000/(_xlfn.XLOOKUP($B32,[1]data!$C$2:$C$201,[1]data!P$2:P$201)*1000000)</f>
        <v>14420.744016709654</v>
      </c>
      <c r="J32">
        <f>[4]data!J32*1000000000/(_xlfn.XLOOKUP($B32,[1]data!$C$2:$C$201,[1]data!Q$2:Q$201)*1000000)</f>
        <v>17147.373841662939</v>
      </c>
      <c r="K32">
        <f>[4]data!K32*1000000000/(_xlfn.XLOOKUP($B32,[1]data!$C$2:$C$201,[1]data!R$2:R$201)*1000000)</f>
        <v>19783.910957300275</v>
      </c>
      <c r="L32">
        <f>[4]data!L32*1000000000/(_xlfn.XLOOKUP($B32,[1]data!$C$2:$C$201,[1]data!S$2:S$201)*1000000)</f>
        <v>22803.331453777697</v>
      </c>
      <c r="M32">
        <f>[4]data!M32*1000000000/(_xlfn.XLOOKUP($B32,[1]data!$C$2:$C$201,[1]data!T$2:T$201)*1000000)</f>
        <v>21366.198822785307</v>
      </c>
      <c r="N32">
        <f>[4]data!N32*1000000000/(_xlfn.XLOOKUP($B32,[1]data!$C$2:$C$201,[1]data!U$2:U$201)*1000000)</f>
        <v>25007.740915602084</v>
      </c>
      <c r="O32">
        <f>[4]data!O32*1000000000/(_xlfn.XLOOKUP($B32,[1]data!$C$2:$C$201,[1]data!V$2:V$201)*1000000)</f>
        <v>26424.959056163167</v>
      </c>
      <c r="P32">
        <f>[4]data!P32*1000000000/(_xlfn.XLOOKUP($B32,[1]data!$C$2:$C$201,[1]data!W$2:W$201)*1000000)</f>
        <v>28810.89591232724</v>
      </c>
      <c r="Q32">
        <f>[4]data!Q32*1000000000/(_xlfn.XLOOKUP($B32,[1]data!$C$2:$C$201,[1]data!X$2:X$201)*1000000)</f>
        <v>31677.23148055487</v>
      </c>
      <c r="R32">
        <f>[4]data!R32*1000000000/(_xlfn.XLOOKUP($B32,[1]data!$C$2:$C$201,[1]data!Y$2:Y$201)*1000000)</f>
        <v>35005.866474896022</v>
      </c>
      <c r="S32">
        <f>[4]data!S32*1000000000/(_xlfn.XLOOKUP($B32,[1]data!$C$2:$C$201,[1]data!Z$2:Z$201)*1000000)</f>
        <v>38682.116302430491</v>
      </c>
      <c r="T32">
        <f>[4]data!T32*1000000000/(_xlfn.XLOOKUP($B32,[1]data!$C$2:$C$201,[1]data!AA$2:AA$201)*1000000)</f>
        <v>42603.860969827809</v>
      </c>
      <c r="U32">
        <f>[4]data!U32*1000000000/(_xlfn.XLOOKUP($B32,[1]data!$C$2:$C$201,[1]data!AB$2:AB$201)*1000000)</f>
        <v>46767.065692682299</v>
      </c>
      <c r="V32">
        <f>[4]data!V32*1000000000/(_xlfn.XLOOKUP($B32,[1]data!$C$2:$C$201,[1]data!AC$2:AC$201)*1000000)</f>
        <v>51358.81438203944</v>
      </c>
      <c r="W32">
        <f>[4]data!W32*1000000000/(_xlfn.XLOOKUP($B32,[1]data!$C$2:$C$201,[1]data!AD$2:AD$201)*1000000)</f>
        <v>56338.729719991803</v>
      </c>
      <c r="X32">
        <f>[4]data!X32*1000000000/(_xlfn.XLOOKUP($B32,[1]data!$C$2:$C$201,[1]data!AE$2:AE$201)*1000000)</f>
        <v>61538.17335190779</v>
      </c>
      <c r="Y32">
        <f>[4]data!Y32*1000000000/(_xlfn.XLOOKUP($B32,[1]data!$C$2:$C$201,[1]data!AF$2:AF$201)*1000000)</f>
        <v>66838.76929553425</v>
      </c>
      <c r="Z32">
        <f>[4]data!Z32*1000000000/(_xlfn.XLOOKUP($B32,[1]data!$C$2:$C$201,[1]data!AG$2:AG$201)*1000000)</f>
        <v>72187.435745773488</v>
      </c>
      <c r="AA32">
        <f>[4]data!AA32*1000000000/(_xlfn.XLOOKUP($B32,[1]data!$C$2:$C$201,[1]data!AH$2:AH$201)*1000000)</f>
        <v>77532.982454225654</v>
      </c>
      <c r="AB32">
        <f>[4]data!AB32*1000000000/(_xlfn.XLOOKUP($B32,[1]data!$C$2:$C$201,[1]data!AI$2:AI$201)*1000000)</f>
        <v>82795.716350555391</v>
      </c>
      <c r="AC32">
        <f>[4]data!AC32*1000000000/(_xlfn.XLOOKUP($B32,[1]data!$C$2:$C$201,[1]data!AJ$2:AJ$201)*1000000)</f>
        <v>87874.104107376304</v>
      </c>
    </row>
    <row r="33" spans="1:29" x14ac:dyDescent="0.25">
      <c r="A33" t="s">
        <v>232</v>
      </c>
      <c r="B33" t="s">
        <v>65</v>
      </c>
      <c r="C33" t="s">
        <v>233</v>
      </c>
      <c r="D33" t="s">
        <v>234</v>
      </c>
      <c r="E33">
        <f>[4]data!E33*1000000000/(_xlfn.XLOOKUP($B33,[1]data!$C$2:$C$201,[1]data!L$2:L$201)*1000000)</f>
        <v>683.01486858949568</v>
      </c>
      <c r="F33">
        <f>[4]data!F33*1000000000/(_xlfn.XLOOKUP($B33,[1]data!$C$2:$C$201,[1]data!M$2:M$201)*1000000)</f>
        <v>1052.7932423956147</v>
      </c>
      <c r="G33">
        <f>[4]data!G33*1000000000/(_xlfn.XLOOKUP($B33,[1]data!$C$2:$C$201,[1]data!N$2:N$201)*1000000)</f>
        <v>1414.0992089286494</v>
      </c>
      <c r="H33">
        <f>[4]data!H33*1000000000/(_xlfn.XLOOKUP($B33,[1]data!$C$2:$C$201,[1]data!O$2:O$201)*1000000)</f>
        <v>2375.663144090322</v>
      </c>
      <c r="I33">
        <f>[4]data!I33*1000000000/(_xlfn.XLOOKUP($B33,[1]data!$C$2:$C$201,[1]data!P$2:P$201)*1000000)</f>
        <v>3538.2296516972747</v>
      </c>
      <c r="J33">
        <f>[4]data!J33*1000000000/(_xlfn.XLOOKUP($B33,[1]data!$C$2:$C$201,[1]data!Q$2:Q$201)*1000000)</f>
        <v>5467.3192923614606</v>
      </c>
      <c r="K33">
        <f>[4]data!K33*1000000000/(_xlfn.XLOOKUP($B33,[1]data!$C$2:$C$201,[1]data!R$2:R$201)*1000000)</f>
        <v>9044.9668132095121</v>
      </c>
      <c r="L33">
        <f>[4]data!L33*1000000000/(_xlfn.XLOOKUP($B33,[1]data!$C$2:$C$201,[1]data!S$2:S$201)*1000000)</f>
        <v>12805.345895170816</v>
      </c>
      <c r="M33">
        <f>[4]data!M33*1000000000/(_xlfn.XLOOKUP($B33,[1]data!$C$2:$C$201,[1]data!T$2:T$201)*1000000)</f>
        <v>16514.138165404482</v>
      </c>
      <c r="N33">
        <f>[4]data!N33*1000000000/(_xlfn.XLOOKUP($B33,[1]data!$C$2:$C$201,[1]data!U$2:U$201)*1000000)</f>
        <v>21134.90246391352</v>
      </c>
      <c r="O33">
        <f>[4]data!O33*1000000000/(_xlfn.XLOOKUP($B33,[1]data!$C$2:$C$201,[1]data!V$2:V$201)*1000000)</f>
        <v>25580.80768281862</v>
      </c>
      <c r="P33">
        <f>[4]data!P33*1000000000/(_xlfn.XLOOKUP($B33,[1]data!$C$2:$C$201,[1]data!W$2:W$201)*1000000)</f>
        <v>29849.319239053668</v>
      </c>
      <c r="Q33">
        <f>[4]data!Q33*1000000000/(_xlfn.XLOOKUP($B33,[1]data!$C$2:$C$201,[1]data!X$2:X$201)*1000000)</f>
        <v>33570.850495826562</v>
      </c>
      <c r="R33">
        <f>[4]data!R33*1000000000/(_xlfn.XLOOKUP($B33,[1]data!$C$2:$C$201,[1]data!Y$2:Y$201)*1000000)</f>
        <v>37480.252913833756</v>
      </c>
      <c r="S33">
        <f>[4]data!S33*1000000000/(_xlfn.XLOOKUP($B33,[1]data!$C$2:$C$201,[1]data!Z$2:Z$201)*1000000)</f>
        <v>41639.083231545621</v>
      </c>
      <c r="T33">
        <f>[4]data!T33*1000000000/(_xlfn.XLOOKUP($B33,[1]data!$C$2:$C$201,[1]data!AA$2:AA$201)*1000000)</f>
        <v>45974.503034513051</v>
      </c>
      <c r="U33">
        <f>[4]data!U33*1000000000/(_xlfn.XLOOKUP($B33,[1]data!$C$2:$C$201,[1]data!AB$2:AB$201)*1000000)</f>
        <v>50804.684653188895</v>
      </c>
      <c r="V33">
        <f>[4]data!V33*1000000000/(_xlfn.XLOOKUP($B33,[1]data!$C$2:$C$201,[1]data!AC$2:AC$201)*1000000)</f>
        <v>56040.479964015438</v>
      </c>
      <c r="W33">
        <f>[4]data!W33*1000000000/(_xlfn.XLOOKUP($B33,[1]data!$C$2:$C$201,[1]data!AD$2:AD$201)*1000000)</f>
        <v>61179.084461931307</v>
      </c>
      <c r="X33">
        <f>[4]data!X33*1000000000/(_xlfn.XLOOKUP($B33,[1]data!$C$2:$C$201,[1]data!AE$2:AE$201)*1000000)</f>
        <v>66105.223643261692</v>
      </c>
      <c r="Y33">
        <f>[4]data!Y33*1000000000/(_xlfn.XLOOKUP($B33,[1]data!$C$2:$C$201,[1]data!AF$2:AF$201)*1000000)</f>
        <v>70992.555500446135</v>
      </c>
      <c r="Z33">
        <f>[4]data!Z33*1000000000/(_xlfn.XLOOKUP($B33,[1]data!$C$2:$C$201,[1]data!AG$2:AG$201)*1000000)</f>
        <v>75952.035665976669</v>
      </c>
      <c r="AA33">
        <f>[4]data!AA33*1000000000/(_xlfn.XLOOKUP($B33,[1]data!$C$2:$C$201,[1]data!AH$2:AH$201)*1000000)</f>
        <v>81003.93995804993</v>
      </c>
      <c r="AB33">
        <f>[4]data!AB33*1000000000/(_xlfn.XLOOKUP($B33,[1]data!$C$2:$C$201,[1]data!AI$2:AI$201)*1000000)</f>
        <v>86086.497521114856</v>
      </c>
      <c r="AC33">
        <f>[4]data!AC33*1000000000/(_xlfn.XLOOKUP($B33,[1]data!$C$2:$C$201,[1]data!AJ$2:AJ$201)*1000000)</f>
        <v>91139.539084012154</v>
      </c>
    </row>
    <row r="34" spans="1:29" x14ac:dyDescent="0.25">
      <c r="A34" t="s">
        <v>232</v>
      </c>
      <c r="B34" t="s">
        <v>66</v>
      </c>
      <c r="C34" t="s">
        <v>233</v>
      </c>
      <c r="D34" t="s">
        <v>234</v>
      </c>
      <c r="E34">
        <f>[4]data!E34*1000000000/(_xlfn.XLOOKUP($B34,[1]data!$C$2:$C$201,[1]data!L$2:L$201)*1000000)</f>
        <v>6068.0597143893765</v>
      </c>
      <c r="F34">
        <f>[4]data!F34*1000000000/(_xlfn.XLOOKUP($B34,[1]data!$C$2:$C$201,[1]data!M$2:M$201)*1000000)</f>
        <v>5183.0033600878114</v>
      </c>
      <c r="G34">
        <f>[4]data!G34*1000000000/(_xlfn.XLOOKUP($B34,[1]data!$C$2:$C$201,[1]data!N$2:N$201)*1000000)</f>
        <v>4664.9191129465935</v>
      </c>
      <c r="H34">
        <f>[4]data!H34*1000000000/(_xlfn.XLOOKUP($B34,[1]data!$C$2:$C$201,[1]data!O$2:O$201)*1000000)</f>
        <v>4087.2969854310677</v>
      </c>
      <c r="I34">
        <f>[4]data!I34*1000000000/(_xlfn.XLOOKUP($B34,[1]data!$C$2:$C$201,[1]data!P$2:P$201)*1000000)</f>
        <v>4135.1856355458431</v>
      </c>
      <c r="J34">
        <f>[4]data!J34*1000000000/(_xlfn.XLOOKUP($B34,[1]data!$C$2:$C$201,[1]data!Q$2:Q$201)*1000000)</f>
        <v>3654.0643900196324</v>
      </c>
      <c r="K34">
        <f>[4]data!K34*1000000000/(_xlfn.XLOOKUP($B34,[1]data!$C$2:$C$201,[1]data!R$2:R$201)*1000000)</f>
        <v>3660.1364615608572</v>
      </c>
      <c r="L34">
        <f>[4]data!L34*1000000000/(_xlfn.XLOOKUP($B34,[1]data!$C$2:$C$201,[1]data!S$2:S$201)*1000000)</f>
        <v>4481.7449009246639</v>
      </c>
      <c r="M34">
        <f>[4]data!M34*1000000000/(_xlfn.XLOOKUP($B34,[1]data!$C$2:$C$201,[1]data!T$2:T$201)*1000000)</f>
        <v>5156.439570818653</v>
      </c>
      <c r="N34">
        <f>[4]data!N34*1000000000/(_xlfn.XLOOKUP($B34,[1]data!$C$2:$C$201,[1]data!U$2:U$201)*1000000)</f>
        <v>6308.7363690900074</v>
      </c>
      <c r="O34">
        <f>[4]data!O34*1000000000/(_xlfn.XLOOKUP($B34,[1]data!$C$2:$C$201,[1]data!V$2:V$201)*1000000)</f>
        <v>7715.2580609332799</v>
      </c>
      <c r="P34">
        <f>[4]data!P34*1000000000/(_xlfn.XLOOKUP($B34,[1]data!$C$2:$C$201,[1]data!W$2:W$201)*1000000)</f>
        <v>9453.1975018458597</v>
      </c>
      <c r="Q34">
        <f>[4]data!Q34*1000000000/(_xlfn.XLOOKUP($B34,[1]data!$C$2:$C$201,[1]data!X$2:X$201)*1000000)</f>
        <v>11213.007490266851</v>
      </c>
      <c r="R34">
        <f>[4]data!R34*1000000000/(_xlfn.XLOOKUP($B34,[1]data!$C$2:$C$201,[1]data!Y$2:Y$201)*1000000)</f>
        <v>13113.111078394961</v>
      </c>
      <c r="S34">
        <f>[4]data!S34*1000000000/(_xlfn.XLOOKUP($B34,[1]data!$C$2:$C$201,[1]data!Z$2:Z$201)*1000000)</f>
        <v>15239.791022689929</v>
      </c>
      <c r="T34">
        <f>[4]data!T34*1000000000/(_xlfn.XLOOKUP($B34,[1]data!$C$2:$C$201,[1]data!AA$2:AA$201)*1000000)</f>
        <v>17644.841742066765</v>
      </c>
      <c r="U34">
        <f>[4]data!U34*1000000000/(_xlfn.XLOOKUP($B34,[1]data!$C$2:$C$201,[1]data!AB$2:AB$201)*1000000)</f>
        <v>20374.902682129436</v>
      </c>
      <c r="V34">
        <f>[4]data!V34*1000000000/(_xlfn.XLOOKUP($B34,[1]data!$C$2:$C$201,[1]data!AC$2:AC$201)*1000000)</f>
        <v>23451.156134461929</v>
      </c>
      <c r="W34">
        <f>[4]data!W34*1000000000/(_xlfn.XLOOKUP($B34,[1]data!$C$2:$C$201,[1]data!AD$2:AD$201)*1000000)</f>
        <v>26894.294081049313</v>
      </c>
      <c r="X34">
        <f>[4]data!X34*1000000000/(_xlfn.XLOOKUP($B34,[1]data!$C$2:$C$201,[1]data!AE$2:AE$201)*1000000)</f>
        <v>30753.965926539335</v>
      </c>
      <c r="Y34">
        <f>[4]data!Y34*1000000000/(_xlfn.XLOOKUP($B34,[1]data!$C$2:$C$201,[1]data!AF$2:AF$201)*1000000)</f>
        <v>35022.520950535094</v>
      </c>
      <c r="Z34">
        <f>[4]data!Z34*1000000000/(_xlfn.XLOOKUP($B34,[1]data!$C$2:$C$201,[1]data!AG$2:AG$201)*1000000)</f>
        <v>39655.667950984185</v>
      </c>
      <c r="AA34">
        <f>[4]data!AA34*1000000000/(_xlfn.XLOOKUP($B34,[1]data!$C$2:$C$201,[1]data!AH$2:AH$201)*1000000)</f>
        <v>44648.016133074969</v>
      </c>
      <c r="AB34">
        <f>[4]data!AB34*1000000000/(_xlfn.XLOOKUP($B34,[1]data!$C$2:$C$201,[1]data!AI$2:AI$201)*1000000)</f>
        <v>50011.817036318564</v>
      </c>
      <c r="AC34">
        <f>[4]data!AC34*1000000000/(_xlfn.XLOOKUP($B34,[1]data!$C$2:$C$201,[1]data!AJ$2:AJ$201)*1000000)</f>
        <v>55826.824805601595</v>
      </c>
    </row>
    <row r="35" spans="1:29" x14ac:dyDescent="0.25">
      <c r="A35" t="s">
        <v>232</v>
      </c>
      <c r="B35" t="s">
        <v>67</v>
      </c>
      <c r="C35" t="s">
        <v>233</v>
      </c>
      <c r="D35" t="s">
        <v>234</v>
      </c>
      <c r="E35">
        <f>[4]data!E35*1000000000/(_xlfn.XLOOKUP($B35,[1]data!$C$2:$C$201,[1]data!L$2:L$201)*1000000)</f>
        <v>3472.3959512921315</v>
      </c>
      <c r="F35">
        <f>[4]data!F35*1000000000/(_xlfn.XLOOKUP($B35,[1]data!$C$2:$C$201,[1]data!M$2:M$201)*1000000)</f>
        <v>4698.9600063647713</v>
      </c>
      <c r="G35">
        <f>[4]data!G35*1000000000/(_xlfn.XLOOKUP($B35,[1]data!$C$2:$C$201,[1]data!N$2:N$201)*1000000)</f>
        <v>3575.8816514726409</v>
      </c>
      <c r="H35">
        <f>[4]data!H35*1000000000/(_xlfn.XLOOKUP($B35,[1]data!$C$2:$C$201,[1]data!O$2:O$201)*1000000)</f>
        <v>2811.6414719860795</v>
      </c>
      <c r="I35">
        <f>[4]data!I35*1000000000/(_xlfn.XLOOKUP($B35,[1]data!$C$2:$C$201,[1]data!P$2:P$201)*1000000)</f>
        <v>3066.3444033789574</v>
      </c>
      <c r="J35">
        <f>[4]data!J35*1000000000/(_xlfn.XLOOKUP($B35,[1]data!$C$2:$C$201,[1]data!Q$2:Q$201)*1000000)</f>
        <v>3288.8340149702908</v>
      </c>
      <c r="K35">
        <f>[4]data!K35*1000000000/(_xlfn.XLOOKUP($B35,[1]data!$C$2:$C$201,[1]data!R$2:R$201)*1000000)</f>
        <v>3349.0418255254522</v>
      </c>
      <c r="L35">
        <f>[4]data!L35*1000000000/(_xlfn.XLOOKUP($B35,[1]data!$C$2:$C$201,[1]data!S$2:S$201)*1000000)</f>
        <v>3672.6248911415428</v>
      </c>
      <c r="M35">
        <f>[4]data!M35*1000000000/(_xlfn.XLOOKUP($B35,[1]data!$C$2:$C$201,[1]data!T$2:T$201)*1000000)</f>
        <v>3725.9840620554933</v>
      </c>
      <c r="N35">
        <f>[4]data!N35*1000000000/(_xlfn.XLOOKUP($B35,[1]data!$C$2:$C$201,[1]data!U$2:U$201)*1000000)</f>
        <v>4000.1154444213594</v>
      </c>
      <c r="O35">
        <f>[4]data!O35*1000000000/(_xlfn.XLOOKUP($B35,[1]data!$C$2:$C$201,[1]data!V$2:V$201)*1000000)</f>
        <v>4520.4329999108759</v>
      </c>
      <c r="P35">
        <f>[4]data!P35*1000000000/(_xlfn.XLOOKUP($B35,[1]data!$C$2:$C$201,[1]data!W$2:W$201)*1000000)</f>
        <v>5316.8234363586989</v>
      </c>
      <c r="Q35">
        <f>[4]data!Q35*1000000000/(_xlfn.XLOOKUP($B35,[1]data!$C$2:$C$201,[1]data!X$2:X$201)*1000000)</f>
        <v>6257.4571254576786</v>
      </c>
      <c r="R35">
        <f>[4]data!R35*1000000000/(_xlfn.XLOOKUP($B35,[1]data!$C$2:$C$201,[1]data!Y$2:Y$201)*1000000)</f>
        <v>7384.2130271604092</v>
      </c>
      <c r="S35">
        <f>[4]data!S35*1000000000/(_xlfn.XLOOKUP($B35,[1]data!$C$2:$C$201,[1]data!Z$2:Z$201)*1000000)</f>
        <v>8736.8770009192922</v>
      </c>
      <c r="T35">
        <f>[4]data!T35*1000000000/(_xlfn.XLOOKUP($B35,[1]data!$C$2:$C$201,[1]data!AA$2:AA$201)*1000000)</f>
        <v>10359.640417552262</v>
      </c>
      <c r="U35">
        <f>[4]data!U35*1000000000/(_xlfn.XLOOKUP($B35,[1]data!$C$2:$C$201,[1]data!AB$2:AB$201)*1000000)</f>
        <v>12312.882345106309</v>
      </c>
      <c r="V35">
        <f>[4]data!V35*1000000000/(_xlfn.XLOOKUP($B35,[1]data!$C$2:$C$201,[1]data!AC$2:AC$201)*1000000)</f>
        <v>14634.890188742202</v>
      </c>
      <c r="W35">
        <f>[4]data!W35*1000000000/(_xlfn.XLOOKUP($B35,[1]data!$C$2:$C$201,[1]data!AD$2:AD$201)*1000000)</f>
        <v>17335.089162047152</v>
      </c>
      <c r="X35">
        <f>[4]data!X35*1000000000/(_xlfn.XLOOKUP($B35,[1]data!$C$2:$C$201,[1]data!AE$2:AE$201)*1000000)</f>
        <v>20489.416206309332</v>
      </c>
      <c r="Y35">
        <f>[4]data!Y35*1000000000/(_xlfn.XLOOKUP($B35,[1]data!$C$2:$C$201,[1]data!AF$2:AF$201)*1000000)</f>
        <v>24113.619658740863</v>
      </c>
      <c r="Z35">
        <f>[4]data!Z35*1000000000/(_xlfn.XLOOKUP($B35,[1]data!$C$2:$C$201,[1]data!AG$2:AG$201)*1000000)</f>
        <v>28280.633032585829</v>
      </c>
      <c r="AA35">
        <f>[4]data!AA35*1000000000/(_xlfn.XLOOKUP($B35,[1]data!$C$2:$C$201,[1]data!AH$2:AH$201)*1000000)</f>
        <v>33001.832613690327</v>
      </c>
      <c r="AB35">
        <f>[4]data!AB35*1000000000/(_xlfn.XLOOKUP($B35,[1]data!$C$2:$C$201,[1]data!AI$2:AI$201)*1000000)</f>
        <v>38293.030589133792</v>
      </c>
      <c r="AC35">
        <f>[4]data!AC35*1000000000/(_xlfn.XLOOKUP($B35,[1]data!$C$2:$C$201,[1]data!AJ$2:AJ$201)*1000000)</f>
        <v>44179.38576018493</v>
      </c>
    </row>
    <row r="36" spans="1:29" x14ac:dyDescent="0.25">
      <c r="A36" t="s">
        <v>232</v>
      </c>
      <c r="B36" t="s">
        <v>68</v>
      </c>
      <c r="C36" t="s">
        <v>233</v>
      </c>
      <c r="D36" t="s">
        <v>234</v>
      </c>
      <c r="E36" t="e">
        <f>[4]data!E36*1000000000/(_xlfn.XLOOKUP($B36,[1]data!$C$2:$C$201,[1]data!L$2:L$201)*1000000)</f>
        <v>#VALUE!</v>
      </c>
      <c r="F36" t="e">
        <f>[4]data!F36*1000000000/(_xlfn.XLOOKUP($B36,[1]data!$C$2:$C$201,[1]data!M$2:M$201)*1000000)</f>
        <v>#VALUE!</v>
      </c>
      <c r="G36">
        <f>[4]data!G36*1000000000/(_xlfn.XLOOKUP($B36,[1]data!$C$2:$C$201,[1]data!N$2:N$201)*1000000)</f>
        <v>1780.6264725458327</v>
      </c>
      <c r="H36">
        <f>[4]data!H36*1000000000/(_xlfn.XLOOKUP($B36,[1]data!$C$2:$C$201,[1]data!O$2:O$201)*1000000)</f>
        <v>1062.9369143737088</v>
      </c>
      <c r="I36">
        <f>[4]data!I36*1000000000/(_xlfn.XLOOKUP($B36,[1]data!$C$2:$C$201,[1]data!P$2:P$201)*1000000)</f>
        <v>728.11293393221331</v>
      </c>
      <c r="J36">
        <f>[4]data!J36*1000000000/(_xlfn.XLOOKUP($B36,[1]data!$C$2:$C$201,[1]data!Q$2:Q$201)*1000000)</f>
        <v>796.07791079129129</v>
      </c>
      <c r="K36">
        <f>[4]data!K36*1000000000/(_xlfn.XLOOKUP($B36,[1]data!$C$2:$C$201,[1]data!R$2:R$201)*1000000)</f>
        <v>901.71993773092106</v>
      </c>
      <c r="L36">
        <f>[4]data!L36*1000000000/(_xlfn.XLOOKUP($B36,[1]data!$C$2:$C$201,[1]data!S$2:S$201)*1000000)</f>
        <v>1113.8185541614391</v>
      </c>
      <c r="M36">
        <f>[4]data!M36*1000000000/(_xlfn.XLOOKUP($B36,[1]data!$C$2:$C$201,[1]data!T$2:T$201)*1000000)</f>
        <v>1092.8113823907513</v>
      </c>
      <c r="N36">
        <f>[4]data!N36*1000000000/(_xlfn.XLOOKUP($B36,[1]data!$C$2:$C$201,[1]data!U$2:U$201)*1000000)</f>
        <v>1263.7576996621353</v>
      </c>
      <c r="O36">
        <f>[4]data!O36*1000000000/(_xlfn.XLOOKUP($B36,[1]data!$C$2:$C$201,[1]data!V$2:V$201)*1000000)</f>
        <v>1407.3208865973438</v>
      </c>
      <c r="P36">
        <f>[4]data!P36*1000000000/(_xlfn.XLOOKUP($B36,[1]data!$C$2:$C$201,[1]data!W$2:W$201)*1000000)</f>
        <v>1623.8754299058673</v>
      </c>
      <c r="Q36">
        <f>[4]data!Q36*1000000000/(_xlfn.XLOOKUP($B36,[1]data!$C$2:$C$201,[1]data!X$2:X$201)*1000000)</f>
        <v>1949.4309791834457</v>
      </c>
      <c r="R36">
        <f>[4]data!R36*1000000000/(_xlfn.XLOOKUP($B36,[1]data!$C$2:$C$201,[1]data!Y$2:Y$201)*1000000)</f>
        <v>2385.4156301698958</v>
      </c>
      <c r="S36">
        <f>[4]data!S36*1000000000/(_xlfn.XLOOKUP($B36,[1]data!$C$2:$C$201,[1]data!Z$2:Z$201)*1000000)</f>
        <v>2938.964311314322</v>
      </c>
      <c r="T36">
        <f>[4]data!T36*1000000000/(_xlfn.XLOOKUP($B36,[1]data!$C$2:$C$201,[1]data!AA$2:AA$201)*1000000)</f>
        <v>3626.6770399978477</v>
      </c>
      <c r="U36">
        <f>[4]data!U36*1000000000/(_xlfn.XLOOKUP($B36,[1]data!$C$2:$C$201,[1]data!AB$2:AB$201)*1000000)</f>
        <v>4469.1501448038398</v>
      </c>
      <c r="V36">
        <f>[4]data!V36*1000000000/(_xlfn.XLOOKUP($B36,[1]data!$C$2:$C$201,[1]data!AC$2:AC$201)*1000000)</f>
        <v>5491.4485459801699</v>
      </c>
      <c r="W36">
        <f>[4]data!W36*1000000000/(_xlfn.XLOOKUP($B36,[1]data!$C$2:$C$201,[1]data!AD$2:AD$201)*1000000)</f>
        <v>6710.7541268569621</v>
      </c>
      <c r="X36">
        <f>[4]data!X36*1000000000/(_xlfn.XLOOKUP($B36,[1]data!$C$2:$C$201,[1]data!AE$2:AE$201)*1000000)</f>
        <v>8152.1242146044242</v>
      </c>
      <c r="Y36">
        <f>[4]data!Y36*1000000000/(_xlfn.XLOOKUP($B36,[1]data!$C$2:$C$201,[1]data!AF$2:AF$201)*1000000)</f>
        <v>9844.057243778283</v>
      </c>
      <c r="Z36">
        <f>[4]data!Z36*1000000000/(_xlfn.XLOOKUP($B36,[1]data!$C$2:$C$201,[1]data!AG$2:AG$201)*1000000)</f>
        <v>11821.945665301791</v>
      </c>
      <c r="AA36">
        <f>[4]data!AA36*1000000000/(_xlfn.XLOOKUP($B36,[1]data!$C$2:$C$201,[1]data!AH$2:AH$201)*1000000)</f>
        <v>14147.012290431943</v>
      </c>
      <c r="AB36">
        <f>[4]data!AB36*1000000000/(_xlfn.XLOOKUP($B36,[1]data!$C$2:$C$201,[1]data!AI$2:AI$201)*1000000)</f>
        <v>16860.685100229643</v>
      </c>
      <c r="AC36">
        <f>[4]data!AC36*1000000000/(_xlfn.XLOOKUP($B36,[1]data!$C$2:$C$201,[1]data!AJ$2:AJ$201)*1000000)</f>
        <v>20010.248668039356</v>
      </c>
    </row>
    <row r="37" spans="1:29" x14ac:dyDescent="0.25">
      <c r="A37" t="s">
        <v>232</v>
      </c>
      <c r="B37" t="s">
        <v>69</v>
      </c>
      <c r="C37" t="s">
        <v>233</v>
      </c>
      <c r="D37" t="s">
        <v>234</v>
      </c>
      <c r="E37">
        <f>[4]data!E37*1000000000/(_xlfn.XLOOKUP($B37,[1]data!$C$2:$C$201,[1]data!L$2:L$201)*1000000)</f>
        <v>3775.719567355618</v>
      </c>
      <c r="F37">
        <f>[4]data!F37*1000000000/(_xlfn.XLOOKUP($B37,[1]data!$C$2:$C$201,[1]data!M$2:M$201)*1000000)</f>
        <v>3789.8146853904045</v>
      </c>
      <c r="G37">
        <f>[4]data!G37*1000000000/(_xlfn.XLOOKUP($B37,[1]data!$C$2:$C$201,[1]data!N$2:N$201)*1000000)</f>
        <v>5118.2019430549553</v>
      </c>
      <c r="H37">
        <f>[4]data!H37*1000000000/(_xlfn.XLOOKUP($B37,[1]data!$C$2:$C$201,[1]data!O$2:O$201)*1000000)</f>
        <v>4980.2621704292633</v>
      </c>
      <c r="I37">
        <f>[4]data!I37*1000000000/(_xlfn.XLOOKUP($B37,[1]data!$C$2:$C$201,[1]data!P$2:P$201)*1000000)</f>
        <v>5297.5786836186744</v>
      </c>
      <c r="J37">
        <f>[4]data!J37*1000000000/(_xlfn.XLOOKUP($B37,[1]data!$C$2:$C$201,[1]data!Q$2:Q$201)*1000000)</f>
        <v>4727.6655924852439</v>
      </c>
      <c r="K37">
        <f>[4]data!K37*1000000000/(_xlfn.XLOOKUP($B37,[1]data!$C$2:$C$201,[1]data!R$2:R$201)*1000000)</f>
        <v>5136.3077398339256</v>
      </c>
      <c r="L37">
        <f>[4]data!L37*1000000000/(_xlfn.XLOOKUP($B37,[1]data!$C$2:$C$201,[1]data!S$2:S$201)*1000000)</f>
        <v>5143.692155870961</v>
      </c>
      <c r="M37">
        <f>[4]data!M37*1000000000/(_xlfn.XLOOKUP($B37,[1]data!$C$2:$C$201,[1]data!T$2:T$201)*1000000)</f>
        <v>3793.4529699280674</v>
      </c>
      <c r="N37">
        <f>[4]data!N37*1000000000/(_xlfn.XLOOKUP($B37,[1]data!$C$2:$C$201,[1]data!U$2:U$201)*1000000)</f>
        <v>3887.2325763868712</v>
      </c>
      <c r="O37">
        <f>[4]data!O37*1000000000/(_xlfn.XLOOKUP($B37,[1]data!$C$2:$C$201,[1]data!V$2:V$201)*1000000)</f>
        <v>4229.0741549479071</v>
      </c>
      <c r="P37">
        <f>[4]data!P37*1000000000/(_xlfn.XLOOKUP($B37,[1]data!$C$2:$C$201,[1]data!W$2:W$201)*1000000)</f>
        <v>4656.1306128963206</v>
      </c>
      <c r="Q37">
        <f>[4]data!Q37*1000000000/(_xlfn.XLOOKUP($B37,[1]data!$C$2:$C$201,[1]data!X$2:X$201)*1000000)</f>
        <v>5174.5846591832278</v>
      </c>
      <c r="R37">
        <f>[4]data!R37*1000000000/(_xlfn.XLOOKUP($B37,[1]data!$C$2:$C$201,[1]data!Y$2:Y$201)*1000000)</f>
        <v>5832.0930138276035</v>
      </c>
      <c r="S37">
        <f>[4]data!S37*1000000000/(_xlfn.XLOOKUP($B37,[1]data!$C$2:$C$201,[1]data!Z$2:Z$201)*1000000)</f>
        <v>6660.6196460905157</v>
      </c>
      <c r="T37">
        <f>[4]data!T37*1000000000/(_xlfn.XLOOKUP($B37,[1]data!$C$2:$C$201,[1]data!AA$2:AA$201)*1000000)</f>
        <v>7697.7717118517812</v>
      </c>
      <c r="U37">
        <f>[4]data!U37*1000000000/(_xlfn.XLOOKUP($B37,[1]data!$C$2:$C$201,[1]data!AB$2:AB$201)*1000000)</f>
        <v>8971.6237338316441</v>
      </c>
      <c r="V37">
        <f>[4]data!V37*1000000000/(_xlfn.XLOOKUP($B37,[1]data!$C$2:$C$201,[1]data!AC$2:AC$201)*1000000)</f>
        <v>10499.454414552525</v>
      </c>
      <c r="W37">
        <f>[4]data!W37*1000000000/(_xlfn.XLOOKUP($B37,[1]data!$C$2:$C$201,[1]data!AD$2:AD$201)*1000000)</f>
        <v>12291.395997894897</v>
      </c>
      <c r="X37">
        <f>[4]data!X37*1000000000/(_xlfn.XLOOKUP($B37,[1]data!$C$2:$C$201,[1]data!AE$2:AE$201)*1000000)</f>
        <v>14398.951575404199</v>
      </c>
      <c r="Y37">
        <f>[4]data!Y37*1000000000/(_xlfn.XLOOKUP($B37,[1]data!$C$2:$C$201,[1]data!AF$2:AF$201)*1000000)</f>
        <v>16851.645262262802</v>
      </c>
      <c r="Z37">
        <f>[4]data!Z37*1000000000/(_xlfn.XLOOKUP($B37,[1]data!$C$2:$C$201,[1]data!AG$2:AG$201)*1000000)</f>
        <v>19654.189849005503</v>
      </c>
      <c r="AA37">
        <f>[4]data!AA37*1000000000/(_xlfn.XLOOKUP($B37,[1]data!$C$2:$C$201,[1]data!AH$2:AH$201)*1000000)</f>
        <v>22810.716913891312</v>
      </c>
      <c r="AB37">
        <f>[4]data!AB37*1000000000/(_xlfn.XLOOKUP($B37,[1]data!$C$2:$C$201,[1]data!AI$2:AI$201)*1000000)</f>
        <v>26338.800278415292</v>
      </c>
      <c r="AC37">
        <f>[4]data!AC37*1000000000/(_xlfn.XLOOKUP($B37,[1]data!$C$2:$C$201,[1]data!AJ$2:AJ$201)*1000000)</f>
        <v>30287.373406063518</v>
      </c>
    </row>
    <row r="38" spans="1:29" x14ac:dyDescent="0.25">
      <c r="A38" t="s">
        <v>232</v>
      </c>
      <c r="B38" t="s">
        <v>70</v>
      </c>
      <c r="C38" t="s">
        <v>233</v>
      </c>
      <c r="D38" t="s">
        <v>234</v>
      </c>
      <c r="E38">
        <f>[4]data!E38*1000000000/(_xlfn.XLOOKUP($B38,[1]data!$C$2:$C$201,[1]data!L$2:L$201)*1000000)</f>
        <v>7595.493006088871</v>
      </c>
      <c r="F38">
        <f>[4]data!F38*1000000000/(_xlfn.XLOOKUP($B38,[1]data!$C$2:$C$201,[1]data!M$2:M$201)*1000000)</f>
        <v>7576.4427575658265</v>
      </c>
      <c r="G38">
        <f>[4]data!G38*1000000000/(_xlfn.XLOOKUP($B38,[1]data!$C$2:$C$201,[1]data!N$2:N$201)*1000000)</f>
        <v>8598.1902902978472</v>
      </c>
      <c r="H38">
        <f>[4]data!H38*1000000000/(_xlfn.XLOOKUP($B38,[1]data!$C$2:$C$201,[1]data!O$2:O$201)*1000000)</f>
        <v>9814.8354179121088</v>
      </c>
      <c r="I38">
        <f>[4]data!I38*1000000000/(_xlfn.XLOOKUP($B38,[1]data!$C$2:$C$201,[1]data!P$2:P$201)*1000000)</f>
        <v>8592.2819840445263</v>
      </c>
      <c r="J38">
        <f>[4]data!J38*1000000000/(_xlfn.XLOOKUP($B38,[1]data!$C$2:$C$201,[1]data!Q$2:Q$201)*1000000)</f>
        <v>9519.8369077029074</v>
      </c>
      <c r="K38">
        <f>[4]data!K38*1000000000/(_xlfn.XLOOKUP($B38,[1]data!$C$2:$C$201,[1]data!R$2:R$201)*1000000)</f>
        <v>11140.046176178159</v>
      </c>
      <c r="L38">
        <f>[4]data!L38*1000000000/(_xlfn.XLOOKUP($B38,[1]data!$C$2:$C$201,[1]data!S$2:S$201)*1000000)</f>
        <v>13307.588303918383</v>
      </c>
      <c r="M38">
        <f>[4]data!M38*1000000000/(_xlfn.XLOOKUP($B38,[1]data!$C$2:$C$201,[1]data!T$2:T$201)*1000000)</f>
        <v>12522.367473742928</v>
      </c>
      <c r="N38">
        <f>[4]data!N38*1000000000/(_xlfn.XLOOKUP($B38,[1]data!$C$2:$C$201,[1]data!U$2:U$201)*1000000)</f>
        <v>15217.783588076209</v>
      </c>
      <c r="O38">
        <f>[4]data!O38*1000000000/(_xlfn.XLOOKUP($B38,[1]data!$C$2:$C$201,[1]data!V$2:V$201)*1000000)</f>
        <v>16992.174435566896</v>
      </c>
      <c r="P38">
        <f>[4]data!P38*1000000000/(_xlfn.XLOOKUP($B38,[1]data!$C$2:$C$201,[1]data!W$2:W$201)*1000000)</f>
        <v>19583.027704509099</v>
      </c>
      <c r="Q38">
        <f>[4]data!Q38*1000000000/(_xlfn.XLOOKUP($B38,[1]data!$C$2:$C$201,[1]data!X$2:X$201)*1000000)</f>
        <v>22944.052069599551</v>
      </c>
      <c r="R38">
        <f>[4]data!R38*1000000000/(_xlfn.XLOOKUP($B38,[1]data!$C$2:$C$201,[1]data!Y$2:Y$201)*1000000)</f>
        <v>26888.709628108685</v>
      </c>
      <c r="S38">
        <f>[4]data!S38*1000000000/(_xlfn.XLOOKUP($B38,[1]data!$C$2:$C$201,[1]data!Z$2:Z$201)*1000000)</f>
        <v>31256.756427326593</v>
      </c>
      <c r="T38">
        <f>[4]data!T38*1000000000/(_xlfn.XLOOKUP($B38,[1]data!$C$2:$C$201,[1]data!AA$2:AA$201)*1000000)</f>
        <v>36005.542148937238</v>
      </c>
      <c r="U38">
        <f>[4]data!U38*1000000000/(_xlfn.XLOOKUP($B38,[1]data!$C$2:$C$201,[1]data!AB$2:AB$201)*1000000)</f>
        <v>41093.104220470836</v>
      </c>
      <c r="V38">
        <f>[4]data!V38*1000000000/(_xlfn.XLOOKUP($B38,[1]data!$C$2:$C$201,[1]data!AC$2:AC$201)*1000000)</f>
        <v>46557.079406932586</v>
      </c>
      <c r="W38">
        <f>[4]data!W38*1000000000/(_xlfn.XLOOKUP($B38,[1]data!$C$2:$C$201,[1]data!AD$2:AD$201)*1000000)</f>
        <v>52363.370132873351</v>
      </c>
      <c r="X38">
        <f>[4]data!X38*1000000000/(_xlfn.XLOOKUP($B38,[1]data!$C$2:$C$201,[1]data!AE$2:AE$201)*1000000)</f>
        <v>58449.732668473269</v>
      </c>
      <c r="Y38">
        <f>[4]data!Y38*1000000000/(_xlfn.XLOOKUP($B38,[1]data!$C$2:$C$201,[1]data!AF$2:AF$201)*1000000)</f>
        <v>64739.913775592642</v>
      </c>
      <c r="Z38">
        <f>[4]data!Z38*1000000000/(_xlfn.XLOOKUP($B38,[1]data!$C$2:$C$201,[1]data!AG$2:AG$201)*1000000)</f>
        <v>71198.729447808524</v>
      </c>
      <c r="AA38">
        <f>[4]data!AA38*1000000000/(_xlfn.XLOOKUP($B38,[1]data!$C$2:$C$201,[1]data!AH$2:AH$201)*1000000)</f>
        <v>77813.1865325908</v>
      </c>
      <c r="AB38">
        <f>[4]data!AB38*1000000000/(_xlfn.XLOOKUP($B38,[1]data!$C$2:$C$201,[1]data!AI$2:AI$201)*1000000)</f>
        <v>84545.721807171503</v>
      </c>
      <c r="AC38">
        <f>[4]data!AC38*1000000000/(_xlfn.XLOOKUP($B38,[1]data!$C$2:$C$201,[1]data!AJ$2:AJ$201)*1000000)</f>
        <v>91341.729398007519</v>
      </c>
    </row>
    <row r="39" spans="1:29" x14ac:dyDescent="0.25">
      <c r="A39" t="s">
        <v>232</v>
      </c>
      <c r="B39" t="s">
        <v>71</v>
      </c>
      <c r="C39" t="s">
        <v>233</v>
      </c>
      <c r="D39" t="s">
        <v>234</v>
      </c>
      <c r="E39">
        <f>[4]data!E39*1000000000/(_xlfn.XLOOKUP($B39,[1]data!$C$2:$C$201,[1]data!L$2:L$201)*1000000)</f>
        <v>2897.6971496620731</v>
      </c>
      <c r="F39">
        <f>[4]data!F39*1000000000/(_xlfn.XLOOKUP($B39,[1]data!$C$2:$C$201,[1]data!M$2:M$201)*1000000)</f>
        <v>3065.4889610337041</v>
      </c>
      <c r="G39">
        <f>[4]data!G39*1000000000/(_xlfn.XLOOKUP($B39,[1]data!$C$2:$C$201,[1]data!N$2:N$201)*1000000)</f>
        <v>3118.3521109875724</v>
      </c>
      <c r="H39">
        <f>[4]data!H39*1000000000/(_xlfn.XLOOKUP($B39,[1]data!$C$2:$C$201,[1]data!O$2:O$201)*1000000)</f>
        <v>2903.5850779514676</v>
      </c>
      <c r="I39">
        <f>[4]data!I39*1000000000/(_xlfn.XLOOKUP($B39,[1]data!$C$2:$C$201,[1]data!P$2:P$201)*1000000)</f>
        <v>2762.9870496449098</v>
      </c>
      <c r="J39">
        <f>[4]data!J39*1000000000/(_xlfn.XLOOKUP($B39,[1]data!$C$2:$C$201,[1]data!Q$2:Q$201)*1000000)</f>
        <v>3068.8185970413801</v>
      </c>
      <c r="K39">
        <f>[4]data!K39*1000000000/(_xlfn.XLOOKUP($B39,[1]data!$C$2:$C$201,[1]data!R$2:R$201)*1000000)</f>
        <v>3057.7058463775757</v>
      </c>
      <c r="L39">
        <f>[4]data!L39*1000000000/(_xlfn.XLOOKUP($B39,[1]data!$C$2:$C$201,[1]data!S$2:S$201)*1000000)</f>
        <v>3185.4428960258283</v>
      </c>
      <c r="M39">
        <f>[4]data!M39*1000000000/(_xlfn.XLOOKUP($B39,[1]data!$C$2:$C$201,[1]data!T$2:T$201)*1000000)</f>
        <v>3254.1176735848844</v>
      </c>
      <c r="N39">
        <f>[4]data!N39*1000000000/(_xlfn.XLOOKUP($B39,[1]data!$C$2:$C$201,[1]data!U$2:U$201)*1000000)</f>
        <v>3426.4946776568254</v>
      </c>
      <c r="O39">
        <f>[4]data!O39*1000000000/(_xlfn.XLOOKUP($B39,[1]data!$C$2:$C$201,[1]data!V$2:V$201)*1000000)</f>
        <v>3874.569082297106</v>
      </c>
      <c r="P39">
        <f>[4]data!P39*1000000000/(_xlfn.XLOOKUP($B39,[1]data!$C$2:$C$201,[1]data!W$2:W$201)*1000000)</f>
        <v>4539.97766905151</v>
      </c>
      <c r="Q39">
        <f>[4]data!Q39*1000000000/(_xlfn.XLOOKUP($B39,[1]data!$C$2:$C$201,[1]data!X$2:X$201)*1000000)</f>
        <v>5809.4105535299614</v>
      </c>
      <c r="R39">
        <f>[4]data!R39*1000000000/(_xlfn.XLOOKUP($B39,[1]data!$C$2:$C$201,[1]data!Y$2:Y$201)*1000000)</f>
        <v>7647.942996261515</v>
      </c>
      <c r="S39">
        <f>[4]data!S39*1000000000/(_xlfn.XLOOKUP($B39,[1]data!$C$2:$C$201,[1]data!Z$2:Z$201)*1000000)</f>
        <v>9930.7612620776054</v>
      </c>
      <c r="T39">
        <f>[4]data!T39*1000000000/(_xlfn.XLOOKUP($B39,[1]data!$C$2:$C$201,[1]data!AA$2:AA$201)*1000000)</f>
        <v>12585.926023223617</v>
      </c>
      <c r="U39">
        <f>[4]data!U39*1000000000/(_xlfn.XLOOKUP($B39,[1]data!$C$2:$C$201,[1]data!AB$2:AB$201)*1000000)</f>
        <v>15588.636277750162</v>
      </c>
      <c r="V39">
        <f>[4]data!V39*1000000000/(_xlfn.XLOOKUP($B39,[1]data!$C$2:$C$201,[1]data!AC$2:AC$201)*1000000)</f>
        <v>18910.562358797411</v>
      </c>
      <c r="W39">
        <f>[4]data!W39*1000000000/(_xlfn.XLOOKUP($B39,[1]data!$C$2:$C$201,[1]data!AD$2:AD$201)*1000000)</f>
        <v>22523.083150281236</v>
      </c>
      <c r="X39">
        <f>[4]data!X39*1000000000/(_xlfn.XLOOKUP($B39,[1]data!$C$2:$C$201,[1]data!AE$2:AE$201)*1000000)</f>
        <v>26407.570390363482</v>
      </c>
      <c r="Y39">
        <f>[4]data!Y39*1000000000/(_xlfn.XLOOKUP($B39,[1]data!$C$2:$C$201,[1]data!AF$2:AF$201)*1000000)</f>
        <v>30571.220208976632</v>
      </c>
      <c r="Z39">
        <f>[4]data!Z39*1000000000/(_xlfn.XLOOKUP($B39,[1]data!$C$2:$C$201,[1]data!AG$2:AG$201)*1000000)</f>
        <v>34969.099387045237</v>
      </c>
      <c r="AA39">
        <f>[4]data!AA39*1000000000/(_xlfn.XLOOKUP($B39,[1]data!$C$2:$C$201,[1]data!AH$2:AH$201)*1000000)</f>
        <v>39607.895437013882</v>
      </c>
      <c r="AB39">
        <f>[4]data!AB39*1000000000/(_xlfn.XLOOKUP($B39,[1]data!$C$2:$C$201,[1]data!AI$2:AI$201)*1000000)</f>
        <v>44488.432767222424</v>
      </c>
      <c r="AC39">
        <f>[4]data!AC39*1000000000/(_xlfn.XLOOKUP($B39,[1]data!$C$2:$C$201,[1]data!AJ$2:AJ$201)*1000000)</f>
        <v>49674.399891288995</v>
      </c>
    </row>
    <row r="40" spans="1:29" x14ac:dyDescent="0.25">
      <c r="A40" t="s">
        <v>232</v>
      </c>
      <c r="B40" t="s">
        <v>72</v>
      </c>
      <c r="C40" t="s">
        <v>233</v>
      </c>
      <c r="D40" t="s">
        <v>234</v>
      </c>
      <c r="E40">
        <f>[4]data!E40*1000000000/(_xlfn.XLOOKUP($B40,[1]data!$C$2:$C$201,[1]data!L$2:L$201)*1000000)</f>
        <v>1888.5804036045181</v>
      </c>
      <c r="F40">
        <f>[4]data!F40*1000000000/(_xlfn.XLOOKUP($B40,[1]data!$C$2:$C$201,[1]data!M$2:M$201)*1000000)</f>
        <v>2427.2379717071926</v>
      </c>
      <c r="G40">
        <f>[4]data!G40*1000000000/(_xlfn.XLOOKUP($B40,[1]data!$C$2:$C$201,[1]data!N$2:N$201)*1000000)</f>
        <v>2750.045732467835</v>
      </c>
      <c r="H40">
        <f>[4]data!H40*1000000000/(_xlfn.XLOOKUP($B40,[1]data!$C$2:$C$201,[1]data!O$2:O$201)*1000000)</f>
        <v>3145.0383181339707</v>
      </c>
      <c r="I40">
        <f>[4]data!I40*1000000000/(_xlfn.XLOOKUP($B40,[1]data!$C$2:$C$201,[1]data!P$2:P$201)*1000000)</f>
        <v>4205.2583614727282</v>
      </c>
      <c r="J40">
        <f>[4]data!J40*1000000000/(_xlfn.XLOOKUP($B40,[1]data!$C$2:$C$201,[1]data!Q$2:Q$201)*1000000)</f>
        <v>5203.287391526289</v>
      </c>
      <c r="K40">
        <f>[4]data!K40*1000000000/(_xlfn.XLOOKUP($B40,[1]data!$C$2:$C$201,[1]data!R$2:R$201)*1000000)</f>
        <v>6636.8972956700609</v>
      </c>
      <c r="L40">
        <f>[4]data!L40*1000000000/(_xlfn.XLOOKUP($B40,[1]data!$C$2:$C$201,[1]data!S$2:S$201)*1000000)</f>
        <v>6729.0449691902031</v>
      </c>
      <c r="M40">
        <f>[4]data!M40*1000000000/(_xlfn.XLOOKUP($B40,[1]data!$C$2:$C$201,[1]data!T$2:T$201)*1000000)</f>
        <v>6195.4308199796869</v>
      </c>
      <c r="N40">
        <f>[4]data!N40*1000000000/(_xlfn.XLOOKUP($B40,[1]data!$C$2:$C$201,[1]data!U$2:U$201)*1000000)</f>
        <v>8393.8444132360364</v>
      </c>
      <c r="O40">
        <f>[4]data!O40*1000000000/(_xlfn.XLOOKUP($B40,[1]data!$C$2:$C$201,[1]data!V$2:V$201)*1000000)</f>
        <v>10149.313981963744</v>
      </c>
      <c r="P40">
        <f>[4]data!P40*1000000000/(_xlfn.XLOOKUP($B40,[1]data!$C$2:$C$201,[1]data!W$2:W$201)*1000000)</f>
        <v>12042.97236183205</v>
      </c>
      <c r="Q40">
        <f>[4]data!Q40*1000000000/(_xlfn.XLOOKUP($B40,[1]data!$C$2:$C$201,[1]data!X$2:X$201)*1000000)</f>
        <v>13815.105134663363</v>
      </c>
      <c r="R40">
        <f>[4]data!R40*1000000000/(_xlfn.XLOOKUP($B40,[1]data!$C$2:$C$201,[1]data!Y$2:Y$201)*1000000)</f>
        <v>15552.689100889822</v>
      </c>
      <c r="S40">
        <f>[4]data!S40*1000000000/(_xlfn.XLOOKUP($B40,[1]data!$C$2:$C$201,[1]data!Z$2:Z$201)*1000000)</f>
        <v>17307.800400375301</v>
      </c>
      <c r="T40">
        <f>[4]data!T40*1000000000/(_xlfn.XLOOKUP($B40,[1]data!$C$2:$C$201,[1]data!AA$2:AA$201)*1000000)</f>
        <v>19192.670170568086</v>
      </c>
      <c r="U40">
        <f>[4]data!U40*1000000000/(_xlfn.XLOOKUP($B40,[1]data!$C$2:$C$201,[1]data!AB$2:AB$201)*1000000)</f>
        <v>21261.946180443698</v>
      </c>
      <c r="V40">
        <f>[4]data!V40*1000000000/(_xlfn.XLOOKUP($B40,[1]data!$C$2:$C$201,[1]data!AC$2:AC$201)*1000000)</f>
        <v>23595.814028351051</v>
      </c>
      <c r="W40">
        <f>[4]data!W40*1000000000/(_xlfn.XLOOKUP($B40,[1]data!$C$2:$C$201,[1]data!AD$2:AD$201)*1000000)</f>
        <v>26128.578091549352</v>
      </c>
      <c r="X40">
        <f>[4]data!X40*1000000000/(_xlfn.XLOOKUP($B40,[1]data!$C$2:$C$201,[1]data!AE$2:AE$201)*1000000)</f>
        <v>28820.88834407644</v>
      </c>
      <c r="Y40">
        <f>[4]data!Y40*1000000000/(_xlfn.XLOOKUP($B40,[1]data!$C$2:$C$201,[1]data!AF$2:AF$201)*1000000)</f>
        <v>31600.56431441311</v>
      </c>
      <c r="Z40">
        <f>[4]data!Z40*1000000000/(_xlfn.XLOOKUP($B40,[1]data!$C$2:$C$201,[1]data!AG$2:AG$201)*1000000)</f>
        <v>34481.685282024177</v>
      </c>
      <c r="AA40">
        <f>[4]data!AA40*1000000000/(_xlfn.XLOOKUP($B40,[1]data!$C$2:$C$201,[1]data!AH$2:AH$201)*1000000)</f>
        <v>37492.0351924344</v>
      </c>
      <c r="AB40">
        <f>[4]data!AB40*1000000000/(_xlfn.XLOOKUP($B40,[1]data!$C$2:$C$201,[1]data!AI$2:AI$201)*1000000)</f>
        <v>40657.622107094299</v>
      </c>
      <c r="AC40">
        <f>[4]data!AC40*1000000000/(_xlfn.XLOOKUP($B40,[1]data!$C$2:$C$201,[1]data!AJ$2:AJ$201)*1000000)</f>
        <v>43976.142820247929</v>
      </c>
    </row>
    <row r="41" spans="1:29" x14ac:dyDescent="0.25">
      <c r="A41" t="s">
        <v>232</v>
      </c>
      <c r="B41" t="s">
        <v>73</v>
      </c>
      <c r="C41" t="s">
        <v>233</v>
      </c>
      <c r="D41" t="s">
        <v>234</v>
      </c>
      <c r="E41">
        <f>[4]data!E41*1000000000/(_xlfn.XLOOKUP($B41,[1]data!$C$2:$C$201,[1]data!L$2:L$201)*1000000)</f>
        <v>10247.755503111641</v>
      </c>
      <c r="F41">
        <f>[4]data!F41*1000000000/(_xlfn.XLOOKUP($B41,[1]data!$C$2:$C$201,[1]data!M$2:M$201)*1000000)</f>
        <v>9054.7044542944241</v>
      </c>
      <c r="G41">
        <f>[4]data!G41*1000000000/(_xlfn.XLOOKUP($B41,[1]data!$C$2:$C$201,[1]data!N$2:N$201)*1000000)</f>
        <v>9937.2812331825771</v>
      </c>
      <c r="H41">
        <f>[4]data!H41*1000000000/(_xlfn.XLOOKUP($B41,[1]data!$C$2:$C$201,[1]data!O$2:O$201)*1000000)</f>
        <v>11424.833995124993</v>
      </c>
      <c r="I41">
        <f>[4]data!I41*1000000000/(_xlfn.XLOOKUP($B41,[1]data!$C$2:$C$201,[1]data!P$2:P$201)*1000000)</f>
        <v>11659.278163872264</v>
      </c>
      <c r="J41">
        <f>[4]data!J41*1000000000/(_xlfn.XLOOKUP($B41,[1]data!$C$2:$C$201,[1]data!Q$2:Q$201)*1000000)</f>
        <v>13000.722832907499</v>
      </c>
      <c r="K41">
        <f>[4]data!K41*1000000000/(_xlfn.XLOOKUP($B41,[1]data!$C$2:$C$201,[1]data!R$2:R$201)*1000000)</f>
        <v>15406.682398101082</v>
      </c>
      <c r="L41">
        <f>[4]data!L41*1000000000/(_xlfn.XLOOKUP($B41,[1]data!$C$2:$C$201,[1]data!S$2:S$201)*1000000)</f>
        <v>17503.474850990544</v>
      </c>
      <c r="M41">
        <f>[4]data!M41*1000000000/(_xlfn.XLOOKUP($B41,[1]data!$C$2:$C$201,[1]data!T$2:T$201)*1000000)</f>
        <v>18231.600076860384</v>
      </c>
      <c r="N41">
        <f>[4]data!N41*1000000000/(_xlfn.XLOOKUP($B41,[1]data!$C$2:$C$201,[1]data!U$2:U$201)*1000000)</f>
        <v>22507.853855323177</v>
      </c>
      <c r="O41">
        <f>[4]data!O41*1000000000/(_xlfn.XLOOKUP($B41,[1]data!$C$2:$C$201,[1]data!V$2:V$201)*1000000)</f>
        <v>25125.590050927403</v>
      </c>
      <c r="P41">
        <f>[4]data!P41*1000000000/(_xlfn.XLOOKUP($B41,[1]data!$C$2:$C$201,[1]data!W$2:W$201)*1000000)</f>
        <v>28920.069645664498</v>
      </c>
      <c r="Q41">
        <f>[4]data!Q41*1000000000/(_xlfn.XLOOKUP($B41,[1]data!$C$2:$C$201,[1]data!X$2:X$201)*1000000)</f>
        <v>33179.052297618291</v>
      </c>
      <c r="R41">
        <f>[4]data!R41*1000000000/(_xlfn.XLOOKUP($B41,[1]data!$C$2:$C$201,[1]data!Y$2:Y$201)*1000000)</f>
        <v>37760.175247943727</v>
      </c>
      <c r="S41">
        <f>[4]data!S41*1000000000/(_xlfn.XLOOKUP($B41,[1]data!$C$2:$C$201,[1]data!Z$2:Z$201)*1000000)</f>
        <v>42480.679140009088</v>
      </c>
      <c r="T41">
        <f>[4]data!T41*1000000000/(_xlfn.XLOOKUP($B41,[1]data!$C$2:$C$201,[1]data!AA$2:AA$201)*1000000)</f>
        <v>47368.799217757216</v>
      </c>
      <c r="U41">
        <f>[4]data!U41*1000000000/(_xlfn.XLOOKUP($B41,[1]data!$C$2:$C$201,[1]data!AB$2:AB$201)*1000000)</f>
        <v>52460.624049095422</v>
      </c>
      <c r="V41">
        <f>[4]data!V41*1000000000/(_xlfn.XLOOKUP($B41,[1]data!$C$2:$C$201,[1]data!AC$2:AC$201)*1000000)</f>
        <v>57730.431497401165</v>
      </c>
      <c r="W41">
        <f>[4]data!W41*1000000000/(_xlfn.XLOOKUP($B41,[1]data!$C$2:$C$201,[1]data!AD$2:AD$201)*1000000)</f>
        <v>62969.451681672675</v>
      </c>
      <c r="X41">
        <f>[4]data!X41*1000000000/(_xlfn.XLOOKUP($B41,[1]data!$C$2:$C$201,[1]data!AE$2:AE$201)*1000000)</f>
        <v>68171.70862353305</v>
      </c>
      <c r="Y41">
        <f>[4]data!Y41*1000000000/(_xlfn.XLOOKUP($B41,[1]data!$C$2:$C$201,[1]data!AF$2:AF$201)*1000000)</f>
        <v>73274.974215734575</v>
      </c>
      <c r="Z41">
        <f>[4]data!Z41*1000000000/(_xlfn.XLOOKUP($B41,[1]data!$C$2:$C$201,[1]data!AG$2:AG$201)*1000000)</f>
        <v>78349.438642090303</v>
      </c>
      <c r="AA41">
        <f>[4]data!AA41*1000000000/(_xlfn.XLOOKUP($B41,[1]data!$C$2:$C$201,[1]data!AH$2:AH$201)*1000000)</f>
        <v>83395.469434408064</v>
      </c>
      <c r="AB41">
        <f>[4]data!AB41*1000000000/(_xlfn.XLOOKUP($B41,[1]data!$C$2:$C$201,[1]data!AI$2:AI$201)*1000000)</f>
        <v>88397.933855942523</v>
      </c>
      <c r="AC41">
        <f>[4]data!AC41*1000000000/(_xlfn.XLOOKUP($B41,[1]data!$C$2:$C$201,[1]data!AJ$2:AJ$201)*1000000)</f>
        <v>93306.771275232255</v>
      </c>
    </row>
    <row r="42" spans="1:29" x14ac:dyDescent="0.25">
      <c r="A42" t="s">
        <v>232</v>
      </c>
      <c r="B42" t="s">
        <v>74</v>
      </c>
      <c r="C42" t="s">
        <v>233</v>
      </c>
      <c r="D42" t="s">
        <v>234</v>
      </c>
      <c r="E42">
        <f>[4]data!E42*1000000000/(_xlfn.XLOOKUP($B42,[1]data!$C$2:$C$201,[1]data!L$2:L$201)*1000000)</f>
        <v>3087.5776665137173</v>
      </c>
      <c r="F42">
        <f>[4]data!F42*1000000000/(_xlfn.XLOOKUP($B42,[1]data!$C$2:$C$201,[1]data!M$2:M$201)*1000000)</f>
        <v>4508.5691844979647</v>
      </c>
      <c r="G42">
        <f>[4]data!G42*1000000000/(_xlfn.XLOOKUP($B42,[1]data!$C$2:$C$201,[1]data!N$2:N$201)*1000000)</f>
        <v>4264.3126628168557</v>
      </c>
      <c r="H42">
        <f>[4]data!H42*1000000000/(_xlfn.XLOOKUP($B42,[1]data!$C$2:$C$201,[1]data!O$2:O$201)*1000000)</f>
        <v>2868.2956756000049</v>
      </c>
      <c r="I42">
        <f>[4]data!I42*1000000000/(_xlfn.XLOOKUP($B42,[1]data!$C$2:$C$201,[1]data!P$2:P$201)*1000000)</f>
        <v>3523.0901233674954</v>
      </c>
      <c r="J42">
        <f>[4]data!J42*1000000000/(_xlfn.XLOOKUP($B42,[1]data!$C$2:$C$201,[1]data!Q$2:Q$201)*1000000)</f>
        <v>4441.5400172159543</v>
      </c>
      <c r="K42">
        <f>[4]data!K42*1000000000/(_xlfn.XLOOKUP($B42,[1]data!$C$2:$C$201,[1]data!R$2:R$201)*1000000)</f>
        <v>5748.9193199430501</v>
      </c>
      <c r="L42">
        <f>[4]data!L42*1000000000/(_xlfn.XLOOKUP($B42,[1]data!$C$2:$C$201,[1]data!S$2:S$201)*1000000)</f>
        <v>6572.6708070150926</v>
      </c>
      <c r="M42">
        <f>[4]data!M42*1000000000/(_xlfn.XLOOKUP($B42,[1]data!$C$2:$C$201,[1]data!T$2:T$201)*1000000)</f>
        <v>6128.7571757784308</v>
      </c>
      <c r="N42">
        <f>[4]data!N42*1000000000/(_xlfn.XLOOKUP($B42,[1]data!$C$2:$C$201,[1]data!U$2:U$201)*1000000)</f>
        <v>7385.6915355802703</v>
      </c>
      <c r="O42">
        <f>[4]data!O42*1000000000/(_xlfn.XLOOKUP($B42,[1]data!$C$2:$C$201,[1]data!V$2:V$201)*1000000)</f>
        <v>9256.7465214734984</v>
      </c>
      <c r="P42">
        <f>[4]data!P42*1000000000/(_xlfn.XLOOKUP($B42,[1]data!$C$2:$C$201,[1]data!W$2:W$201)*1000000)</f>
        <v>11802.919547934651</v>
      </c>
      <c r="Q42">
        <f>[4]data!Q42*1000000000/(_xlfn.XLOOKUP($B42,[1]data!$C$2:$C$201,[1]data!X$2:X$201)*1000000)</f>
        <v>15480.055631995398</v>
      </c>
      <c r="R42">
        <f>[4]data!R42*1000000000/(_xlfn.XLOOKUP($B42,[1]data!$C$2:$C$201,[1]data!Y$2:Y$201)*1000000)</f>
        <v>20219.050073557824</v>
      </c>
      <c r="S42">
        <f>[4]data!S42*1000000000/(_xlfn.XLOOKUP($B42,[1]data!$C$2:$C$201,[1]data!Z$2:Z$201)*1000000)</f>
        <v>25915.846401725048</v>
      </c>
      <c r="T42">
        <f>[4]data!T42*1000000000/(_xlfn.XLOOKUP($B42,[1]data!$C$2:$C$201,[1]data!AA$2:AA$201)*1000000)</f>
        <v>32455.943312989133</v>
      </c>
      <c r="U42">
        <f>[4]data!U42*1000000000/(_xlfn.XLOOKUP($B42,[1]data!$C$2:$C$201,[1]data!AB$2:AB$201)*1000000)</f>
        <v>39788.420996122244</v>
      </c>
      <c r="V42">
        <f>[4]data!V42*1000000000/(_xlfn.XLOOKUP($B42,[1]data!$C$2:$C$201,[1]data!AC$2:AC$201)*1000000)</f>
        <v>47950.786647348148</v>
      </c>
      <c r="W42">
        <f>[4]data!W42*1000000000/(_xlfn.XLOOKUP($B42,[1]data!$C$2:$C$201,[1]data!AD$2:AD$201)*1000000)</f>
        <v>56766.052224220315</v>
      </c>
      <c r="X42">
        <f>[4]data!X42*1000000000/(_xlfn.XLOOKUP($B42,[1]data!$C$2:$C$201,[1]data!AE$2:AE$201)*1000000)</f>
        <v>66191.758238076407</v>
      </c>
      <c r="Y42">
        <f>[4]data!Y42*1000000000/(_xlfn.XLOOKUP($B42,[1]data!$C$2:$C$201,[1]data!AF$2:AF$201)*1000000)</f>
        <v>76140.498959216071</v>
      </c>
      <c r="Z42">
        <f>[4]data!Z42*1000000000/(_xlfn.XLOOKUP($B42,[1]data!$C$2:$C$201,[1]data!AG$2:AG$201)*1000000)</f>
        <v>86646.775026333111</v>
      </c>
      <c r="AA42">
        <f>[4]data!AA42*1000000000/(_xlfn.XLOOKUP($B42,[1]data!$C$2:$C$201,[1]data!AH$2:AH$201)*1000000)</f>
        <v>97684.870581557974</v>
      </c>
      <c r="AB42">
        <f>[4]data!AB42*1000000000/(_xlfn.XLOOKUP($B42,[1]data!$C$2:$C$201,[1]data!AI$2:AI$201)*1000000)</f>
        <v>109292.87647076708</v>
      </c>
      <c r="AC42">
        <f>[4]data!AC42*1000000000/(_xlfn.XLOOKUP($B42,[1]data!$C$2:$C$201,[1]data!AJ$2:AJ$201)*1000000)</f>
        <v>121340.89310349859</v>
      </c>
    </row>
    <row r="43" spans="1:29" x14ac:dyDescent="0.25">
      <c r="A43" t="s">
        <v>232</v>
      </c>
      <c r="B43" t="s">
        <v>75</v>
      </c>
      <c r="C43" t="s">
        <v>233</v>
      </c>
      <c r="D43" t="s">
        <v>234</v>
      </c>
      <c r="E43">
        <f>[4]data!E43*1000000000/(_xlfn.XLOOKUP($B43,[1]data!$C$2:$C$201,[1]data!L$2:L$201)*1000000)</f>
        <v>11647.180920599718</v>
      </c>
      <c r="F43">
        <f>[4]data!F43*1000000000/(_xlfn.XLOOKUP($B43,[1]data!$C$2:$C$201,[1]data!M$2:M$201)*1000000)</f>
        <v>14253.824816975117</v>
      </c>
      <c r="G43">
        <f>[4]data!G43*1000000000/(_xlfn.XLOOKUP($B43,[1]data!$C$2:$C$201,[1]data!N$2:N$201)*1000000)</f>
        <v>18433.701093063642</v>
      </c>
      <c r="H43">
        <f>[4]data!H43*1000000000/(_xlfn.XLOOKUP($B43,[1]data!$C$2:$C$201,[1]data!O$2:O$201)*1000000)</f>
        <v>21842.72990774869</v>
      </c>
      <c r="I43">
        <f>[4]data!I43*1000000000/(_xlfn.XLOOKUP($B43,[1]data!$C$2:$C$201,[1]data!P$2:P$201)*1000000)</f>
        <v>24334.442197401917</v>
      </c>
      <c r="J43">
        <f>[4]data!J43*1000000000/(_xlfn.XLOOKUP($B43,[1]data!$C$2:$C$201,[1]data!Q$2:Q$201)*1000000)</f>
        <v>27117.18968898851</v>
      </c>
      <c r="K43">
        <f>[4]data!K43*1000000000/(_xlfn.XLOOKUP($B43,[1]data!$C$2:$C$201,[1]data!R$2:R$201)*1000000)</f>
        <v>28441.768150896776</v>
      </c>
      <c r="L43">
        <f>[4]data!L43*1000000000/(_xlfn.XLOOKUP($B43,[1]data!$C$2:$C$201,[1]data!S$2:S$201)*1000000)</f>
        <v>24798.574710932287</v>
      </c>
      <c r="M43">
        <f>[4]data!M43*1000000000/(_xlfn.XLOOKUP($B43,[1]data!$C$2:$C$201,[1]data!T$2:T$201)*1000000)</f>
        <v>28547.298255681537</v>
      </c>
      <c r="N43">
        <f>[4]data!N43*1000000000/(_xlfn.XLOOKUP($B43,[1]data!$C$2:$C$201,[1]data!U$2:U$201)*1000000)</f>
        <v>33395.529359015076</v>
      </c>
      <c r="O43">
        <f>[4]data!O43*1000000000/(_xlfn.XLOOKUP($B43,[1]data!$C$2:$C$201,[1]data!V$2:V$201)*1000000)</f>
        <v>37593.959818259478</v>
      </c>
      <c r="P43">
        <f>[4]data!P43*1000000000/(_xlfn.XLOOKUP($B43,[1]data!$C$2:$C$201,[1]data!W$2:W$201)*1000000)</f>
        <v>41773.111716093568</v>
      </c>
      <c r="Q43">
        <f>[4]data!Q43*1000000000/(_xlfn.XLOOKUP($B43,[1]data!$C$2:$C$201,[1]data!X$2:X$201)*1000000)</f>
        <v>45699.43983425232</v>
      </c>
      <c r="R43">
        <f>[4]data!R43*1000000000/(_xlfn.XLOOKUP($B43,[1]data!$C$2:$C$201,[1]data!Y$2:Y$201)*1000000)</f>
        <v>49426.324064707122</v>
      </c>
      <c r="S43">
        <f>[4]data!S43*1000000000/(_xlfn.XLOOKUP($B43,[1]data!$C$2:$C$201,[1]data!Z$2:Z$201)*1000000)</f>
        <v>53022.507540968843</v>
      </c>
      <c r="T43">
        <f>[4]data!T43*1000000000/(_xlfn.XLOOKUP($B43,[1]data!$C$2:$C$201,[1]data!AA$2:AA$201)*1000000)</f>
        <v>56827.013608925095</v>
      </c>
      <c r="U43">
        <f>[4]data!U43*1000000000/(_xlfn.XLOOKUP($B43,[1]data!$C$2:$C$201,[1]data!AB$2:AB$201)*1000000)</f>
        <v>61039.520843184422</v>
      </c>
      <c r="V43">
        <f>[4]data!V43*1000000000/(_xlfn.XLOOKUP($B43,[1]data!$C$2:$C$201,[1]data!AC$2:AC$201)*1000000)</f>
        <v>65731.018321493655</v>
      </c>
      <c r="W43">
        <f>[4]data!W43*1000000000/(_xlfn.XLOOKUP($B43,[1]data!$C$2:$C$201,[1]data!AD$2:AD$201)*1000000)</f>
        <v>70660.245489887733</v>
      </c>
      <c r="X43">
        <f>[4]data!X43*1000000000/(_xlfn.XLOOKUP($B43,[1]data!$C$2:$C$201,[1]data!AE$2:AE$201)*1000000)</f>
        <v>75723.056936828565</v>
      </c>
      <c r="Y43">
        <f>[4]data!Y43*1000000000/(_xlfn.XLOOKUP($B43,[1]data!$C$2:$C$201,[1]data!AF$2:AF$201)*1000000)</f>
        <v>80926.69412746001</v>
      </c>
      <c r="Z43">
        <f>[4]data!Z43*1000000000/(_xlfn.XLOOKUP($B43,[1]data!$C$2:$C$201,[1]data!AG$2:AG$201)*1000000)</f>
        <v>86362.032462949894</v>
      </c>
      <c r="AA43">
        <f>[4]data!AA43*1000000000/(_xlfn.XLOOKUP($B43,[1]data!$C$2:$C$201,[1]data!AH$2:AH$201)*1000000)</f>
        <v>92125.113434205297</v>
      </c>
      <c r="AB43">
        <f>[4]data!AB43*1000000000/(_xlfn.XLOOKUP($B43,[1]data!$C$2:$C$201,[1]data!AI$2:AI$201)*1000000)</f>
        <v>98252.884485661169</v>
      </c>
      <c r="AC43">
        <f>[4]data!AC43*1000000000/(_xlfn.XLOOKUP($B43,[1]data!$C$2:$C$201,[1]data!AJ$2:AJ$201)*1000000)</f>
        <v>104743.31659614705</v>
      </c>
    </row>
    <row r="44" spans="1:29" x14ac:dyDescent="0.25">
      <c r="A44" t="s">
        <v>232</v>
      </c>
      <c r="B44" t="s">
        <v>76</v>
      </c>
      <c r="C44" t="s">
        <v>233</v>
      </c>
      <c r="D44" t="s">
        <v>234</v>
      </c>
      <c r="E44" t="e">
        <f>[4]data!E44*1000000000/(_xlfn.XLOOKUP($B44,[1]data!$C$2:$C$201,[1]data!L$2:L$201)*1000000)</f>
        <v>#VALUE!</v>
      </c>
      <c r="F44" t="e">
        <f>[4]data!F44*1000000000/(_xlfn.XLOOKUP($B44,[1]data!$C$2:$C$201,[1]data!M$2:M$201)*1000000)</f>
        <v>#VALUE!</v>
      </c>
      <c r="G44">
        <f>[4]data!G44*1000000000/(_xlfn.XLOOKUP($B44,[1]data!$C$2:$C$201,[1]data!N$2:N$201)*1000000)</f>
        <v>26357.159613693362</v>
      </c>
      <c r="H44">
        <f>[4]data!H44*1000000000/(_xlfn.XLOOKUP($B44,[1]data!$C$2:$C$201,[1]data!O$2:O$201)*1000000)</f>
        <v>22758.436636148559</v>
      </c>
      <c r="I44">
        <f>[4]data!I44*1000000000/(_xlfn.XLOOKUP($B44,[1]data!$C$2:$C$201,[1]data!P$2:P$201)*1000000)</f>
        <v>23455.980296601607</v>
      </c>
      <c r="J44">
        <f>[4]data!J44*1000000000/(_xlfn.XLOOKUP($B44,[1]data!$C$2:$C$201,[1]data!Q$2:Q$201)*1000000)</f>
        <v>28292.593057464768</v>
      </c>
      <c r="K44">
        <f>[4]data!K44*1000000000/(_xlfn.XLOOKUP($B44,[1]data!$C$2:$C$201,[1]data!R$2:R$201)*1000000)</f>
        <v>31447.861083294647</v>
      </c>
      <c r="L44">
        <f>[4]data!L44*1000000000/(_xlfn.XLOOKUP($B44,[1]data!$C$2:$C$201,[1]data!S$2:S$201)*1000000)</f>
        <v>33991.850532458302</v>
      </c>
      <c r="M44">
        <f>[4]data!M44*1000000000/(_xlfn.XLOOKUP($B44,[1]data!$C$2:$C$201,[1]data!T$2:T$201)*1000000)</f>
        <v>36777.698192088981</v>
      </c>
      <c r="N44">
        <f>[4]data!N44*1000000000/(_xlfn.XLOOKUP($B44,[1]data!$C$2:$C$201,[1]data!U$2:U$201)*1000000)</f>
        <v>39126.10167642084</v>
      </c>
      <c r="O44">
        <f>[4]data!O44*1000000000/(_xlfn.XLOOKUP($B44,[1]data!$C$2:$C$201,[1]data!V$2:V$201)*1000000)</f>
        <v>42977.441270393065</v>
      </c>
      <c r="P44">
        <f>[4]data!P44*1000000000/(_xlfn.XLOOKUP($B44,[1]data!$C$2:$C$201,[1]data!W$2:W$201)*1000000)</f>
        <v>46801.121332321505</v>
      </c>
      <c r="Q44">
        <f>[4]data!Q44*1000000000/(_xlfn.XLOOKUP($B44,[1]data!$C$2:$C$201,[1]data!X$2:X$201)*1000000)</f>
        <v>50558.599781921352</v>
      </c>
      <c r="R44">
        <f>[4]data!R44*1000000000/(_xlfn.XLOOKUP($B44,[1]data!$C$2:$C$201,[1]data!Y$2:Y$201)*1000000)</f>
        <v>54073.302939040987</v>
      </c>
      <c r="S44">
        <f>[4]data!S44*1000000000/(_xlfn.XLOOKUP($B44,[1]data!$C$2:$C$201,[1]data!Z$2:Z$201)*1000000)</f>
        <v>57355.93502217788</v>
      </c>
      <c r="T44">
        <f>[4]data!T44*1000000000/(_xlfn.XLOOKUP($B44,[1]data!$C$2:$C$201,[1]data!AA$2:AA$201)*1000000)</f>
        <v>60788.223198661202</v>
      </c>
      <c r="U44">
        <f>[4]data!U44*1000000000/(_xlfn.XLOOKUP($B44,[1]data!$C$2:$C$201,[1]data!AB$2:AB$201)*1000000)</f>
        <v>64402.738899928539</v>
      </c>
      <c r="V44">
        <f>[4]data!V44*1000000000/(_xlfn.XLOOKUP($B44,[1]data!$C$2:$C$201,[1]data!AC$2:AC$201)*1000000)</f>
        <v>68385.867080911499</v>
      </c>
      <c r="W44">
        <f>[4]data!W44*1000000000/(_xlfn.XLOOKUP($B44,[1]data!$C$2:$C$201,[1]data!AD$2:AD$201)*1000000)</f>
        <v>72522.617584613079</v>
      </c>
      <c r="X44">
        <f>[4]data!X44*1000000000/(_xlfn.XLOOKUP($B44,[1]data!$C$2:$C$201,[1]data!AE$2:AE$201)*1000000)</f>
        <v>76547.540736387979</v>
      </c>
      <c r="Y44">
        <f>[4]data!Y44*1000000000/(_xlfn.XLOOKUP($B44,[1]data!$C$2:$C$201,[1]data!AF$2:AF$201)*1000000)</f>
        <v>80293.309626934846</v>
      </c>
      <c r="Z44">
        <f>[4]data!Z44*1000000000/(_xlfn.XLOOKUP($B44,[1]data!$C$2:$C$201,[1]data!AG$2:AG$201)*1000000)</f>
        <v>83754.074913522854</v>
      </c>
      <c r="AA44">
        <f>[4]data!AA44*1000000000/(_xlfn.XLOOKUP($B44,[1]data!$C$2:$C$201,[1]data!AH$2:AH$201)*1000000)</f>
        <v>87017.831849711249</v>
      </c>
      <c r="AB44">
        <f>[4]data!AB44*1000000000/(_xlfn.XLOOKUP($B44,[1]data!$C$2:$C$201,[1]data!AI$2:AI$201)*1000000)</f>
        <v>90148.440799228352</v>
      </c>
      <c r="AC44">
        <f>[4]data!AC44*1000000000/(_xlfn.XLOOKUP($B44,[1]data!$C$2:$C$201,[1]data!AJ$2:AJ$201)*1000000)</f>
        <v>93128.798408491202</v>
      </c>
    </row>
    <row r="45" spans="1:29" x14ac:dyDescent="0.25">
      <c r="A45" t="s">
        <v>232</v>
      </c>
      <c r="B45" t="s">
        <v>77</v>
      </c>
      <c r="C45" t="s">
        <v>233</v>
      </c>
      <c r="D45" t="s">
        <v>234</v>
      </c>
      <c r="E45">
        <f>[4]data!E45*1000000000/(_xlfn.XLOOKUP($B45,[1]data!$C$2:$C$201,[1]data!L$2:L$201)*1000000)</f>
        <v>29757.841715552346</v>
      </c>
      <c r="F45">
        <f>[4]data!F45*1000000000/(_xlfn.XLOOKUP($B45,[1]data!$C$2:$C$201,[1]data!M$2:M$201)*1000000)</f>
        <v>32029.988416917255</v>
      </c>
      <c r="G45">
        <f>[4]data!G45*1000000000/(_xlfn.XLOOKUP($B45,[1]data!$C$2:$C$201,[1]data!N$2:N$201)*1000000)</f>
        <v>36919.77751018414</v>
      </c>
      <c r="H45">
        <f>[4]data!H45*1000000000/(_xlfn.XLOOKUP($B45,[1]data!$C$2:$C$201,[1]data!O$2:O$201)*1000000)</f>
        <v>39696.355991724806</v>
      </c>
      <c r="I45">
        <f>[4]data!I45*1000000000/(_xlfn.XLOOKUP($B45,[1]data!$C$2:$C$201,[1]data!P$2:P$201)*1000000)</f>
        <v>40270.177148809664</v>
      </c>
      <c r="J45">
        <f>[4]data!J45*1000000000/(_xlfn.XLOOKUP($B45,[1]data!$C$2:$C$201,[1]data!Q$2:Q$201)*1000000)</f>
        <v>41459.172929560766</v>
      </c>
      <c r="K45">
        <f>[4]data!K45*1000000000/(_xlfn.XLOOKUP($B45,[1]data!$C$2:$C$201,[1]data!R$2:R$201)*1000000)</f>
        <v>43911.286175899739</v>
      </c>
      <c r="L45">
        <f>[4]data!L45*1000000000/(_xlfn.XLOOKUP($B45,[1]data!$C$2:$C$201,[1]data!S$2:S$201)*1000000)</f>
        <v>47404.467455924132</v>
      </c>
      <c r="M45">
        <f>[4]data!M45*1000000000/(_xlfn.XLOOKUP($B45,[1]data!$C$2:$C$201,[1]data!T$2:T$201)*1000000)</f>
        <v>48022.249984904105</v>
      </c>
      <c r="N45">
        <f>[4]data!N45*1000000000/(_xlfn.XLOOKUP($B45,[1]data!$C$2:$C$201,[1]data!U$2:U$201)*1000000)</f>
        <v>51149.511471395221</v>
      </c>
      <c r="O45">
        <f>[4]data!O45*1000000000/(_xlfn.XLOOKUP($B45,[1]data!$C$2:$C$201,[1]data!V$2:V$201)*1000000)</f>
        <v>54225.104542081033</v>
      </c>
      <c r="P45">
        <f>[4]data!P45*1000000000/(_xlfn.XLOOKUP($B45,[1]data!$C$2:$C$201,[1]data!W$2:W$201)*1000000)</f>
        <v>57527.693918086981</v>
      </c>
      <c r="Q45">
        <f>[4]data!Q45*1000000000/(_xlfn.XLOOKUP($B45,[1]data!$C$2:$C$201,[1]data!X$2:X$201)*1000000)</f>
        <v>61338.837243800393</v>
      </c>
      <c r="R45">
        <f>[4]data!R45*1000000000/(_xlfn.XLOOKUP($B45,[1]data!$C$2:$C$201,[1]data!Y$2:Y$201)*1000000)</f>
        <v>65355.880298211268</v>
      </c>
      <c r="S45">
        <f>[4]data!S45*1000000000/(_xlfn.XLOOKUP($B45,[1]data!$C$2:$C$201,[1]data!Z$2:Z$201)*1000000)</f>
        <v>69278.29563868673</v>
      </c>
      <c r="T45">
        <f>[4]data!T45*1000000000/(_xlfn.XLOOKUP($B45,[1]data!$C$2:$C$201,[1]data!AA$2:AA$201)*1000000)</f>
        <v>73129.660765237335</v>
      </c>
      <c r="U45">
        <f>[4]data!U45*1000000000/(_xlfn.XLOOKUP($B45,[1]data!$C$2:$C$201,[1]data!AB$2:AB$201)*1000000)</f>
        <v>77006.593783639226</v>
      </c>
      <c r="V45">
        <f>[4]data!V45*1000000000/(_xlfn.XLOOKUP($B45,[1]data!$C$2:$C$201,[1]data!AC$2:AC$201)*1000000)</f>
        <v>81013.85909156299</v>
      </c>
      <c r="W45">
        <f>[4]data!W45*1000000000/(_xlfn.XLOOKUP($B45,[1]data!$C$2:$C$201,[1]data!AD$2:AD$201)*1000000)</f>
        <v>85008.392329067938</v>
      </c>
      <c r="X45">
        <f>[4]data!X45*1000000000/(_xlfn.XLOOKUP($B45,[1]data!$C$2:$C$201,[1]data!AE$2:AE$201)*1000000)</f>
        <v>88945.582333472543</v>
      </c>
      <c r="Y45">
        <f>[4]data!Y45*1000000000/(_xlfn.XLOOKUP($B45,[1]data!$C$2:$C$201,[1]data!AF$2:AF$201)*1000000)</f>
        <v>92738.789465124311</v>
      </c>
      <c r="Z45">
        <f>[4]data!Z45*1000000000/(_xlfn.XLOOKUP($B45,[1]data!$C$2:$C$201,[1]data!AG$2:AG$201)*1000000)</f>
        <v>96316.053558898682</v>
      </c>
      <c r="AA45">
        <f>[4]data!AA45*1000000000/(_xlfn.XLOOKUP($B45,[1]data!$C$2:$C$201,[1]data!AH$2:AH$201)*1000000)</f>
        <v>99639.239697106459</v>
      </c>
      <c r="AB45">
        <f>[4]data!AB45*1000000000/(_xlfn.XLOOKUP($B45,[1]data!$C$2:$C$201,[1]data!AI$2:AI$201)*1000000)</f>
        <v>102714.8558063855</v>
      </c>
      <c r="AC45">
        <f>[4]data!AC45*1000000000/(_xlfn.XLOOKUP($B45,[1]data!$C$2:$C$201,[1]data!AJ$2:AJ$201)*1000000)</f>
        <v>105577.04883269632</v>
      </c>
    </row>
    <row r="46" spans="1:29" x14ac:dyDescent="0.25">
      <c r="A46" t="s">
        <v>232</v>
      </c>
      <c r="B46" t="s">
        <v>78</v>
      </c>
      <c r="C46" t="s">
        <v>233</v>
      </c>
      <c r="D46" t="s">
        <v>234</v>
      </c>
      <c r="E46" t="e">
        <f>[4]data!E46*1000000000/(_xlfn.XLOOKUP($B46,[1]data!$C$2:$C$201,[1]data!L$2:L$201)*1000000)</f>
        <v>#VALUE!</v>
      </c>
      <c r="F46" t="e">
        <f>[4]data!F46*1000000000/(_xlfn.XLOOKUP($B46,[1]data!$C$2:$C$201,[1]data!M$2:M$201)*1000000)</f>
        <v>#VALUE!</v>
      </c>
      <c r="G46">
        <f>[4]data!G46*1000000000/(_xlfn.XLOOKUP($B46,[1]data!$C$2:$C$201,[1]data!N$2:N$201)*1000000)</f>
        <v>4641.7877841602722</v>
      </c>
      <c r="H46">
        <f>[4]data!H46*1000000000/(_xlfn.XLOOKUP($B46,[1]data!$C$2:$C$201,[1]data!O$2:O$201)*1000000)</f>
        <v>3462.0264229565673</v>
      </c>
      <c r="I46">
        <f>[4]data!I46*1000000000/(_xlfn.XLOOKUP($B46,[1]data!$C$2:$C$201,[1]data!P$2:P$201)*1000000)</f>
        <v>2914.1516403535175</v>
      </c>
      <c r="J46">
        <f>[4]data!J46*1000000000/(_xlfn.XLOOKUP($B46,[1]data!$C$2:$C$201,[1]data!Q$2:Q$201)*1000000)</f>
        <v>2969.399205410487</v>
      </c>
      <c r="K46">
        <f>[4]data!K46*1000000000/(_xlfn.XLOOKUP($B46,[1]data!$C$2:$C$201,[1]data!R$2:R$201)*1000000)</f>
        <v>3314.4427686193262</v>
      </c>
      <c r="L46">
        <f>[4]data!L46*1000000000/(_xlfn.XLOOKUP($B46,[1]data!$C$2:$C$201,[1]data!S$2:S$201)*1000000)</f>
        <v>4108.7272027486997</v>
      </c>
      <c r="M46">
        <f>[4]data!M46*1000000000/(_xlfn.XLOOKUP($B46,[1]data!$C$2:$C$201,[1]data!T$2:T$201)*1000000)</f>
        <v>4793.8403885651569</v>
      </c>
      <c r="N46">
        <f>[4]data!N46*1000000000/(_xlfn.XLOOKUP($B46,[1]data!$C$2:$C$201,[1]data!U$2:U$201)*1000000)</f>
        <v>5693.0646311526243</v>
      </c>
      <c r="O46">
        <f>[4]data!O46*1000000000/(_xlfn.XLOOKUP($B46,[1]data!$C$2:$C$201,[1]data!V$2:V$201)*1000000)</f>
        <v>7066.6673204360968</v>
      </c>
      <c r="P46">
        <f>[4]data!P46*1000000000/(_xlfn.XLOOKUP($B46,[1]data!$C$2:$C$201,[1]data!W$2:W$201)*1000000)</f>
        <v>9127.3974835639929</v>
      </c>
      <c r="Q46">
        <f>[4]data!Q46*1000000000/(_xlfn.XLOOKUP($B46,[1]data!$C$2:$C$201,[1]data!X$2:X$201)*1000000)</f>
        <v>11078.509190471519</v>
      </c>
      <c r="R46">
        <f>[4]data!R46*1000000000/(_xlfn.XLOOKUP($B46,[1]data!$C$2:$C$201,[1]data!Y$2:Y$201)*1000000)</f>
        <v>13060.994597231886</v>
      </c>
      <c r="S46">
        <f>[4]data!S46*1000000000/(_xlfn.XLOOKUP($B46,[1]data!$C$2:$C$201,[1]data!Z$2:Z$201)*1000000)</f>
        <v>15213.429202905192</v>
      </c>
      <c r="T46">
        <f>[4]data!T46*1000000000/(_xlfn.XLOOKUP($B46,[1]data!$C$2:$C$201,[1]data!AA$2:AA$201)*1000000)</f>
        <v>17586.818412799268</v>
      </c>
      <c r="U46">
        <f>[4]data!U46*1000000000/(_xlfn.XLOOKUP($B46,[1]data!$C$2:$C$201,[1]data!AB$2:AB$201)*1000000)</f>
        <v>20217.184835188029</v>
      </c>
      <c r="V46">
        <f>[4]data!V46*1000000000/(_xlfn.XLOOKUP($B46,[1]data!$C$2:$C$201,[1]data!AC$2:AC$201)*1000000)</f>
        <v>23084.864879146251</v>
      </c>
      <c r="W46">
        <f>[4]data!W46*1000000000/(_xlfn.XLOOKUP($B46,[1]data!$C$2:$C$201,[1]data!AD$2:AD$201)*1000000)</f>
        <v>26101.274044804697</v>
      </c>
      <c r="X46">
        <f>[4]data!X46*1000000000/(_xlfn.XLOOKUP($B46,[1]data!$C$2:$C$201,[1]data!AE$2:AE$201)*1000000)</f>
        <v>29280.781509801422</v>
      </c>
      <c r="Y46">
        <f>[4]data!Y46*1000000000/(_xlfn.XLOOKUP($B46,[1]data!$C$2:$C$201,[1]data!AF$2:AF$201)*1000000)</f>
        <v>32647.993365255646</v>
      </c>
      <c r="Z46">
        <f>[4]data!Z46*1000000000/(_xlfn.XLOOKUP($B46,[1]data!$C$2:$C$201,[1]data!AG$2:AG$201)*1000000)</f>
        <v>36212.159571525255</v>
      </c>
      <c r="AA46">
        <f>[4]data!AA46*1000000000/(_xlfn.XLOOKUP($B46,[1]data!$C$2:$C$201,[1]data!AH$2:AH$201)*1000000)</f>
        <v>40056.370006733043</v>
      </c>
      <c r="AB46">
        <f>[4]data!AB46*1000000000/(_xlfn.XLOOKUP($B46,[1]data!$C$2:$C$201,[1]data!AI$2:AI$201)*1000000)</f>
        <v>44198.598714954518</v>
      </c>
      <c r="AC46">
        <f>[4]data!AC46*1000000000/(_xlfn.XLOOKUP($B46,[1]data!$C$2:$C$201,[1]data!AJ$2:AJ$201)*1000000)</f>
        <v>48631.010377771825</v>
      </c>
    </row>
    <row r="47" spans="1:29" x14ac:dyDescent="0.25">
      <c r="A47" t="s">
        <v>232</v>
      </c>
      <c r="B47" t="s">
        <v>79</v>
      </c>
      <c r="C47" t="s">
        <v>233</v>
      </c>
      <c r="D47" t="s">
        <v>234</v>
      </c>
      <c r="E47">
        <f>[4]data!E47*1000000000/(_xlfn.XLOOKUP($B47,[1]data!$C$2:$C$201,[1]data!L$2:L$201)*1000000)</f>
        <v>31852.857392409238</v>
      </c>
      <c r="F47">
        <f>[4]data!F47*1000000000/(_xlfn.XLOOKUP($B47,[1]data!$C$2:$C$201,[1]data!M$2:M$201)*1000000)</f>
        <v>36487.823818157354</v>
      </c>
      <c r="G47">
        <f>[4]data!G47*1000000000/(_xlfn.XLOOKUP($B47,[1]data!$C$2:$C$201,[1]data!N$2:N$201)*1000000)</f>
        <v>39044.998046203007</v>
      </c>
      <c r="H47">
        <f>[4]data!H47*1000000000/(_xlfn.XLOOKUP($B47,[1]data!$C$2:$C$201,[1]data!O$2:O$201)*1000000)</f>
        <v>43085.657043015992</v>
      </c>
      <c r="I47">
        <f>[4]data!I47*1000000000/(_xlfn.XLOOKUP($B47,[1]data!$C$2:$C$201,[1]data!P$2:P$201)*1000000)</f>
        <v>45431.57084229363</v>
      </c>
      <c r="J47">
        <f>[4]data!J47*1000000000/(_xlfn.XLOOKUP($B47,[1]data!$C$2:$C$201,[1]data!Q$2:Q$201)*1000000)</f>
        <v>47683.652264464792</v>
      </c>
      <c r="K47">
        <f>[4]data!K47*1000000000/(_xlfn.XLOOKUP($B47,[1]data!$C$2:$C$201,[1]data!R$2:R$201)*1000000)</f>
        <v>47210.335302913452</v>
      </c>
      <c r="L47">
        <f>[4]data!L47*1000000000/(_xlfn.XLOOKUP($B47,[1]data!$C$2:$C$201,[1]data!S$2:S$201)*1000000)</f>
        <v>49213.699094976691</v>
      </c>
      <c r="M47">
        <f>[4]data!M47*1000000000/(_xlfn.XLOOKUP($B47,[1]data!$C$2:$C$201,[1]data!T$2:T$201)*1000000)</f>
        <v>51436.547748999226</v>
      </c>
      <c r="N47">
        <f>[4]data!N47*1000000000/(_xlfn.XLOOKUP($B47,[1]data!$C$2:$C$201,[1]data!U$2:U$201)*1000000)</f>
        <v>57792.5692388428</v>
      </c>
      <c r="O47">
        <f>[4]data!O47*1000000000/(_xlfn.XLOOKUP($B47,[1]data!$C$2:$C$201,[1]data!V$2:V$201)*1000000)</f>
        <v>61142.063242479562</v>
      </c>
      <c r="P47">
        <f>[4]data!P47*1000000000/(_xlfn.XLOOKUP($B47,[1]data!$C$2:$C$201,[1]data!W$2:W$201)*1000000)</f>
        <v>64463.614961863103</v>
      </c>
      <c r="Q47">
        <f>[4]data!Q47*1000000000/(_xlfn.XLOOKUP($B47,[1]data!$C$2:$C$201,[1]data!X$2:X$201)*1000000)</f>
        <v>67936.259469567405</v>
      </c>
      <c r="R47">
        <f>[4]data!R47*1000000000/(_xlfn.XLOOKUP($B47,[1]data!$C$2:$C$201,[1]data!Y$2:Y$201)*1000000)</f>
        <v>71709.79851445352</v>
      </c>
      <c r="S47">
        <f>[4]data!S47*1000000000/(_xlfn.XLOOKUP($B47,[1]data!$C$2:$C$201,[1]data!Z$2:Z$201)*1000000)</f>
        <v>75510.377063253574</v>
      </c>
      <c r="T47">
        <f>[4]data!T47*1000000000/(_xlfn.XLOOKUP($B47,[1]data!$C$2:$C$201,[1]data!AA$2:AA$201)*1000000)</f>
        <v>79298.615954799112</v>
      </c>
      <c r="U47">
        <f>[4]data!U47*1000000000/(_xlfn.XLOOKUP($B47,[1]data!$C$2:$C$201,[1]data!AB$2:AB$201)*1000000)</f>
        <v>83069.985831745304</v>
      </c>
      <c r="V47">
        <f>[4]data!V47*1000000000/(_xlfn.XLOOKUP($B47,[1]data!$C$2:$C$201,[1]data!AC$2:AC$201)*1000000)</f>
        <v>86930.393903618387</v>
      </c>
      <c r="W47">
        <f>[4]data!W47*1000000000/(_xlfn.XLOOKUP($B47,[1]data!$C$2:$C$201,[1]data!AD$2:AD$201)*1000000)</f>
        <v>90536.879189645319</v>
      </c>
      <c r="X47">
        <f>[4]data!X47*1000000000/(_xlfn.XLOOKUP($B47,[1]data!$C$2:$C$201,[1]data!AE$2:AE$201)*1000000)</f>
        <v>93840.357758296464</v>
      </c>
      <c r="Y47">
        <f>[4]data!Y47*1000000000/(_xlfn.XLOOKUP($B47,[1]data!$C$2:$C$201,[1]data!AF$2:AF$201)*1000000)</f>
        <v>96930.700469164847</v>
      </c>
      <c r="Z47">
        <f>[4]data!Z47*1000000000/(_xlfn.XLOOKUP($B47,[1]data!$C$2:$C$201,[1]data!AG$2:AG$201)*1000000)</f>
        <v>99811.971957631686</v>
      </c>
      <c r="AA47">
        <f>[4]data!AA47*1000000000/(_xlfn.XLOOKUP($B47,[1]data!$C$2:$C$201,[1]data!AH$2:AH$201)*1000000)</f>
        <v>102467.22591974563</v>
      </c>
      <c r="AB47">
        <f>[4]data!AB47*1000000000/(_xlfn.XLOOKUP($B47,[1]data!$C$2:$C$201,[1]data!AI$2:AI$201)*1000000)</f>
        <v>104847.17646964153</v>
      </c>
      <c r="AC47">
        <f>[4]data!AC47*1000000000/(_xlfn.XLOOKUP($B47,[1]data!$C$2:$C$201,[1]data!AJ$2:AJ$201)*1000000)</f>
        <v>106913.02644709898</v>
      </c>
    </row>
    <row r="48" spans="1:29" x14ac:dyDescent="0.25">
      <c r="A48" t="s">
        <v>232</v>
      </c>
      <c r="B48" t="s">
        <v>80</v>
      </c>
      <c r="C48" t="s">
        <v>233</v>
      </c>
      <c r="D48" t="s">
        <v>234</v>
      </c>
      <c r="E48">
        <f>[4]data!E48*1000000000/(_xlfn.XLOOKUP($B48,[1]data!$C$2:$C$201,[1]data!L$2:L$201)*1000000)</f>
        <v>6151.546940647454</v>
      </c>
      <c r="F48">
        <f>[4]data!F48*1000000000/(_xlfn.XLOOKUP($B48,[1]data!$C$2:$C$201,[1]data!M$2:M$201)*1000000)</f>
        <v>6062.4657772410801</v>
      </c>
      <c r="G48">
        <f>[4]data!G48*1000000000/(_xlfn.XLOOKUP($B48,[1]data!$C$2:$C$201,[1]data!N$2:N$201)*1000000)</f>
        <v>6272.9937330027842</v>
      </c>
      <c r="H48">
        <f>[4]data!H48*1000000000/(_xlfn.XLOOKUP($B48,[1]data!$C$2:$C$201,[1]data!O$2:O$201)*1000000)</f>
        <v>7417.4723514230445</v>
      </c>
      <c r="I48">
        <f>[4]data!I48*1000000000/(_xlfn.XLOOKUP($B48,[1]data!$C$2:$C$201,[1]data!P$2:P$201)*1000000)</f>
        <v>9317.0261514248432</v>
      </c>
      <c r="J48">
        <f>[4]data!J48*1000000000/(_xlfn.XLOOKUP($B48,[1]data!$C$2:$C$201,[1]data!Q$2:Q$201)*1000000)</f>
        <v>10283.421914809765</v>
      </c>
      <c r="K48">
        <f>[4]data!K48*1000000000/(_xlfn.XLOOKUP($B48,[1]data!$C$2:$C$201,[1]data!R$2:R$201)*1000000)</f>
        <v>12760.715198098604</v>
      </c>
      <c r="L48">
        <f>[4]data!L48*1000000000/(_xlfn.XLOOKUP($B48,[1]data!$C$2:$C$201,[1]data!S$2:S$201)*1000000)</f>
        <v>15235.598723396772</v>
      </c>
      <c r="M48">
        <f>[4]data!M48*1000000000/(_xlfn.XLOOKUP($B48,[1]data!$C$2:$C$201,[1]data!T$2:T$201)*1000000)</f>
        <v>16860.887689669788</v>
      </c>
      <c r="N48">
        <f>[4]data!N48*1000000000/(_xlfn.XLOOKUP($B48,[1]data!$C$2:$C$201,[1]data!U$2:U$201)*1000000)</f>
        <v>21428.482892327283</v>
      </c>
      <c r="O48">
        <f>[4]data!O48*1000000000/(_xlfn.XLOOKUP($B48,[1]data!$C$2:$C$201,[1]data!V$2:V$201)*1000000)</f>
        <v>26137.483271390869</v>
      </c>
      <c r="P48">
        <f>[4]data!P48*1000000000/(_xlfn.XLOOKUP($B48,[1]data!$C$2:$C$201,[1]data!W$2:W$201)*1000000)</f>
        <v>31093.744683155608</v>
      </c>
      <c r="Q48">
        <f>[4]data!Q48*1000000000/(_xlfn.XLOOKUP($B48,[1]data!$C$2:$C$201,[1]data!X$2:X$201)*1000000)</f>
        <v>35915.210570302741</v>
      </c>
      <c r="R48">
        <f>[4]data!R48*1000000000/(_xlfn.XLOOKUP($B48,[1]data!$C$2:$C$201,[1]data!Y$2:Y$201)*1000000)</f>
        <v>40843.386535503225</v>
      </c>
      <c r="S48">
        <f>[4]data!S48*1000000000/(_xlfn.XLOOKUP($B48,[1]data!$C$2:$C$201,[1]data!Z$2:Z$201)*1000000)</f>
        <v>45936.976439113801</v>
      </c>
      <c r="T48">
        <f>[4]data!T48*1000000000/(_xlfn.XLOOKUP($B48,[1]data!$C$2:$C$201,[1]data!AA$2:AA$201)*1000000)</f>
        <v>51250.650179098666</v>
      </c>
      <c r="U48">
        <f>[4]data!U48*1000000000/(_xlfn.XLOOKUP($B48,[1]data!$C$2:$C$201,[1]data!AB$2:AB$201)*1000000)</f>
        <v>56815.070138532115</v>
      </c>
      <c r="V48">
        <f>[4]data!V48*1000000000/(_xlfn.XLOOKUP($B48,[1]data!$C$2:$C$201,[1]data!AC$2:AC$201)*1000000)</f>
        <v>62772.030396623333</v>
      </c>
      <c r="W48">
        <f>[4]data!W48*1000000000/(_xlfn.XLOOKUP($B48,[1]data!$C$2:$C$201,[1]data!AD$2:AD$201)*1000000)</f>
        <v>69012.930465886835</v>
      </c>
      <c r="X48">
        <f>[4]data!X48*1000000000/(_xlfn.XLOOKUP($B48,[1]data!$C$2:$C$201,[1]data!AE$2:AE$201)*1000000)</f>
        <v>75531.003740580229</v>
      </c>
      <c r="Y48">
        <f>[4]data!Y48*1000000000/(_xlfn.XLOOKUP($B48,[1]data!$C$2:$C$201,[1]data!AF$2:AF$201)*1000000)</f>
        <v>82267.072187206883</v>
      </c>
      <c r="Z48">
        <f>[4]data!Z48*1000000000/(_xlfn.XLOOKUP($B48,[1]data!$C$2:$C$201,[1]data!AG$2:AG$201)*1000000)</f>
        <v>89187.826854010462</v>
      </c>
      <c r="AA48">
        <f>[4]data!AA48*1000000000/(_xlfn.XLOOKUP($B48,[1]data!$C$2:$C$201,[1]data!AH$2:AH$201)*1000000)</f>
        <v>96368.638864886991</v>
      </c>
      <c r="AB48">
        <f>[4]data!AB48*1000000000/(_xlfn.XLOOKUP($B48,[1]data!$C$2:$C$201,[1]data!AI$2:AI$201)*1000000)</f>
        <v>103851.9550579169</v>
      </c>
      <c r="AC48">
        <f>[4]data!AC48*1000000000/(_xlfn.XLOOKUP($B48,[1]data!$C$2:$C$201,[1]data!AJ$2:AJ$201)*1000000)</f>
        <v>111732.2342445312</v>
      </c>
    </row>
    <row r="49" spans="1:29" x14ac:dyDescent="0.25">
      <c r="A49" t="s">
        <v>232</v>
      </c>
      <c r="B49" t="s">
        <v>81</v>
      </c>
      <c r="C49" t="s">
        <v>233</v>
      </c>
      <c r="D49" t="s">
        <v>234</v>
      </c>
      <c r="E49">
        <f>[4]data!E49*1000000000/(_xlfn.XLOOKUP($B49,[1]data!$C$2:$C$201,[1]data!L$2:L$201)*1000000)</f>
        <v>9121.7323922759733</v>
      </c>
      <c r="F49">
        <f>[4]data!F49*1000000000/(_xlfn.XLOOKUP($B49,[1]data!$C$2:$C$201,[1]data!M$2:M$201)*1000000)</f>
        <v>9960.0044419080787</v>
      </c>
      <c r="G49">
        <f>[4]data!G49*1000000000/(_xlfn.XLOOKUP($B49,[1]data!$C$2:$C$201,[1]data!N$2:N$201)*1000000)</f>
        <v>8827.8344004655082</v>
      </c>
      <c r="H49">
        <f>[4]data!H49*1000000000/(_xlfn.XLOOKUP($B49,[1]data!$C$2:$C$201,[1]data!O$2:O$201)*1000000)</f>
        <v>7975.2075355110883</v>
      </c>
      <c r="I49">
        <f>[4]data!I49*1000000000/(_xlfn.XLOOKUP($B49,[1]data!$C$2:$C$201,[1]data!P$2:P$201)*1000000)</f>
        <v>8701.1044496071172</v>
      </c>
      <c r="J49">
        <f>[4]data!J49*1000000000/(_xlfn.XLOOKUP($B49,[1]data!$C$2:$C$201,[1]data!Q$2:Q$201)*1000000)</f>
        <v>10458.724068951688</v>
      </c>
      <c r="K49">
        <f>[4]data!K49*1000000000/(_xlfn.XLOOKUP($B49,[1]data!$C$2:$C$201,[1]data!R$2:R$201)*1000000)</f>
        <v>10924.530081943267</v>
      </c>
      <c r="L49">
        <f>[4]data!L49*1000000000/(_xlfn.XLOOKUP($B49,[1]data!$C$2:$C$201,[1]data!S$2:S$201)*1000000)</f>
        <v>11670.244681003245</v>
      </c>
      <c r="M49">
        <f>[4]data!M49*1000000000/(_xlfn.XLOOKUP($B49,[1]data!$C$2:$C$201,[1]data!T$2:T$201)*1000000)</f>
        <v>10761.460307063737</v>
      </c>
      <c r="N49">
        <f>[4]data!N49*1000000000/(_xlfn.XLOOKUP($B49,[1]data!$C$2:$C$201,[1]data!U$2:U$201)*1000000)</f>
        <v>11625.20338135913</v>
      </c>
      <c r="O49">
        <f>[4]data!O49*1000000000/(_xlfn.XLOOKUP($B49,[1]data!$C$2:$C$201,[1]data!V$2:V$201)*1000000)</f>
        <v>11956.822774928027</v>
      </c>
      <c r="P49">
        <f>[4]data!P49*1000000000/(_xlfn.XLOOKUP($B49,[1]data!$C$2:$C$201,[1]data!W$2:W$201)*1000000)</f>
        <v>12668.738706696446</v>
      </c>
      <c r="Q49">
        <f>[4]data!Q49*1000000000/(_xlfn.XLOOKUP($B49,[1]data!$C$2:$C$201,[1]data!X$2:X$201)*1000000)</f>
        <v>13449.015353753703</v>
      </c>
      <c r="R49">
        <f>[4]data!R49*1000000000/(_xlfn.XLOOKUP($B49,[1]data!$C$2:$C$201,[1]data!Y$2:Y$201)*1000000)</f>
        <v>14453.618436899873</v>
      </c>
      <c r="S49">
        <f>[4]data!S49*1000000000/(_xlfn.XLOOKUP($B49,[1]data!$C$2:$C$201,[1]data!Z$2:Z$201)*1000000)</f>
        <v>15806.260492691414</v>
      </c>
      <c r="T49">
        <f>[4]data!T49*1000000000/(_xlfn.XLOOKUP($B49,[1]data!$C$2:$C$201,[1]data!AA$2:AA$201)*1000000)</f>
        <v>17639.005969455931</v>
      </c>
      <c r="U49">
        <f>[4]data!U49*1000000000/(_xlfn.XLOOKUP($B49,[1]data!$C$2:$C$201,[1]data!AB$2:AB$201)*1000000)</f>
        <v>20043.055722289959</v>
      </c>
      <c r="V49">
        <f>[4]data!V49*1000000000/(_xlfn.XLOOKUP($B49,[1]data!$C$2:$C$201,[1]data!AC$2:AC$201)*1000000)</f>
        <v>23072.57722176443</v>
      </c>
      <c r="W49">
        <f>[4]data!W49*1000000000/(_xlfn.XLOOKUP($B49,[1]data!$C$2:$C$201,[1]data!AD$2:AD$201)*1000000)</f>
        <v>26580.479340699661</v>
      </c>
      <c r="X49">
        <f>[4]data!X49*1000000000/(_xlfn.XLOOKUP($B49,[1]data!$C$2:$C$201,[1]data!AE$2:AE$201)*1000000)</f>
        <v>30535.386619243152</v>
      </c>
      <c r="Y49">
        <f>[4]data!Y49*1000000000/(_xlfn.XLOOKUP($B49,[1]data!$C$2:$C$201,[1]data!AF$2:AF$201)*1000000)</f>
        <v>34942.38660453209</v>
      </c>
      <c r="Z49">
        <f>[4]data!Z49*1000000000/(_xlfn.XLOOKUP($B49,[1]data!$C$2:$C$201,[1]data!AG$2:AG$201)*1000000)</f>
        <v>39908.917554758467</v>
      </c>
      <c r="AA49">
        <f>[4]data!AA49*1000000000/(_xlfn.XLOOKUP($B49,[1]data!$C$2:$C$201,[1]data!AH$2:AH$201)*1000000)</f>
        <v>45595.825511054369</v>
      </c>
      <c r="AB49">
        <f>[4]data!AB49*1000000000/(_xlfn.XLOOKUP($B49,[1]data!$C$2:$C$201,[1]data!AI$2:AI$201)*1000000)</f>
        <v>52113.532072135451</v>
      </c>
      <c r="AC49">
        <f>[4]data!AC49*1000000000/(_xlfn.XLOOKUP($B49,[1]data!$C$2:$C$201,[1]data!AJ$2:AJ$201)*1000000)</f>
        <v>59493.678358712466</v>
      </c>
    </row>
    <row r="50" spans="1:29" x14ac:dyDescent="0.25">
      <c r="A50" t="s">
        <v>232</v>
      </c>
      <c r="B50" t="s">
        <v>82</v>
      </c>
      <c r="C50" t="s">
        <v>233</v>
      </c>
      <c r="D50" t="s">
        <v>234</v>
      </c>
      <c r="E50">
        <f>[4]data!E50*1000000000/(_xlfn.XLOOKUP($B50,[1]data!$C$2:$C$201,[1]data!L$2:L$201)*1000000)</f>
        <v>8399.4108360087557</v>
      </c>
      <c r="F50">
        <f>[4]data!F50*1000000000/(_xlfn.XLOOKUP($B50,[1]data!$C$2:$C$201,[1]data!M$2:M$201)*1000000)</f>
        <v>8205.0773585058469</v>
      </c>
      <c r="G50">
        <f>[4]data!G50*1000000000/(_xlfn.XLOOKUP($B50,[1]data!$C$2:$C$201,[1]data!N$2:N$201)*1000000)</f>
        <v>8029.472647310964</v>
      </c>
      <c r="H50">
        <f>[4]data!H50*1000000000/(_xlfn.XLOOKUP($B50,[1]data!$C$2:$C$201,[1]data!O$2:O$201)*1000000)</f>
        <v>8576.0093026382347</v>
      </c>
      <c r="I50">
        <f>[4]data!I50*1000000000/(_xlfn.XLOOKUP($B50,[1]data!$C$2:$C$201,[1]data!P$2:P$201)*1000000)</f>
        <v>8282.4692341064492</v>
      </c>
      <c r="J50">
        <f>[4]data!J50*1000000000/(_xlfn.XLOOKUP($B50,[1]data!$C$2:$C$201,[1]data!Q$2:Q$201)*1000000)</f>
        <v>9624.9383584943989</v>
      </c>
      <c r="K50">
        <f>[4]data!K50*1000000000/(_xlfn.XLOOKUP($B50,[1]data!$C$2:$C$201,[1]data!R$2:R$201)*1000000)</f>
        <v>10441.885718633122</v>
      </c>
      <c r="L50">
        <f>[4]data!L50*1000000000/(_xlfn.XLOOKUP($B50,[1]data!$C$2:$C$201,[1]data!S$2:S$201)*1000000)</f>
        <v>11997.451773963818</v>
      </c>
      <c r="M50">
        <f>[4]data!M50*1000000000/(_xlfn.XLOOKUP($B50,[1]data!$C$2:$C$201,[1]data!T$2:T$201)*1000000)</f>
        <v>10417.072917165842</v>
      </c>
      <c r="N50">
        <f>[4]data!N50*1000000000/(_xlfn.XLOOKUP($B50,[1]data!$C$2:$C$201,[1]data!U$2:U$201)*1000000)</f>
        <v>11175.14670312644</v>
      </c>
      <c r="O50">
        <f>[4]data!O50*1000000000/(_xlfn.XLOOKUP($B50,[1]data!$C$2:$C$201,[1]data!V$2:V$201)*1000000)</f>
        <v>12168.844878076463</v>
      </c>
      <c r="P50">
        <f>[4]data!P50*1000000000/(_xlfn.XLOOKUP($B50,[1]data!$C$2:$C$201,[1]data!W$2:W$201)*1000000)</f>
        <v>13470.203342879733</v>
      </c>
      <c r="Q50">
        <f>[4]data!Q50*1000000000/(_xlfn.XLOOKUP($B50,[1]data!$C$2:$C$201,[1]data!X$2:X$201)*1000000)</f>
        <v>15077.218302615096</v>
      </c>
      <c r="R50">
        <f>[4]data!R50*1000000000/(_xlfn.XLOOKUP($B50,[1]data!$C$2:$C$201,[1]data!Y$2:Y$201)*1000000)</f>
        <v>17002.927464327171</v>
      </c>
      <c r="S50">
        <f>[4]data!S50*1000000000/(_xlfn.XLOOKUP($B50,[1]data!$C$2:$C$201,[1]data!Z$2:Z$201)*1000000)</f>
        <v>19265.016773471321</v>
      </c>
      <c r="T50">
        <f>[4]data!T50*1000000000/(_xlfn.XLOOKUP($B50,[1]data!$C$2:$C$201,[1]data!AA$2:AA$201)*1000000)</f>
        <v>21889.484700940033</v>
      </c>
      <c r="U50">
        <f>[4]data!U50*1000000000/(_xlfn.XLOOKUP($B50,[1]data!$C$2:$C$201,[1]data!AB$2:AB$201)*1000000)</f>
        <v>24922.215770408206</v>
      </c>
      <c r="V50">
        <f>[4]data!V50*1000000000/(_xlfn.XLOOKUP($B50,[1]data!$C$2:$C$201,[1]data!AC$2:AC$201)*1000000)</f>
        <v>28397.656406155631</v>
      </c>
      <c r="W50">
        <f>[4]data!W50*1000000000/(_xlfn.XLOOKUP($B50,[1]data!$C$2:$C$201,[1]data!AD$2:AD$201)*1000000)</f>
        <v>32241.01121630429</v>
      </c>
      <c r="X50">
        <f>[4]data!X50*1000000000/(_xlfn.XLOOKUP($B50,[1]data!$C$2:$C$201,[1]data!AE$2:AE$201)*1000000)</f>
        <v>36438.500312417113</v>
      </c>
      <c r="Y50">
        <f>[4]data!Y50*1000000000/(_xlfn.XLOOKUP($B50,[1]data!$C$2:$C$201,[1]data!AF$2:AF$201)*1000000)</f>
        <v>40939.938682777916</v>
      </c>
      <c r="Z50">
        <f>[4]data!Z50*1000000000/(_xlfn.XLOOKUP($B50,[1]data!$C$2:$C$201,[1]data!AG$2:AG$201)*1000000)</f>
        <v>45752.433225471948</v>
      </c>
      <c r="AA50">
        <f>[4]data!AA50*1000000000/(_xlfn.XLOOKUP($B50,[1]data!$C$2:$C$201,[1]data!AH$2:AH$201)*1000000)</f>
        <v>50880.438054615697</v>
      </c>
      <c r="AB50">
        <f>[4]data!AB50*1000000000/(_xlfn.XLOOKUP($B50,[1]data!$C$2:$C$201,[1]data!AI$2:AI$201)*1000000)</f>
        <v>56332.412455703605</v>
      </c>
      <c r="AC50">
        <f>[4]data!AC50*1000000000/(_xlfn.XLOOKUP($B50,[1]data!$C$2:$C$201,[1]data!AJ$2:AJ$201)*1000000)</f>
        <v>62083.375198396257</v>
      </c>
    </row>
    <row r="51" spans="1:29" x14ac:dyDescent="0.25">
      <c r="A51" t="s">
        <v>232</v>
      </c>
      <c r="B51" t="s">
        <v>83</v>
      </c>
      <c r="C51" t="s">
        <v>233</v>
      </c>
      <c r="D51" t="s">
        <v>234</v>
      </c>
      <c r="E51">
        <f>[4]data!E51*1000000000/(_xlfn.XLOOKUP($B51,[1]data!$C$2:$C$201,[1]data!L$2:L$201)*1000000)</f>
        <v>5022.7904391328511</v>
      </c>
      <c r="F51">
        <f>[4]data!F51*1000000000/(_xlfn.XLOOKUP($B51,[1]data!$C$2:$C$201,[1]data!M$2:M$201)*1000000)</f>
        <v>6088.643514474883</v>
      </c>
      <c r="G51">
        <f>[4]data!G51*1000000000/(_xlfn.XLOOKUP($B51,[1]data!$C$2:$C$201,[1]data!N$2:N$201)*1000000)</f>
        <v>6368.098201642837</v>
      </c>
      <c r="H51">
        <f>[4]data!H51*1000000000/(_xlfn.XLOOKUP($B51,[1]data!$C$2:$C$201,[1]data!O$2:O$201)*1000000)</f>
        <v>6501.5256446572748</v>
      </c>
      <c r="I51">
        <f>[4]data!I51*1000000000/(_xlfn.XLOOKUP($B51,[1]data!$C$2:$C$201,[1]data!P$2:P$201)*1000000)</f>
        <v>7804.9017907364032</v>
      </c>
      <c r="J51">
        <f>[4]data!J51*1000000000/(_xlfn.XLOOKUP($B51,[1]data!$C$2:$C$201,[1]data!Q$2:Q$201)*1000000)</f>
        <v>8440.26330477802</v>
      </c>
      <c r="K51">
        <f>[4]data!K51*1000000000/(_xlfn.XLOOKUP($B51,[1]data!$C$2:$C$201,[1]data!R$2:R$201)*1000000)</f>
        <v>10329.221330009874</v>
      </c>
      <c r="L51">
        <f>[4]data!L51*1000000000/(_xlfn.XLOOKUP($B51,[1]data!$C$2:$C$201,[1]data!S$2:S$201)*1000000)</f>
        <v>10648.830926493907</v>
      </c>
      <c r="M51">
        <f>[4]data!M51*1000000000/(_xlfn.XLOOKUP($B51,[1]data!$C$2:$C$201,[1]data!T$2:T$201)*1000000)</f>
        <v>12095.69662829711</v>
      </c>
      <c r="N51">
        <f>[4]data!N51*1000000000/(_xlfn.XLOOKUP($B51,[1]data!$C$2:$C$201,[1]data!U$2:U$201)*1000000)</f>
        <v>13866.173815727856</v>
      </c>
      <c r="O51">
        <f>[4]data!O51*1000000000/(_xlfn.XLOOKUP($B51,[1]data!$C$2:$C$201,[1]data!V$2:V$201)*1000000)</f>
        <v>17028.351846677593</v>
      </c>
      <c r="P51">
        <f>[4]data!P51*1000000000/(_xlfn.XLOOKUP($B51,[1]data!$C$2:$C$201,[1]data!W$2:W$201)*1000000)</f>
        <v>20872.735427431369</v>
      </c>
      <c r="Q51">
        <f>[4]data!Q51*1000000000/(_xlfn.XLOOKUP($B51,[1]data!$C$2:$C$201,[1]data!X$2:X$201)*1000000)</f>
        <v>25201.179281038541</v>
      </c>
      <c r="R51">
        <f>[4]data!R51*1000000000/(_xlfn.XLOOKUP($B51,[1]data!$C$2:$C$201,[1]data!Y$2:Y$201)*1000000)</f>
        <v>30065.760324696254</v>
      </c>
      <c r="S51">
        <f>[4]data!S51*1000000000/(_xlfn.XLOOKUP($B51,[1]data!$C$2:$C$201,[1]data!Z$2:Z$201)*1000000)</f>
        <v>35587.539007901556</v>
      </c>
      <c r="T51">
        <f>[4]data!T51*1000000000/(_xlfn.XLOOKUP($B51,[1]data!$C$2:$C$201,[1]data!AA$2:AA$201)*1000000)</f>
        <v>41873.078373069198</v>
      </c>
      <c r="U51">
        <f>[4]data!U51*1000000000/(_xlfn.XLOOKUP($B51,[1]data!$C$2:$C$201,[1]data!AB$2:AB$201)*1000000)</f>
        <v>48906.18722459842</v>
      </c>
      <c r="V51">
        <f>[4]data!V51*1000000000/(_xlfn.XLOOKUP($B51,[1]data!$C$2:$C$201,[1]data!AC$2:AC$201)*1000000)</f>
        <v>56656.936632536199</v>
      </c>
      <c r="W51">
        <f>[4]data!W51*1000000000/(_xlfn.XLOOKUP($B51,[1]data!$C$2:$C$201,[1]data!AD$2:AD$201)*1000000)</f>
        <v>64845.19888765287</v>
      </c>
      <c r="X51">
        <f>[4]data!X51*1000000000/(_xlfn.XLOOKUP($B51,[1]data!$C$2:$C$201,[1]data!AE$2:AE$201)*1000000)</f>
        <v>73510.374972692618</v>
      </c>
      <c r="Y51">
        <f>[4]data!Y51*1000000000/(_xlfn.XLOOKUP($B51,[1]data!$C$2:$C$201,[1]data!AF$2:AF$201)*1000000)</f>
        <v>82596.283390108161</v>
      </c>
      <c r="Z51">
        <f>[4]data!Z51*1000000000/(_xlfn.XLOOKUP($B51,[1]data!$C$2:$C$201,[1]data!AG$2:AG$201)*1000000)</f>
        <v>92146.991866943426</v>
      </c>
      <c r="AA51">
        <f>[4]data!AA51*1000000000/(_xlfn.XLOOKUP($B51,[1]data!$C$2:$C$201,[1]data!AH$2:AH$201)*1000000)</f>
        <v>102195.43541157352</v>
      </c>
      <c r="AB51">
        <f>[4]data!AB51*1000000000/(_xlfn.XLOOKUP($B51,[1]data!$C$2:$C$201,[1]data!AI$2:AI$201)*1000000)</f>
        <v>112907.60756665304</v>
      </c>
      <c r="AC51">
        <f>[4]data!AC51*1000000000/(_xlfn.XLOOKUP($B51,[1]data!$C$2:$C$201,[1]data!AJ$2:AJ$201)*1000000)</f>
        <v>124272.27200310514</v>
      </c>
    </row>
    <row r="52" spans="1:29" x14ac:dyDescent="0.25">
      <c r="A52" t="s">
        <v>232</v>
      </c>
      <c r="B52" t="s">
        <v>84</v>
      </c>
      <c r="C52" t="s">
        <v>233</v>
      </c>
      <c r="D52" t="s">
        <v>234</v>
      </c>
      <c r="E52" t="e">
        <f>[4]data!E52*1000000000/(_xlfn.XLOOKUP($B52,[1]data!$C$2:$C$201,[1]data!L$2:L$201)*1000000)</f>
        <v>#VALUE!</v>
      </c>
      <c r="F52" t="e">
        <f>[4]data!F52*1000000000/(_xlfn.XLOOKUP($B52,[1]data!$C$2:$C$201,[1]data!M$2:M$201)*1000000)</f>
        <v>#VALUE!</v>
      </c>
      <c r="G52" t="e">
        <f>[4]data!G52*1000000000/(_xlfn.XLOOKUP($B52,[1]data!$C$2:$C$201,[1]data!N$2:N$201)*1000000)</f>
        <v>#VALUE!</v>
      </c>
      <c r="H52">
        <f>[4]data!H52*1000000000/(_xlfn.XLOOKUP($B52,[1]data!$C$2:$C$201,[1]data!O$2:O$201)*1000000)</f>
        <v>1837.108299876272</v>
      </c>
      <c r="I52">
        <f>[4]data!I52*1000000000/(_xlfn.XLOOKUP($B52,[1]data!$C$2:$C$201,[1]data!P$2:P$201)*1000000)</f>
        <v>1677.749709148999</v>
      </c>
      <c r="J52">
        <f>[4]data!J52*1000000000/(_xlfn.XLOOKUP($B52,[1]data!$C$2:$C$201,[1]data!Q$2:Q$201)*1000000)</f>
        <v>1617.3279032823987</v>
      </c>
      <c r="K52">
        <f>[4]data!K52*1000000000/(_xlfn.XLOOKUP($B52,[1]data!$C$2:$C$201,[1]data!R$2:R$201)*1000000)</f>
        <v>1463.1755959120937</v>
      </c>
      <c r="L52">
        <f>[4]data!L52*1000000000/(_xlfn.XLOOKUP($B52,[1]data!$C$2:$C$201,[1]data!S$2:S$201)*1000000)</f>
        <v>1632.1838596714842</v>
      </c>
      <c r="M52">
        <f>[4]data!M52*1000000000/(_xlfn.XLOOKUP($B52,[1]data!$C$2:$C$201,[1]data!T$2:T$201)*1000000)</f>
        <v>1738.3952785348838</v>
      </c>
      <c r="N52">
        <f>[4]data!N52*1000000000/(_xlfn.XLOOKUP($B52,[1]data!$C$2:$C$201,[1]data!U$2:U$201)*1000000)</f>
        <v>1825.7570786932376</v>
      </c>
      <c r="O52">
        <f>[4]data!O52*1000000000/(_xlfn.XLOOKUP($B52,[1]data!$C$2:$C$201,[1]data!V$2:V$201)*1000000)</f>
        <v>1993.5251239866084</v>
      </c>
      <c r="P52">
        <f>[4]data!P52*1000000000/(_xlfn.XLOOKUP($B52,[1]data!$C$2:$C$201,[1]data!W$2:W$201)*1000000)</f>
        <v>2335.5179645615258</v>
      </c>
      <c r="Q52">
        <f>[4]data!Q52*1000000000/(_xlfn.XLOOKUP($B52,[1]data!$C$2:$C$201,[1]data!X$2:X$201)*1000000)</f>
        <v>2868.2363062605077</v>
      </c>
      <c r="R52">
        <f>[4]data!R52*1000000000/(_xlfn.XLOOKUP($B52,[1]data!$C$2:$C$201,[1]data!Y$2:Y$201)*1000000)</f>
        <v>3620.2802005383378</v>
      </c>
      <c r="S52">
        <f>[4]data!S52*1000000000/(_xlfn.XLOOKUP($B52,[1]data!$C$2:$C$201,[1]data!Z$2:Z$201)*1000000)</f>
        <v>4599.5893527983098</v>
      </c>
      <c r="T52">
        <f>[4]data!T52*1000000000/(_xlfn.XLOOKUP($B52,[1]data!$C$2:$C$201,[1]data!AA$2:AA$201)*1000000)</f>
        <v>5814.3068602435751</v>
      </c>
      <c r="U52">
        <f>[4]data!U52*1000000000/(_xlfn.XLOOKUP($B52,[1]data!$C$2:$C$201,[1]data!AB$2:AB$201)*1000000)</f>
        <v>7272.7260114468136</v>
      </c>
      <c r="V52">
        <f>[4]data!V52*1000000000/(_xlfn.XLOOKUP($B52,[1]data!$C$2:$C$201,[1]data!AC$2:AC$201)*1000000)</f>
        <v>9000.2015842047349</v>
      </c>
      <c r="W52">
        <f>[4]data!W52*1000000000/(_xlfn.XLOOKUP($B52,[1]data!$C$2:$C$201,[1]data!AD$2:AD$201)*1000000)</f>
        <v>11036.089442885957</v>
      </c>
      <c r="X52">
        <f>[4]data!X52*1000000000/(_xlfn.XLOOKUP($B52,[1]data!$C$2:$C$201,[1]data!AE$2:AE$201)*1000000)</f>
        <v>13449.601757758857</v>
      </c>
      <c r="Y52">
        <f>[4]data!Y52*1000000000/(_xlfn.XLOOKUP($B52,[1]data!$C$2:$C$201,[1]data!AF$2:AF$201)*1000000)</f>
        <v>16231.160113267208</v>
      </c>
      <c r="Z52">
        <f>[4]data!Z52*1000000000/(_xlfn.XLOOKUP($B52,[1]data!$C$2:$C$201,[1]data!AG$2:AG$201)*1000000)</f>
        <v>19365.174938974775</v>
      </c>
      <c r="AA52">
        <f>[4]data!AA52*1000000000/(_xlfn.XLOOKUP($B52,[1]data!$C$2:$C$201,[1]data!AH$2:AH$201)*1000000)</f>
        <v>22862.726321380218</v>
      </c>
      <c r="AB52">
        <f>[4]data!AB52*1000000000/(_xlfn.XLOOKUP($B52,[1]data!$C$2:$C$201,[1]data!AI$2:AI$201)*1000000)</f>
        <v>26786.811766029554</v>
      </c>
      <c r="AC52">
        <f>[4]data!AC52*1000000000/(_xlfn.XLOOKUP($B52,[1]data!$C$2:$C$201,[1]data!AJ$2:AJ$201)*1000000)</f>
        <v>31212.285793084742</v>
      </c>
    </row>
    <row r="53" spans="1:29" x14ac:dyDescent="0.25">
      <c r="A53" t="s">
        <v>232</v>
      </c>
      <c r="B53" t="s">
        <v>85</v>
      </c>
      <c r="C53" t="s">
        <v>233</v>
      </c>
      <c r="D53" t="s">
        <v>234</v>
      </c>
      <c r="E53" t="e">
        <f>[4]data!E53*1000000000/(_xlfn.XLOOKUP($B53,[1]data!$C$2:$C$201,[1]data!L$2:L$201)*1000000)</f>
        <v>#VALUE!</v>
      </c>
      <c r="F53" t="e">
        <f>[4]data!F53*1000000000/(_xlfn.XLOOKUP($B53,[1]data!$C$2:$C$201,[1]data!M$2:M$201)*1000000)</f>
        <v>#VALUE!</v>
      </c>
      <c r="G53" t="e">
        <f>[4]data!G53*1000000000/(_xlfn.XLOOKUP($B53,[1]data!$C$2:$C$201,[1]data!N$2:N$201)*1000000)</f>
        <v>#VALUE!</v>
      </c>
      <c r="H53" t="e">
        <f>[4]data!H53*1000000000/(_xlfn.XLOOKUP($B53,[1]data!$C$2:$C$201,[1]data!O$2:O$201)*1000000)</f>
        <v>#VALUE!</v>
      </c>
      <c r="I53" t="e">
        <f>[4]data!I53*1000000000/(_xlfn.XLOOKUP($B53,[1]data!$C$2:$C$201,[1]data!P$2:P$201)*1000000)</f>
        <v>#VALUE!</v>
      </c>
      <c r="J53" t="e">
        <f>[4]data!J53*1000000000/(_xlfn.XLOOKUP($B53,[1]data!$C$2:$C$201,[1]data!Q$2:Q$201)*1000000)</f>
        <v>#VALUE!</v>
      </c>
      <c r="K53" t="e">
        <f>[4]data!K53*1000000000/(_xlfn.XLOOKUP($B53,[1]data!$C$2:$C$201,[1]data!R$2:R$201)*1000000)</f>
        <v>#VALUE!</v>
      </c>
      <c r="L53" t="e">
        <f>[4]data!L53*1000000000/(_xlfn.XLOOKUP($B53,[1]data!$C$2:$C$201,[1]data!S$2:S$201)*1000000)</f>
        <v>#VALUE!</v>
      </c>
      <c r="M53">
        <f>[4]data!M53*1000000000/(_xlfn.XLOOKUP($B53,[1]data!$C$2:$C$201,[1]data!T$2:T$201)*1000000)</f>
        <v>1781.7125358962776</v>
      </c>
      <c r="N53">
        <f>[4]data!N53*1000000000/(_xlfn.XLOOKUP($B53,[1]data!$C$2:$C$201,[1]data!U$2:U$201)*1000000)</f>
        <v>1924.7293464465972</v>
      </c>
      <c r="O53">
        <f>[4]data!O53*1000000000/(_xlfn.XLOOKUP($B53,[1]data!$C$2:$C$201,[1]data!V$2:V$201)*1000000)</f>
        <v>1987.2454453052901</v>
      </c>
      <c r="P53">
        <f>[4]data!P53*1000000000/(_xlfn.XLOOKUP($B53,[1]data!$C$2:$C$201,[1]data!W$2:W$201)*1000000)</f>
        <v>2195.5462718185522</v>
      </c>
      <c r="Q53">
        <f>[4]data!Q53*1000000000/(_xlfn.XLOOKUP($B53,[1]data!$C$2:$C$201,[1]data!X$2:X$201)*1000000)</f>
        <v>2498.4975179136745</v>
      </c>
      <c r="R53">
        <f>[4]data!R53*1000000000/(_xlfn.XLOOKUP($B53,[1]data!$C$2:$C$201,[1]data!Y$2:Y$201)*1000000)</f>
        <v>2901.9051714492539</v>
      </c>
      <c r="S53">
        <f>[4]data!S53*1000000000/(_xlfn.XLOOKUP($B53,[1]data!$C$2:$C$201,[1]data!Z$2:Z$201)*1000000)</f>
        <v>3429.3899868110875</v>
      </c>
      <c r="T53">
        <f>[4]data!T53*1000000000/(_xlfn.XLOOKUP($B53,[1]data!$C$2:$C$201,[1]data!AA$2:AA$201)*1000000)</f>
        <v>4124.3562274931101</v>
      </c>
      <c r="U53">
        <f>[4]data!U53*1000000000/(_xlfn.XLOOKUP($B53,[1]data!$C$2:$C$201,[1]data!AB$2:AB$201)*1000000)</f>
        <v>5038.8961792422188</v>
      </c>
      <c r="V53">
        <f>[4]data!V53*1000000000/(_xlfn.XLOOKUP($B53,[1]data!$C$2:$C$201,[1]data!AC$2:AC$201)*1000000)</f>
        <v>6233.9341678636401</v>
      </c>
      <c r="W53">
        <f>[4]data!W53*1000000000/(_xlfn.XLOOKUP($B53,[1]data!$C$2:$C$201,[1]data!AD$2:AD$201)*1000000)</f>
        <v>7748.0699580632854</v>
      </c>
      <c r="X53">
        <f>[4]data!X53*1000000000/(_xlfn.XLOOKUP($B53,[1]data!$C$2:$C$201,[1]data!AE$2:AE$201)*1000000)</f>
        <v>9645.4320940837406</v>
      </c>
      <c r="Y53">
        <f>[4]data!Y53*1000000000/(_xlfn.XLOOKUP($B53,[1]data!$C$2:$C$201,[1]data!AF$2:AF$201)*1000000)</f>
        <v>12000.620119810936</v>
      </c>
      <c r="Z53">
        <f>[4]data!Z53*1000000000/(_xlfn.XLOOKUP($B53,[1]data!$C$2:$C$201,[1]data!AG$2:AG$201)*1000000)</f>
        <v>14893.139799416836</v>
      </c>
      <c r="AA53">
        <f>[4]data!AA53*1000000000/(_xlfn.XLOOKUP($B53,[1]data!$C$2:$C$201,[1]data!AH$2:AH$201)*1000000)</f>
        <v>18417.759978564409</v>
      </c>
      <c r="AB53">
        <f>[4]data!AB53*1000000000/(_xlfn.XLOOKUP($B53,[1]data!$C$2:$C$201,[1]data!AI$2:AI$201)*1000000)</f>
        <v>22679.586867401325</v>
      </c>
      <c r="AC53">
        <f>[4]data!AC53*1000000000/(_xlfn.XLOOKUP($B53,[1]data!$C$2:$C$201,[1]data!AJ$2:AJ$201)*1000000)</f>
        <v>27782.698919069626</v>
      </c>
    </row>
    <row r="54" spans="1:29" x14ac:dyDescent="0.25">
      <c r="A54" t="s">
        <v>232</v>
      </c>
      <c r="B54" t="s">
        <v>86</v>
      </c>
      <c r="C54" t="s">
        <v>233</v>
      </c>
      <c r="D54" t="s">
        <v>234</v>
      </c>
      <c r="E54">
        <f>[4]data!E54*1000000000/(_xlfn.XLOOKUP($B54,[1]data!$C$2:$C$201,[1]data!L$2:L$201)*1000000)</f>
        <v>21468.969824081822</v>
      </c>
      <c r="F54">
        <f>[4]data!F54*1000000000/(_xlfn.XLOOKUP($B54,[1]data!$C$2:$C$201,[1]data!M$2:M$201)*1000000)</f>
        <v>22369.381371278465</v>
      </c>
      <c r="G54">
        <f>[4]data!G54*1000000000/(_xlfn.XLOOKUP($B54,[1]data!$C$2:$C$201,[1]data!N$2:N$201)*1000000)</f>
        <v>27539.103206246575</v>
      </c>
      <c r="H54">
        <f>[4]data!H54*1000000000/(_xlfn.XLOOKUP($B54,[1]data!$C$2:$C$201,[1]data!O$2:O$201)*1000000)</f>
        <v>29043.107084291674</v>
      </c>
      <c r="I54">
        <f>[4]data!I54*1000000000/(_xlfn.XLOOKUP($B54,[1]data!$C$2:$C$201,[1]data!P$2:P$201)*1000000)</f>
        <v>32404.369996473619</v>
      </c>
      <c r="J54">
        <f>[4]data!J54*1000000000/(_xlfn.XLOOKUP($B54,[1]data!$C$2:$C$201,[1]data!Q$2:Q$201)*1000000)</f>
        <v>35714.328573946084</v>
      </c>
      <c r="K54">
        <f>[4]data!K54*1000000000/(_xlfn.XLOOKUP($B54,[1]data!$C$2:$C$201,[1]data!R$2:R$201)*1000000)</f>
        <v>34915.64442086863</v>
      </c>
      <c r="L54">
        <f>[4]data!L54*1000000000/(_xlfn.XLOOKUP($B54,[1]data!$C$2:$C$201,[1]data!S$2:S$201)*1000000)</f>
        <v>34928.533843004268</v>
      </c>
      <c r="M54">
        <f>[4]data!M54*1000000000/(_xlfn.XLOOKUP($B54,[1]data!$C$2:$C$201,[1]data!T$2:T$201)*1000000)</f>
        <v>33691.348322642603</v>
      </c>
      <c r="N54">
        <f>[4]data!N54*1000000000/(_xlfn.XLOOKUP($B54,[1]data!$C$2:$C$201,[1]data!U$2:U$201)*1000000)</f>
        <v>39936.365014926574</v>
      </c>
      <c r="O54">
        <f>[4]data!O54*1000000000/(_xlfn.XLOOKUP($B54,[1]data!$C$2:$C$201,[1]data!V$2:V$201)*1000000)</f>
        <v>42572.547402313787</v>
      </c>
      <c r="P54">
        <f>[4]data!P54*1000000000/(_xlfn.XLOOKUP($B54,[1]data!$C$2:$C$201,[1]data!W$2:W$201)*1000000)</f>
        <v>46130.249222573242</v>
      </c>
      <c r="Q54">
        <f>[4]data!Q54*1000000000/(_xlfn.XLOOKUP($B54,[1]data!$C$2:$C$201,[1]data!X$2:X$201)*1000000)</f>
        <v>50144.681332946828</v>
      </c>
      <c r="R54">
        <f>[4]data!R54*1000000000/(_xlfn.XLOOKUP($B54,[1]data!$C$2:$C$201,[1]data!Y$2:Y$201)*1000000)</f>
        <v>54270.205065851675</v>
      </c>
      <c r="S54">
        <f>[4]data!S54*1000000000/(_xlfn.XLOOKUP($B54,[1]data!$C$2:$C$201,[1]data!Z$2:Z$201)*1000000)</f>
        <v>58379.744448523947</v>
      </c>
      <c r="T54">
        <f>[4]data!T54*1000000000/(_xlfn.XLOOKUP($B54,[1]data!$C$2:$C$201,[1]data!AA$2:AA$201)*1000000)</f>
        <v>62865.783401148001</v>
      </c>
      <c r="U54">
        <f>[4]data!U54*1000000000/(_xlfn.XLOOKUP($B54,[1]data!$C$2:$C$201,[1]data!AB$2:AB$201)*1000000)</f>
        <v>67732.992691618361</v>
      </c>
      <c r="V54">
        <f>[4]data!V54*1000000000/(_xlfn.XLOOKUP($B54,[1]data!$C$2:$C$201,[1]data!AC$2:AC$201)*1000000)</f>
        <v>72803.752651677321</v>
      </c>
      <c r="W54">
        <f>[4]data!W54*1000000000/(_xlfn.XLOOKUP($B54,[1]data!$C$2:$C$201,[1]data!AD$2:AD$201)*1000000)</f>
        <v>77609.081312852242</v>
      </c>
      <c r="X54">
        <f>[4]data!X54*1000000000/(_xlfn.XLOOKUP($B54,[1]data!$C$2:$C$201,[1]data!AE$2:AE$201)*1000000)</f>
        <v>82035.70056514052</v>
      </c>
      <c r="Y54">
        <f>[4]data!Y54*1000000000/(_xlfn.XLOOKUP($B54,[1]data!$C$2:$C$201,[1]data!AF$2:AF$201)*1000000)</f>
        <v>86035.400403688836</v>
      </c>
      <c r="Z54">
        <f>[4]data!Z54*1000000000/(_xlfn.XLOOKUP($B54,[1]data!$C$2:$C$201,[1]data!AG$2:AG$201)*1000000)</f>
        <v>89692.567019578724</v>
      </c>
      <c r="AA54">
        <f>[4]data!AA54*1000000000/(_xlfn.XLOOKUP($B54,[1]data!$C$2:$C$201,[1]data!AH$2:AH$201)*1000000)</f>
        <v>93202.348796281352</v>
      </c>
      <c r="AB54">
        <f>[4]data!AB54*1000000000/(_xlfn.XLOOKUP($B54,[1]data!$C$2:$C$201,[1]data!AI$2:AI$201)*1000000)</f>
        <v>96699.380299515833</v>
      </c>
      <c r="AC54">
        <f>[4]data!AC54*1000000000/(_xlfn.XLOOKUP($B54,[1]data!$C$2:$C$201,[1]data!AJ$2:AJ$201)*1000000)</f>
        <v>100152.20711900173</v>
      </c>
    </row>
    <row r="55" spans="1:29" x14ac:dyDescent="0.25">
      <c r="A55" t="s">
        <v>232</v>
      </c>
      <c r="B55" t="s">
        <v>87</v>
      </c>
      <c r="C55" t="s">
        <v>233</v>
      </c>
      <c r="D55" t="s">
        <v>234</v>
      </c>
      <c r="E55" t="e">
        <f>[4]data!E55*1000000000/(_xlfn.XLOOKUP($B55,[1]data!$C$2:$C$201,[1]data!L$2:L$201)*1000000)</f>
        <v>#VALUE!</v>
      </c>
      <c r="F55" t="e">
        <f>[4]data!F55*1000000000/(_xlfn.XLOOKUP($B55,[1]data!$C$2:$C$201,[1]data!M$2:M$201)*1000000)</f>
        <v>#VALUE!</v>
      </c>
      <c r="G55" t="e">
        <f>[4]data!G55*1000000000/(_xlfn.XLOOKUP($B55,[1]data!$C$2:$C$201,[1]data!N$2:N$201)*1000000)</f>
        <v>#VALUE!</v>
      </c>
      <c r="H55">
        <f>[4]data!H55*1000000000/(_xlfn.XLOOKUP($B55,[1]data!$C$2:$C$201,[1]data!O$2:O$201)*1000000)</f>
        <v>12520.312975350969</v>
      </c>
      <c r="I55">
        <f>[4]data!I55*1000000000/(_xlfn.XLOOKUP($B55,[1]data!$C$2:$C$201,[1]data!P$2:P$201)*1000000)</f>
        <v>16596.046558598988</v>
      </c>
      <c r="J55">
        <f>[4]data!J55*1000000000/(_xlfn.XLOOKUP($B55,[1]data!$C$2:$C$201,[1]data!Q$2:Q$201)*1000000)</f>
        <v>24348.562071059267</v>
      </c>
      <c r="K55">
        <f>[4]data!K55*1000000000/(_xlfn.XLOOKUP($B55,[1]data!$C$2:$C$201,[1]data!R$2:R$201)*1000000)</f>
        <v>24398.197103666535</v>
      </c>
      <c r="L55">
        <f>[4]data!L55*1000000000/(_xlfn.XLOOKUP($B55,[1]data!$C$2:$C$201,[1]data!S$2:S$201)*1000000)</f>
        <v>29206.818173165149</v>
      </c>
      <c r="M55">
        <f>[4]data!M55*1000000000/(_xlfn.XLOOKUP($B55,[1]data!$C$2:$C$201,[1]data!T$2:T$201)*1000000)</f>
        <v>33632.61055864497</v>
      </c>
      <c r="N55">
        <f>[4]data!N55*1000000000/(_xlfn.XLOOKUP($B55,[1]data!$C$2:$C$201,[1]data!U$2:U$201)*1000000)</f>
        <v>35591.14260039373</v>
      </c>
      <c r="O55">
        <f>[4]data!O55*1000000000/(_xlfn.XLOOKUP($B55,[1]data!$C$2:$C$201,[1]data!V$2:V$201)*1000000)</f>
        <v>43253.921677720478</v>
      </c>
      <c r="P55">
        <f>[4]data!P55*1000000000/(_xlfn.XLOOKUP($B55,[1]data!$C$2:$C$201,[1]data!W$2:W$201)*1000000)</f>
        <v>48782.727053947878</v>
      </c>
      <c r="Q55">
        <f>[4]data!Q55*1000000000/(_xlfn.XLOOKUP($B55,[1]data!$C$2:$C$201,[1]data!X$2:X$201)*1000000)</f>
        <v>53120.057455212867</v>
      </c>
      <c r="R55">
        <f>[4]data!R55*1000000000/(_xlfn.XLOOKUP($B55,[1]data!$C$2:$C$201,[1]data!Y$2:Y$201)*1000000)</f>
        <v>56293.056075274631</v>
      </c>
      <c r="S55">
        <f>[4]data!S55*1000000000/(_xlfn.XLOOKUP($B55,[1]data!$C$2:$C$201,[1]data!Z$2:Z$201)*1000000)</f>
        <v>58856.869859600425</v>
      </c>
      <c r="T55">
        <f>[4]data!T55*1000000000/(_xlfn.XLOOKUP($B55,[1]data!$C$2:$C$201,[1]data!AA$2:AA$201)*1000000)</f>
        <v>61308.830623148773</v>
      </c>
      <c r="U55">
        <f>[4]data!U55*1000000000/(_xlfn.XLOOKUP($B55,[1]data!$C$2:$C$201,[1]data!AB$2:AB$201)*1000000)</f>
        <v>64023.690146203597</v>
      </c>
      <c r="V55">
        <f>[4]data!V55*1000000000/(_xlfn.XLOOKUP($B55,[1]data!$C$2:$C$201,[1]data!AC$2:AC$201)*1000000)</f>
        <v>66854.561279893896</v>
      </c>
      <c r="W55">
        <f>[4]data!W55*1000000000/(_xlfn.XLOOKUP($B55,[1]data!$C$2:$C$201,[1]data!AD$2:AD$201)*1000000)</f>
        <v>69466.590194661127</v>
      </c>
      <c r="X55">
        <f>[4]data!X55*1000000000/(_xlfn.XLOOKUP($B55,[1]data!$C$2:$C$201,[1]data!AE$2:AE$201)*1000000)</f>
        <v>71737.749842125049</v>
      </c>
      <c r="Y55">
        <f>[4]data!Y55*1000000000/(_xlfn.XLOOKUP($B55,[1]data!$C$2:$C$201,[1]data!AF$2:AF$201)*1000000)</f>
        <v>73644.118277343732</v>
      </c>
      <c r="Z55">
        <f>[4]data!Z55*1000000000/(_xlfn.XLOOKUP($B55,[1]data!$C$2:$C$201,[1]data!AG$2:AG$201)*1000000)</f>
        <v>75247.205046876246</v>
      </c>
      <c r="AA55">
        <f>[4]data!AA55*1000000000/(_xlfn.XLOOKUP($B55,[1]data!$C$2:$C$201,[1]data!AH$2:AH$201)*1000000)</f>
        <v>76642.932684606567</v>
      </c>
      <c r="AB55">
        <f>[4]data!AB55*1000000000/(_xlfn.XLOOKUP($B55,[1]data!$C$2:$C$201,[1]data!AI$2:AI$201)*1000000)</f>
        <v>77877.925078073386</v>
      </c>
      <c r="AC55">
        <f>[4]data!AC55*1000000000/(_xlfn.XLOOKUP($B55,[1]data!$C$2:$C$201,[1]data!AJ$2:AJ$201)*1000000)</f>
        <v>78953.395632131957</v>
      </c>
    </row>
    <row r="56" spans="1:29" x14ac:dyDescent="0.25">
      <c r="A56" t="s">
        <v>232</v>
      </c>
      <c r="B56" t="s">
        <v>88</v>
      </c>
      <c r="C56" t="s">
        <v>233</v>
      </c>
      <c r="D56" t="s">
        <v>234</v>
      </c>
      <c r="E56">
        <f>[4]data!E56*1000000000/(_xlfn.XLOOKUP($B56,[1]data!$C$2:$C$201,[1]data!L$2:L$201)*1000000)</f>
        <v>848.78782485181216</v>
      </c>
      <c r="F56">
        <f>[4]data!F56*1000000000/(_xlfn.XLOOKUP($B56,[1]data!$C$2:$C$201,[1]data!M$2:M$201)*1000000)</f>
        <v>702.68070277486186</v>
      </c>
      <c r="G56">
        <f>[4]data!G56*1000000000/(_xlfn.XLOOKUP($B56,[1]data!$C$2:$C$201,[1]data!N$2:N$201)*1000000)</f>
        <v>761.68971361865499</v>
      </c>
      <c r="H56">
        <f>[4]data!H56*1000000000/(_xlfn.XLOOKUP($B56,[1]data!$C$2:$C$201,[1]data!O$2:O$201)*1000000)</f>
        <v>666.34132335525806</v>
      </c>
      <c r="I56">
        <f>[4]data!I56*1000000000/(_xlfn.XLOOKUP($B56,[1]data!$C$2:$C$201,[1]data!P$2:P$201)*1000000)</f>
        <v>744.98943830300766</v>
      </c>
      <c r="J56">
        <f>[4]data!J56*1000000000/(_xlfn.XLOOKUP($B56,[1]data!$C$2:$C$201,[1]data!Q$2:Q$201)*1000000)</f>
        <v>865.75167386639237</v>
      </c>
      <c r="K56">
        <f>[4]data!K56*1000000000/(_xlfn.XLOOKUP($B56,[1]data!$C$2:$C$201,[1]data!R$2:R$201)*1000000)</f>
        <v>1267.6267966117227</v>
      </c>
      <c r="L56">
        <f>[4]data!L56*1000000000/(_xlfn.XLOOKUP($B56,[1]data!$C$2:$C$201,[1]data!S$2:S$201)*1000000)</f>
        <v>1787.497859485384</v>
      </c>
      <c r="M56">
        <f>[4]data!M56*1000000000/(_xlfn.XLOOKUP($B56,[1]data!$C$2:$C$201,[1]data!T$2:T$201)*1000000)</f>
        <v>2316.6794643237486</v>
      </c>
      <c r="N56">
        <f>[4]data!N56*1000000000/(_xlfn.XLOOKUP($B56,[1]data!$C$2:$C$201,[1]data!U$2:U$201)*1000000)</f>
        <v>2775.7377924762691</v>
      </c>
      <c r="O56">
        <f>[4]data!O56*1000000000/(_xlfn.XLOOKUP($B56,[1]data!$C$2:$C$201,[1]data!V$2:V$201)*1000000)</f>
        <v>3462.4638925357945</v>
      </c>
      <c r="P56">
        <f>[4]data!P56*1000000000/(_xlfn.XLOOKUP($B56,[1]data!$C$2:$C$201,[1]data!W$2:W$201)*1000000)</f>
        <v>4314.9618193557872</v>
      </c>
      <c r="Q56">
        <f>[4]data!Q56*1000000000/(_xlfn.XLOOKUP($B56,[1]data!$C$2:$C$201,[1]data!X$2:X$201)*1000000)</f>
        <v>5305.3390482177192</v>
      </c>
      <c r="R56">
        <f>[4]data!R56*1000000000/(_xlfn.XLOOKUP($B56,[1]data!$C$2:$C$201,[1]data!Y$2:Y$201)*1000000)</f>
        <v>6506.3943541949429</v>
      </c>
      <c r="S56">
        <f>[4]data!S56*1000000000/(_xlfn.XLOOKUP($B56,[1]data!$C$2:$C$201,[1]data!Z$2:Z$201)*1000000)</f>
        <v>7942.2819269530801</v>
      </c>
      <c r="T56">
        <f>[4]data!T56*1000000000/(_xlfn.XLOOKUP($B56,[1]data!$C$2:$C$201,[1]data!AA$2:AA$201)*1000000)</f>
        <v>9645.8128212578431</v>
      </c>
      <c r="U56">
        <f>[4]data!U56*1000000000/(_xlfn.XLOOKUP($B56,[1]data!$C$2:$C$201,[1]data!AB$2:AB$201)*1000000)</f>
        <v>11650.163461047505</v>
      </c>
      <c r="V56">
        <f>[4]data!V56*1000000000/(_xlfn.XLOOKUP($B56,[1]data!$C$2:$C$201,[1]data!AC$2:AC$201)*1000000)</f>
        <v>14040.418405340133</v>
      </c>
      <c r="W56">
        <f>[4]data!W56*1000000000/(_xlfn.XLOOKUP($B56,[1]data!$C$2:$C$201,[1]data!AD$2:AD$201)*1000000)</f>
        <v>16817.705122788739</v>
      </c>
      <c r="X56">
        <f>[4]data!X56*1000000000/(_xlfn.XLOOKUP($B56,[1]data!$C$2:$C$201,[1]data!AE$2:AE$201)*1000000)</f>
        <v>20059.540498561251</v>
      </c>
      <c r="Y56">
        <f>[4]data!Y56*1000000000/(_xlfn.XLOOKUP($B56,[1]data!$C$2:$C$201,[1]data!AF$2:AF$201)*1000000)</f>
        <v>23752.538021451917</v>
      </c>
      <c r="Z56">
        <f>[4]data!Z56*1000000000/(_xlfn.XLOOKUP($B56,[1]data!$C$2:$C$201,[1]data!AG$2:AG$201)*1000000)</f>
        <v>27865.977897560297</v>
      </c>
      <c r="AA56">
        <f>[4]data!AA56*1000000000/(_xlfn.XLOOKUP($B56,[1]data!$C$2:$C$201,[1]data!AH$2:AH$201)*1000000)</f>
        <v>32413.528620954705</v>
      </c>
      <c r="AB56">
        <f>[4]data!AB56*1000000000/(_xlfn.XLOOKUP($B56,[1]data!$C$2:$C$201,[1]data!AI$2:AI$201)*1000000)</f>
        <v>37440.933058476898</v>
      </c>
      <c r="AC56">
        <f>[4]data!AC56*1000000000/(_xlfn.XLOOKUP($B56,[1]data!$C$2:$C$201,[1]data!AJ$2:AJ$201)*1000000)</f>
        <v>43013.275820210627</v>
      </c>
    </row>
    <row r="57" spans="1:29" x14ac:dyDescent="0.25">
      <c r="A57" t="s">
        <v>232</v>
      </c>
      <c r="B57" t="s">
        <v>89</v>
      </c>
      <c r="C57" t="s">
        <v>233</v>
      </c>
      <c r="D57" t="s">
        <v>234</v>
      </c>
      <c r="E57">
        <f>[4]data!E57*1000000000/(_xlfn.XLOOKUP($B57,[1]data!$C$2:$C$201,[1]data!L$2:L$201)*1000000)</f>
        <v>25472.819630597482</v>
      </c>
      <c r="F57">
        <f>[4]data!F57*1000000000/(_xlfn.XLOOKUP($B57,[1]data!$C$2:$C$201,[1]data!M$2:M$201)*1000000)</f>
        <v>28412.495105944552</v>
      </c>
      <c r="G57">
        <f>[4]data!G57*1000000000/(_xlfn.XLOOKUP($B57,[1]data!$C$2:$C$201,[1]data!N$2:N$201)*1000000)</f>
        <v>33036.33818287374</v>
      </c>
      <c r="H57">
        <f>[4]data!H57*1000000000/(_xlfn.XLOOKUP($B57,[1]data!$C$2:$C$201,[1]data!O$2:O$201)*1000000)</f>
        <v>31572.679765172972</v>
      </c>
      <c r="I57">
        <f>[4]data!I57*1000000000/(_xlfn.XLOOKUP($B57,[1]data!$C$2:$C$201,[1]data!P$2:P$201)*1000000)</f>
        <v>37650.312057354749</v>
      </c>
      <c r="J57">
        <f>[4]data!J57*1000000000/(_xlfn.XLOOKUP($B57,[1]data!$C$2:$C$201,[1]data!Q$2:Q$201)*1000000)</f>
        <v>42303.34934059099</v>
      </c>
      <c r="K57">
        <f>[4]data!K57*1000000000/(_xlfn.XLOOKUP($B57,[1]data!$C$2:$C$201,[1]data!R$2:R$201)*1000000)</f>
        <v>43349.874284411555</v>
      </c>
      <c r="L57">
        <f>[4]data!L57*1000000000/(_xlfn.XLOOKUP($B57,[1]data!$C$2:$C$201,[1]data!S$2:S$201)*1000000)</f>
        <v>42558.079309552661</v>
      </c>
      <c r="M57">
        <f>[4]data!M57*1000000000/(_xlfn.XLOOKUP($B57,[1]data!$C$2:$C$201,[1]data!T$2:T$201)*1000000)</f>
        <v>44698.91025015687</v>
      </c>
      <c r="N57">
        <f>[4]data!N57*1000000000/(_xlfn.XLOOKUP($B57,[1]data!$C$2:$C$201,[1]data!U$2:U$201)*1000000)</f>
        <v>48005.366440349731</v>
      </c>
      <c r="O57">
        <f>[4]data!O57*1000000000/(_xlfn.XLOOKUP($B57,[1]data!$C$2:$C$201,[1]data!V$2:V$201)*1000000)</f>
        <v>51835.36468812239</v>
      </c>
      <c r="P57">
        <f>[4]data!P57*1000000000/(_xlfn.XLOOKUP($B57,[1]data!$C$2:$C$201,[1]data!W$2:W$201)*1000000)</f>
        <v>55114.55561914498</v>
      </c>
      <c r="Q57">
        <f>[4]data!Q57*1000000000/(_xlfn.XLOOKUP($B57,[1]data!$C$2:$C$201,[1]data!X$2:X$201)*1000000)</f>
        <v>58464.036815410051</v>
      </c>
      <c r="R57">
        <f>[4]data!R57*1000000000/(_xlfn.XLOOKUP($B57,[1]data!$C$2:$C$201,[1]data!Y$2:Y$201)*1000000)</f>
        <v>61835.447947416869</v>
      </c>
      <c r="S57">
        <f>[4]data!S57*1000000000/(_xlfn.XLOOKUP($B57,[1]data!$C$2:$C$201,[1]data!Z$2:Z$201)*1000000)</f>
        <v>65125.066837908147</v>
      </c>
      <c r="T57">
        <f>[4]data!T57*1000000000/(_xlfn.XLOOKUP($B57,[1]data!$C$2:$C$201,[1]data!AA$2:AA$201)*1000000)</f>
        <v>68793.040559256449</v>
      </c>
      <c r="U57">
        <f>[4]data!U57*1000000000/(_xlfn.XLOOKUP($B57,[1]data!$C$2:$C$201,[1]data!AB$2:AB$201)*1000000)</f>
        <v>72798.638694018096</v>
      </c>
      <c r="V57">
        <f>[4]data!V57*1000000000/(_xlfn.XLOOKUP($B57,[1]data!$C$2:$C$201,[1]data!AC$2:AC$201)*1000000)</f>
        <v>76998.489556171859</v>
      </c>
      <c r="W57">
        <f>[4]data!W57*1000000000/(_xlfn.XLOOKUP($B57,[1]data!$C$2:$C$201,[1]data!AD$2:AD$201)*1000000)</f>
        <v>81022.110295326434</v>
      </c>
      <c r="X57">
        <f>[4]data!X57*1000000000/(_xlfn.XLOOKUP($B57,[1]data!$C$2:$C$201,[1]data!AE$2:AE$201)*1000000)</f>
        <v>84814.788254869403</v>
      </c>
      <c r="Y57">
        <f>[4]data!Y57*1000000000/(_xlfn.XLOOKUP($B57,[1]data!$C$2:$C$201,[1]data!AF$2:AF$201)*1000000)</f>
        <v>88462.233288858799</v>
      </c>
      <c r="Z57">
        <f>[4]data!Z57*1000000000/(_xlfn.XLOOKUP($B57,[1]data!$C$2:$C$201,[1]data!AG$2:AG$201)*1000000)</f>
        <v>92085.322449287982</v>
      </c>
      <c r="AA57">
        <f>[4]data!AA57*1000000000/(_xlfn.XLOOKUP($B57,[1]data!$C$2:$C$201,[1]data!AH$2:AH$201)*1000000)</f>
        <v>95723.216877328974</v>
      </c>
      <c r="AB57">
        <f>[4]data!AB57*1000000000/(_xlfn.XLOOKUP($B57,[1]data!$C$2:$C$201,[1]data!AI$2:AI$201)*1000000)</f>
        <v>99282.196223843261</v>
      </c>
      <c r="AC57">
        <f>[4]data!AC57*1000000000/(_xlfn.XLOOKUP($B57,[1]data!$C$2:$C$201,[1]data!AJ$2:AJ$201)*1000000)</f>
        <v>102585.76962963058</v>
      </c>
    </row>
    <row r="58" spans="1:29" x14ac:dyDescent="0.25">
      <c r="A58" t="s">
        <v>232</v>
      </c>
      <c r="B58" t="s">
        <v>90</v>
      </c>
      <c r="C58" t="s">
        <v>233</v>
      </c>
      <c r="D58" t="s">
        <v>234</v>
      </c>
      <c r="E58">
        <f>[4]data!E58*1000000000/(_xlfn.XLOOKUP($B58,[1]data!$C$2:$C$201,[1]data!L$2:L$201)*1000000)</f>
        <v>7515.6172198599834</v>
      </c>
      <c r="F58">
        <f>[4]data!F58*1000000000/(_xlfn.XLOOKUP($B58,[1]data!$C$2:$C$201,[1]data!M$2:M$201)*1000000)</f>
        <v>7079.7636611660937</v>
      </c>
      <c r="G58">
        <f>[4]data!G58*1000000000/(_xlfn.XLOOKUP($B58,[1]data!$C$2:$C$201,[1]data!N$2:N$201)*1000000)</f>
        <v>8085.6682297017869</v>
      </c>
      <c r="H58">
        <f>[4]data!H58*1000000000/(_xlfn.XLOOKUP($B58,[1]data!$C$2:$C$201,[1]data!O$2:O$201)*1000000)</f>
        <v>9062.7459949028926</v>
      </c>
      <c r="I58">
        <f>[4]data!I58*1000000000/(_xlfn.XLOOKUP($B58,[1]data!$C$2:$C$201,[1]data!P$2:P$201)*1000000)</f>
        <v>9589.338202439867</v>
      </c>
      <c r="J58">
        <f>[4]data!J58*1000000000/(_xlfn.XLOOKUP($B58,[1]data!$C$2:$C$201,[1]data!Q$2:Q$201)*1000000)</f>
        <v>10055.336104540338</v>
      </c>
      <c r="K58">
        <f>[4]data!K58*1000000000/(_xlfn.XLOOKUP($B58,[1]data!$C$2:$C$201,[1]data!R$2:R$201)*1000000)</f>
        <v>10039.870669377842</v>
      </c>
      <c r="L58">
        <f>[4]data!L58*1000000000/(_xlfn.XLOOKUP($B58,[1]data!$C$2:$C$201,[1]data!S$2:S$201)*1000000)</f>
        <v>11913.160458724706</v>
      </c>
      <c r="M58">
        <f>[4]data!M58*1000000000/(_xlfn.XLOOKUP($B58,[1]data!$C$2:$C$201,[1]data!T$2:T$201)*1000000)</f>
        <v>10990.534697034071</v>
      </c>
      <c r="N58">
        <f>[4]data!N58*1000000000/(_xlfn.XLOOKUP($B58,[1]data!$C$2:$C$201,[1]data!U$2:U$201)*1000000)</f>
        <v>14157.360389924073</v>
      </c>
      <c r="O58">
        <f>[4]data!O58*1000000000/(_xlfn.XLOOKUP($B58,[1]data!$C$2:$C$201,[1]data!V$2:V$201)*1000000)</f>
        <v>16345.205810683772</v>
      </c>
      <c r="P58">
        <f>[4]data!P58*1000000000/(_xlfn.XLOOKUP($B58,[1]data!$C$2:$C$201,[1]data!W$2:W$201)*1000000)</f>
        <v>18935.218583177048</v>
      </c>
      <c r="Q58">
        <f>[4]data!Q58*1000000000/(_xlfn.XLOOKUP($B58,[1]data!$C$2:$C$201,[1]data!X$2:X$201)*1000000)</f>
        <v>22069.496438866197</v>
      </c>
      <c r="R58">
        <f>[4]data!R58*1000000000/(_xlfn.XLOOKUP($B58,[1]data!$C$2:$C$201,[1]data!Y$2:Y$201)*1000000)</f>
        <v>25808.315509887398</v>
      </c>
      <c r="S58">
        <f>[4]data!S58*1000000000/(_xlfn.XLOOKUP($B58,[1]data!$C$2:$C$201,[1]data!Z$2:Z$201)*1000000)</f>
        <v>30198.648249112543</v>
      </c>
      <c r="T58">
        <f>[4]data!T58*1000000000/(_xlfn.XLOOKUP($B58,[1]data!$C$2:$C$201,[1]data!AA$2:AA$201)*1000000)</f>
        <v>35282.963842550824</v>
      </c>
      <c r="U58">
        <f>[4]data!U58*1000000000/(_xlfn.XLOOKUP($B58,[1]data!$C$2:$C$201,[1]data!AB$2:AB$201)*1000000)</f>
        <v>41076.621241847388</v>
      </c>
      <c r="V58">
        <f>[4]data!V58*1000000000/(_xlfn.XLOOKUP($B58,[1]data!$C$2:$C$201,[1]data!AC$2:AC$201)*1000000)</f>
        <v>47521.794025869734</v>
      </c>
      <c r="W58">
        <f>[4]data!W58*1000000000/(_xlfn.XLOOKUP($B58,[1]data!$C$2:$C$201,[1]data!AD$2:AD$201)*1000000)</f>
        <v>54619.398168910921</v>
      </c>
      <c r="X58">
        <f>[4]data!X58*1000000000/(_xlfn.XLOOKUP($B58,[1]data!$C$2:$C$201,[1]data!AE$2:AE$201)*1000000)</f>
        <v>62371.498600997314</v>
      </c>
      <c r="Y58">
        <f>[4]data!Y58*1000000000/(_xlfn.XLOOKUP($B58,[1]data!$C$2:$C$201,[1]data!AF$2:AF$201)*1000000)</f>
        <v>70734.321615134846</v>
      </c>
      <c r="Z58">
        <f>[4]data!Z58*1000000000/(_xlfn.XLOOKUP($B58,[1]data!$C$2:$C$201,[1]data!AG$2:AG$201)*1000000)</f>
        <v>79746.877514205698</v>
      </c>
      <c r="AA58">
        <f>[4]data!AA58*1000000000/(_xlfn.XLOOKUP($B58,[1]data!$C$2:$C$201,[1]data!AH$2:AH$201)*1000000)</f>
        <v>89330.691110708765</v>
      </c>
      <c r="AB58">
        <f>[4]data!AB58*1000000000/(_xlfn.XLOOKUP($B58,[1]data!$C$2:$C$201,[1]data!AI$2:AI$201)*1000000)</f>
        <v>99553.043357730945</v>
      </c>
      <c r="AC58">
        <f>[4]data!AC58*1000000000/(_xlfn.XLOOKUP($B58,[1]data!$C$2:$C$201,[1]data!AJ$2:AJ$201)*1000000)</f>
        <v>110357.79309100688</v>
      </c>
    </row>
    <row r="59" spans="1:29" x14ac:dyDescent="0.25">
      <c r="A59" t="s">
        <v>232</v>
      </c>
      <c r="B59" t="s">
        <v>91</v>
      </c>
      <c r="C59" t="s">
        <v>233</v>
      </c>
      <c r="D59" t="s">
        <v>234</v>
      </c>
      <c r="E59">
        <f>[4]data!E59*1000000000/(_xlfn.XLOOKUP($B59,[1]data!$C$2:$C$201,[1]data!L$2:L$201)*1000000)</f>
        <v>28701.157119889878</v>
      </c>
      <c r="F59">
        <f>[4]data!F59*1000000000/(_xlfn.XLOOKUP($B59,[1]data!$C$2:$C$201,[1]data!M$2:M$201)*1000000)</f>
        <v>30292.093285649171</v>
      </c>
      <c r="G59">
        <f>[4]data!G59*1000000000/(_xlfn.XLOOKUP($B59,[1]data!$C$2:$C$201,[1]data!N$2:N$201)*1000000)</f>
        <v>34911.910638128174</v>
      </c>
      <c r="H59">
        <f>[4]data!H59*1000000000/(_xlfn.XLOOKUP($B59,[1]data!$C$2:$C$201,[1]data!O$2:O$201)*1000000)</f>
        <v>36574.347626830735</v>
      </c>
      <c r="I59">
        <f>[4]data!I59*1000000000/(_xlfn.XLOOKUP($B59,[1]data!$C$2:$C$201,[1]data!P$2:P$201)*1000000)</f>
        <v>39037.225376227441</v>
      </c>
      <c r="J59">
        <f>[4]data!J59*1000000000/(_xlfn.XLOOKUP($B59,[1]data!$C$2:$C$201,[1]data!Q$2:Q$201)*1000000)</f>
        <v>41075.169513374953</v>
      </c>
      <c r="K59">
        <f>[4]data!K59*1000000000/(_xlfn.XLOOKUP($B59,[1]data!$C$2:$C$201,[1]data!R$2:R$201)*1000000)</f>
        <v>41437.651609046734</v>
      </c>
      <c r="L59">
        <f>[4]data!L59*1000000000/(_xlfn.XLOOKUP($B59,[1]data!$C$2:$C$201,[1]data!S$2:S$201)*1000000)</f>
        <v>42689.017957657081</v>
      </c>
      <c r="M59">
        <f>[4]data!M59*1000000000/(_xlfn.XLOOKUP($B59,[1]data!$C$2:$C$201,[1]data!T$2:T$201)*1000000)</f>
        <v>41815.294373811194</v>
      </c>
      <c r="N59">
        <f>[4]data!N59*1000000000/(_xlfn.XLOOKUP($B59,[1]data!$C$2:$C$201,[1]data!U$2:U$201)*1000000)</f>
        <v>46425.707970275638</v>
      </c>
      <c r="O59">
        <f>[4]data!O59*1000000000/(_xlfn.XLOOKUP($B59,[1]data!$C$2:$C$201,[1]data!V$2:V$201)*1000000)</f>
        <v>49649.493503711659</v>
      </c>
      <c r="P59">
        <f>[4]data!P59*1000000000/(_xlfn.XLOOKUP($B59,[1]data!$C$2:$C$201,[1]data!W$2:W$201)*1000000)</f>
        <v>52405.946676096959</v>
      </c>
      <c r="Q59">
        <f>[4]data!Q59*1000000000/(_xlfn.XLOOKUP($B59,[1]data!$C$2:$C$201,[1]data!X$2:X$201)*1000000)</f>
        <v>55136.189759664638</v>
      </c>
      <c r="R59">
        <f>[4]data!R59*1000000000/(_xlfn.XLOOKUP($B59,[1]data!$C$2:$C$201,[1]data!Y$2:Y$201)*1000000)</f>
        <v>57943.050880313851</v>
      </c>
      <c r="S59">
        <f>[4]data!S59*1000000000/(_xlfn.XLOOKUP($B59,[1]data!$C$2:$C$201,[1]data!Z$2:Z$201)*1000000)</f>
        <v>60912.39669662415</v>
      </c>
      <c r="T59">
        <f>[4]data!T59*1000000000/(_xlfn.XLOOKUP($B59,[1]data!$C$2:$C$201,[1]data!AA$2:AA$201)*1000000)</f>
        <v>64107.540219232396</v>
      </c>
      <c r="U59">
        <f>[4]data!U59*1000000000/(_xlfn.XLOOKUP($B59,[1]data!$C$2:$C$201,[1]data!AB$2:AB$201)*1000000)</f>
        <v>67488.254598570042</v>
      </c>
      <c r="V59">
        <f>[4]data!V59*1000000000/(_xlfn.XLOOKUP($B59,[1]data!$C$2:$C$201,[1]data!AC$2:AC$201)*1000000)</f>
        <v>70977.314083333084</v>
      </c>
      <c r="W59">
        <f>[4]data!W59*1000000000/(_xlfn.XLOOKUP($B59,[1]data!$C$2:$C$201,[1]data!AD$2:AD$201)*1000000)</f>
        <v>74414.340996486426</v>
      </c>
      <c r="X59">
        <f>[4]data!X59*1000000000/(_xlfn.XLOOKUP($B59,[1]data!$C$2:$C$201,[1]data!AE$2:AE$201)*1000000)</f>
        <v>77808.099916641717</v>
      </c>
      <c r="Y59">
        <f>[4]data!Y59*1000000000/(_xlfn.XLOOKUP($B59,[1]data!$C$2:$C$201,[1]data!AF$2:AF$201)*1000000)</f>
        <v>81237.311828211183</v>
      </c>
      <c r="Z59">
        <f>[4]data!Z59*1000000000/(_xlfn.XLOOKUP($B59,[1]data!$C$2:$C$201,[1]data!AG$2:AG$201)*1000000)</f>
        <v>84778.925682836911</v>
      </c>
      <c r="AA59">
        <f>[4]data!AA59*1000000000/(_xlfn.XLOOKUP($B59,[1]data!$C$2:$C$201,[1]data!AH$2:AH$201)*1000000)</f>
        <v>88430.894484797973</v>
      </c>
      <c r="AB59">
        <f>[4]data!AB59*1000000000/(_xlfn.XLOOKUP($B59,[1]data!$C$2:$C$201,[1]data!AI$2:AI$201)*1000000)</f>
        <v>92124.150124515087</v>
      </c>
      <c r="AC59">
        <f>[4]data!AC59*1000000000/(_xlfn.XLOOKUP($B59,[1]data!$C$2:$C$201,[1]data!AJ$2:AJ$201)*1000000)</f>
        <v>95782.151244092165</v>
      </c>
    </row>
    <row r="60" spans="1:29" x14ac:dyDescent="0.25">
      <c r="A60" t="s">
        <v>232</v>
      </c>
      <c r="B60" t="s">
        <v>92</v>
      </c>
      <c r="C60" t="s">
        <v>233</v>
      </c>
      <c r="D60" t="s">
        <v>234</v>
      </c>
      <c r="E60" t="e">
        <f>[4]data!E60*1000000000/(_xlfn.XLOOKUP($B60,[1]data!$C$2:$C$201,[1]data!L$2:L$201)*1000000)</f>
        <v>#VALUE!</v>
      </c>
      <c r="F60" t="e">
        <f>[4]data!F60*1000000000/(_xlfn.XLOOKUP($B60,[1]data!$C$2:$C$201,[1]data!M$2:M$201)*1000000)</f>
        <v>#VALUE!</v>
      </c>
      <c r="G60">
        <f>[4]data!G60*1000000000/(_xlfn.XLOOKUP($B60,[1]data!$C$2:$C$201,[1]data!N$2:N$201)*1000000)</f>
        <v>2952.4857467475972</v>
      </c>
      <c r="H60">
        <f>[4]data!H60*1000000000/(_xlfn.XLOOKUP($B60,[1]data!$C$2:$C$201,[1]data!O$2:O$201)*1000000)</f>
        <v>2967.3017343981392</v>
      </c>
      <c r="I60">
        <f>[4]data!I60*1000000000/(_xlfn.XLOOKUP($B60,[1]data!$C$2:$C$201,[1]data!P$2:P$201)*1000000)</f>
        <v>2915.5722494643705</v>
      </c>
      <c r="J60">
        <f>[4]data!J60*1000000000/(_xlfn.XLOOKUP($B60,[1]data!$C$2:$C$201,[1]data!Q$2:Q$201)*1000000)</f>
        <v>3010.3401458410131</v>
      </c>
      <c r="K60">
        <f>[4]data!K60*1000000000/(_xlfn.XLOOKUP($B60,[1]data!$C$2:$C$201,[1]data!R$2:R$201)*1000000)</f>
        <v>3090.4133046691054</v>
      </c>
      <c r="L60">
        <f>[4]data!L60*1000000000/(_xlfn.XLOOKUP($B60,[1]data!$C$2:$C$201,[1]data!S$2:S$201)*1000000)</f>
        <v>3027.2054044652741</v>
      </c>
      <c r="M60">
        <f>[4]data!M60*1000000000/(_xlfn.XLOOKUP($B60,[1]data!$C$2:$C$201,[1]data!T$2:T$201)*1000000)</f>
        <v>526.67023466061653</v>
      </c>
      <c r="N60">
        <f>[4]data!N60*1000000000/(_xlfn.XLOOKUP($B60,[1]data!$C$2:$C$201,[1]data!U$2:U$201)*1000000)</f>
        <v>529.71620315077064</v>
      </c>
      <c r="O60">
        <f>[4]data!O60*1000000000/(_xlfn.XLOOKUP($B60,[1]data!$C$2:$C$201,[1]data!V$2:V$201)*1000000)</f>
        <v>541.54310164440676</v>
      </c>
      <c r="P60">
        <f>[4]data!P60*1000000000/(_xlfn.XLOOKUP($B60,[1]data!$C$2:$C$201,[1]data!W$2:W$201)*1000000)</f>
        <v>600.84281677499871</v>
      </c>
      <c r="Q60">
        <f>[4]data!Q60*1000000000/(_xlfn.XLOOKUP($B60,[1]data!$C$2:$C$201,[1]data!X$2:X$201)*1000000)</f>
        <v>708.09547237331412</v>
      </c>
      <c r="R60">
        <f>[4]data!R60*1000000000/(_xlfn.XLOOKUP($B60,[1]data!$C$2:$C$201,[1]data!Y$2:Y$201)*1000000)</f>
        <v>868.31184219980992</v>
      </c>
      <c r="S60">
        <f>[4]data!S60*1000000000/(_xlfn.XLOOKUP($B60,[1]data!$C$2:$C$201,[1]data!Z$2:Z$201)*1000000)</f>
        <v>1094.157917282964</v>
      </c>
      <c r="T60">
        <f>[4]data!T60*1000000000/(_xlfn.XLOOKUP($B60,[1]data!$C$2:$C$201,[1]data!AA$2:AA$201)*1000000)</f>
        <v>1399.2898579042028</v>
      </c>
      <c r="U60">
        <f>[4]data!U60*1000000000/(_xlfn.XLOOKUP($B60,[1]data!$C$2:$C$201,[1]data!AB$2:AB$201)*1000000)</f>
        <v>1797.7365198552438</v>
      </c>
      <c r="V60">
        <f>[4]data!V60*1000000000/(_xlfn.XLOOKUP($B60,[1]data!$C$2:$C$201,[1]data!AC$2:AC$201)*1000000)</f>
        <v>2306.3496003032842</v>
      </c>
      <c r="W60">
        <f>[4]data!W60*1000000000/(_xlfn.XLOOKUP($B60,[1]data!$C$2:$C$201,[1]data!AD$2:AD$201)*1000000)</f>
        <v>2934.4073647871119</v>
      </c>
      <c r="X60">
        <f>[4]data!X60*1000000000/(_xlfn.XLOOKUP($B60,[1]data!$C$2:$C$201,[1]data!AE$2:AE$201)*1000000)</f>
        <v>3697.0089211012887</v>
      </c>
      <c r="Y60">
        <f>[4]data!Y60*1000000000/(_xlfn.XLOOKUP($B60,[1]data!$C$2:$C$201,[1]data!AF$2:AF$201)*1000000)</f>
        <v>4606.4557318456928</v>
      </c>
      <c r="Z60">
        <f>[4]data!Z60*1000000000/(_xlfn.XLOOKUP($B60,[1]data!$C$2:$C$201,[1]data!AG$2:AG$201)*1000000)</f>
        <v>5671.2799556764267</v>
      </c>
      <c r="AA60">
        <f>[4]data!AA60*1000000000/(_xlfn.XLOOKUP($B60,[1]data!$C$2:$C$201,[1]data!AH$2:AH$201)*1000000)</f>
        <v>6902.6396569284061</v>
      </c>
      <c r="AB60">
        <f>[4]data!AB60*1000000000/(_xlfn.XLOOKUP($B60,[1]data!$C$2:$C$201,[1]data!AI$2:AI$201)*1000000)</f>
        <v>8306.0997408489548</v>
      </c>
      <c r="AC60">
        <f>[4]data!AC60*1000000000/(_xlfn.XLOOKUP($B60,[1]data!$C$2:$C$201,[1]data!AJ$2:AJ$201)*1000000)</f>
        <v>9894.7712086365409</v>
      </c>
    </row>
    <row r="61" spans="1:29" x14ac:dyDescent="0.25">
      <c r="A61" t="s">
        <v>232</v>
      </c>
      <c r="B61" t="s">
        <v>93</v>
      </c>
      <c r="C61" t="s">
        <v>233</v>
      </c>
      <c r="D61" t="s">
        <v>234</v>
      </c>
      <c r="E61">
        <f>[4]data!E61*1000000000/(_xlfn.XLOOKUP($B61,[1]data!$C$2:$C$201,[1]data!L$2:L$201)*1000000)</f>
        <v>19830.242113263892</v>
      </c>
      <c r="F61">
        <f>[4]data!F61*1000000000/(_xlfn.XLOOKUP($B61,[1]data!$C$2:$C$201,[1]data!M$2:M$201)*1000000)</f>
        <v>19636.602114947753</v>
      </c>
      <c r="G61">
        <f>[4]data!G61*1000000000/(_xlfn.XLOOKUP($B61,[1]data!$C$2:$C$201,[1]data!N$2:N$201)*1000000)</f>
        <v>17798.609821999464</v>
      </c>
      <c r="H61">
        <f>[4]data!H61*1000000000/(_xlfn.XLOOKUP($B61,[1]data!$C$2:$C$201,[1]data!O$2:O$201)*1000000)</f>
        <v>18133.710317782723</v>
      </c>
      <c r="I61">
        <f>[4]data!I61*1000000000/(_xlfn.XLOOKUP($B61,[1]data!$C$2:$C$201,[1]data!P$2:P$201)*1000000)</f>
        <v>16194.720903487165</v>
      </c>
      <c r="J61">
        <f>[4]data!J61*1000000000/(_xlfn.XLOOKUP($B61,[1]data!$C$2:$C$201,[1]data!Q$2:Q$201)*1000000)</f>
        <v>14785.461782553026</v>
      </c>
      <c r="K61">
        <f>[4]data!K61*1000000000/(_xlfn.XLOOKUP($B61,[1]data!$C$2:$C$201,[1]data!R$2:R$201)*1000000)</f>
        <v>13925.95244906978</v>
      </c>
      <c r="L61">
        <f>[4]data!L61*1000000000/(_xlfn.XLOOKUP($B61,[1]data!$C$2:$C$201,[1]data!S$2:S$201)*1000000)</f>
        <v>15115.227756132146</v>
      </c>
      <c r="M61">
        <f>[4]data!M61*1000000000/(_xlfn.XLOOKUP($B61,[1]data!$C$2:$C$201,[1]data!T$2:T$201)*1000000)</f>
        <v>14054.225893013827</v>
      </c>
      <c r="N61">
        <f>[4]data!N61*1000000000/(_xlfn.XLOOKUP($B61,[1]data!$C$2:$C$201,[1]data!U$2:U$201)*1000000)</f>
        <v>14331.806040436772</v>
      </c>
      <c r="O61">
        <f>[4]data!O61*1000000000/(_xlfn.XLOOKUP($B61,[1]data!$C$2:$C$201,[1]data!V$2:V$201)*1000000)</f>
        <v>15282.972752388476</v>
      </c>
      <c r="P61">
        <f>[4]data!P61*1000000000/(_xlfn.XLOOKUP($B61,[1]data!$C$2:$C$201,[1]data!W$2:W$201)*1000000)</f>
        <v>17065.299637185057</v>
      </c>
      <c r="Q61">
        <f>[4]data!Q61*1000000000/(_xlfn.XLOOKUP($B61,[1]data!$C$2:$C$201,[1]data!X$2:X$201)*1000000)</f>
        <v>18840.19708341323</v>
      </c>
      <c r="R61">
        <f>[4]data!R61*1000000000/(_xlfn.XLOOKUP($B61,[1]data!$C$2:$C$201,[1]data!Y$2:Y$201)*1000000)</f>
        <v>20675.340029227213</v>
      </c>
      <c r="S61">
        <f>[4]data!S61*1000000000/(_xlfn.XLOOKUP($B61,[1]data!$C$2:$C$201,[1]data!Z$2:Z$201)*1000000)</f>
        <v>22657.083995716515</v>
      </c>
      <c r="T61">
        <f>[4]data!T61*1000000000/(_xlfn.XLOOKUP($B61,[1]data!$C$2:$C$201,[1]data!AA$2:AA$201)*1000000)</f>
        <v>24886.293359010815</v>
      </c>
      <c r="U61">
        <f>[4]data!U61*1000000000/(_xlfn.XLOOKUP($B61,[1]data!$C$2:$C$201,[1]data!AB$2:AB$201)*1000000)</f>
        <v>27463.642760992603</v>
      </c>
      <c r="V61">
        <f>[4]data!V61*1000000000/(_xlfn.XLOOKUP($B61,[1]data!$C$2:$C$201,[1]data!AC$2:AC$201)*1000000)</f>
        <v>30437.553880642066</v>
      </c>
      <c r="W61">
        <f>[4]data!W61*1000000000/(_xlfn.XLOOKUP($B61,[1]data!$C$2:$C$201,[1]data!AD$2:AD$201)*1000000)</f>
        <v>33732.945271816519</v>
      </c>
      <c r="X61">
        <f>[4]data!X61*1000000000/(_xlfn.XLOOKUP($B61,[1]data!$C$2:$C$201,[1]data!AE$2:AE$201)*1000000)</f>
        <v>37286.892643884195</v>
      </c>
      <c r="Y61">
        <f>[4]data!Y61*1000000000/(_xlfn.XLOOKUP($B61,[1]data!$C$2:$C$201,[1]data!AF$2:AF$201)*1000000)</f>
        <v>41049.154450196744</v>
      </c>
      <c r="Z61">
        <f>[4]data!Z61*1000000000/(_xlfn.XLOOKUP($B61,[1]data!$C$2:$C$201,[1]data!AG$2:AG$201)*1000000)</f>
        <v>45029.72431410908</v>
      </c>
      <c r="AA61">
        <f>[4]data!AA61*1000000000/(_xlfn.XLOOKUP($B61,[1]data!$C$2:$C$201,[1]data!AH$2:AH$201)*1000000)</f>
        <v>49288.792403609332</v>
      </c>
      <c r="AB61">
        <f>[4]data!AB61*1000000000/(_xlfn.XLOOKUP($B61,[1]data!$C$2:$C$201,[1]data!AI$2:AI$201)*1000000)</f>
        <v>53923.130158483946</v>
      </c>
      <c r="AC61">
        <f>[4]data!AC61*1000000000/(_xlfn.XLOOKUP($B61,[1]data!$C$2:$C$201,[1]data!AJ$2:AJ$201)*1000000)</f>
        <v>58962.859962127994</v>
      </c>
    </row>
    <row r="62" spans="1:29" x14ac:dyDescent="0.25">
      <c r="A62" t="s">
        <v>232</v>
      </c>
      <c r="B62" t="s">
        <v>94</v>
      </c>
      <c r="C62" t="s">
        <v>233</v>
      </c>
      <c r="D62" t="s">
        <v>234</v>
      </c>
      <c r="E62">
        <f>[4]data!E62*1000000000/(_xlfn.XLOOKUP($B62,[1]data!$C$2:$C$201,[1]data!L$2:L$201)*1000000)</f>
        <v>23849.871804540631</v>
      </c>
      <c r="F62">
        <f>[4]data!F62*1000000000/(_xlfn.XLOOKUP($B62,[1]data!$C$2:$C$201,[1]data!M$2:M$201)*1000000)</f>
        <v>26616.124407023355</v>
      </c>
      <c r="G62">
        <f>[4]data!G62*1000000000/(_xlfn.XLOOKUP($B62,[1]data!$C$2:$C$201,[1]data!N$2:N$201)*1000000)</f>
        <v>31104.027307400538</v>
      </c>
      <c r="H62">
        <f>[4]data!H62*1000000000/(_xlfn.XLOOKUP($B62,[1]data!$C$2:$C$201,[1]data!O$2:O$201)*1000000)</f>
        <v>32865.600949250227</v>
      </c>
      <c r="I62">
        <f>[4]data!I62*1000000000/(_xlfn.XLOOKUP($B62,[1]data!$C$2:$C$201,[1]data!P$2:P$201)*1000000)</f>
        <v>36881.042650332805</v>
      </c>
      <c r="J62">
        <f>[4]data!J62*1000000000/(_xlfn.XLOOKUP($B62,[1]data!$C$2:$C$201,[1]data!Q$2:Q$201)*1000000)</f>
        <v>40792.887820297881</v>
      </c>
      <c r="K62">
        <f>[4]data!K62*1000000000/(_xlfn.XLOOKUP($B62,[1]data!$C$2:$C$201,[1]data!R$2:R$201)*1000000)</f>
        <v>40159.277089491785</v>
      </c>
      <c r="L62">
        <f>[4]data!L62*1000000000/(_xlfn.XLOOKUP($B62,[1]data!$C$2:$C$201,[1]data!S$2:S$201)*1000000)</f>
        <v>42567.011046379339</v>
      </c>
      <c r="M62">
        <f>[4]data!M62*1000000000/(_xlfn.XLOOKUP($B62,[1]data!$C$2:$C$201,[1]data!T$2:T$201)*1000000)</f>
        <v>39953.445475159111</v>
      </c>
      <c r="N62">
        <f>[4]data!N62*1000000000/(_xlfn.XLOOKUP($B62,[1]data!$C$2:$C$201,[1]data!U$2:U$201)*1000000)</f>
        <v>45775.764289172999</v>
      </c>
      <c r="O62">
        <f>[4]data!O62*1000000000/(_xlfn.XLOOKUP($B62,[1]data!$C$2:$C$201,[1]data!V$2:V$201)*1000000)</f>
        <v>49233.043878201061</v>
      </c>
      <c r="P62">
        <f>[4]data!P62*1000000000/(_xlfn.XLOOKUP($B62,[1]data!$C$2:$C$201,[1]data!W$2:W$201)*1000000)</f>
        <v>53156.725203419548</v>
      </c>
      <c r="Q62">
        <f>[4]data!Q62*1000000000/(_xlfn.XLOOKUP($B62,[1]data!$C$2:$C$201,[1]data!X$2:X$201)*1000000)</f>
        <v>57737.391385415773</v>
      </c>
      <c r="R62">
        <f>[4]data!R62*1000000000/(_xlfn.XLOOKUP($B62,[1]data!$C$2:$C$201,[1]data!Y$2:Y$201)*1000000)</f>
        <v>62791.962607567119</v>
      </c>
      <c r="S62">
        <f>[4]data!S62*1000000000/(_xlfn.XLOOKUP($B62,[1]data!$C$2:$C$201,[1]data!Z$2:Z$201)*1000000)</f>
        <v>67990.75545819517</v>
      </c>
      <c r="T62">
        <f>[4]data!T62*1000000000/(_xlfn.XLOOKUP($B62,[1]data!$C$2:$C$201,[1]data!AA$2:AA$201)*1000000)</f>
        <v>73495.648403143554</v>
      </c>
      <c r="U62">
        <f>[4]data!U62*1000000000/(_xlfn.XLOOKUP($B62,[1]data!$C$2:$C$201,[1]data!AB$2:AB$201)*1000000)</f>
        <v>79369.699891278608</v>
      </c>
      <c r="V62">
        <f>[4]data!V62*1000000000/(_xlfn.XLOOKUP($B62,[1]data!$C$2:$C$201,[1]data!AC$2:AC$201)*1000000)</f>
        <v>85506.408674348699</v>
      </c>
      <c r="W62">
        <f>[4]data!W62*1000000000/(_xlfn.XLOOKUP($B62,[1]data!$C$2:$C$201,[1]data!AD$2:AD$201)*1000000)</f>
        <v>91482.026875539901</v>
      </c>
      <c r="X62">
        <f>[4]data!X62*1000000000/(_xlfn.XLOOKUP($B62,[1]data!$C$2:$C$201,[1]data!AE$2:AE$201)*1000000)</f>
        <v>97161.905634477065</v>
      </c>
      <c r="Y62">
        <f>[4]data!Y62*1000000000/(_xlfn.XLOOKUP($B62,[1]data!$C$2:$C$201,[1]data!AF$2:AF$201)*1000000)</f>
        <v>102596.73619479433</v>
      </c>
      <c r="Z62">
        <f>[4]data!Z62*1000000000/(_xlfn.XLOOKUP($B62,[1]data!$C$2:$C$201,[1]data!AG$2:AG$201)*1000000)</f>
        <v>107912.39824773194</v>
      </c>
      <c r="AA62">
        <f>[4]data!AA62*1000000000/(_xlfn.XLOOKUP($B62,[1]data!$C$2:$C$201,[1]data!AH$2:AH$201)*1000000)</f>
        <v>113147.17197618808</v>
      </c>
      <c r="AB62">
        <f>[4]data!AB62*1000000000/(_xlfn.XLOOKUP($B62,[1]data!$C$2:$C$201,[1]data!AI$2:AI$201)*1000000)</f>
        <v>118205.06489515274</v>
      </c>
      <c r="AC62">
        <f>[4]data!AC62*1000000000/(_xlfn.XLOOKUP($B62,[1]data!$C$2:$C$201,[1]data!AJ$2:AJ$201)*1000000)</f>
        <v>122920.40496727731</v>
      </c>
    </row>
    <row r="63" spans="1:29" x14ac:dyDescent="0.25">
      <c r="A63" t="s">
        <v>232</v>
      </c>
      <c r="B63" t="s">
        <v>95</v>
      </c>
      <c r="C63" t="s">
        <v>233</v>
      </c>
      <c r="D63" t="s">
        <v>234</v>
      </c>
      <c r="E63" t="e">
        <f>[4]data!E63*1000000000/(_xlfn.XLOOKUP($B63,[1]data!$C$2:$C$201,[1]data!L$2:L$201)*1000000)</f>
        <v>#VALUE!</v>
      </c>
      <c r="F63" t="e">
        <f>[4]data!F63*1000000000/(_xlfn.XLOOKUP($B63,[1]data!$C$2:$C$201,[1]data!M$2:M$201)*1000000)</f>
        <v>#VALUE!</v>
      </c>
      <c r="G63">
        <f>[4]data!G63*1000000000/(_xlfn.XLOOKUP($B63,[1]data!$C$2:$C$201,[1]data!N$2:N$201)*1000000)</f>
        <v>9923.9846959148163</v>
      </c>
      <c r="H63">
        <f>[4]data!H63*1000000000/(_xlfn.XLOOKUP($B63,[1]data!$C$2:$C$201,[1]data!O$2:O$201)*1000000)</f>
        <v>3082.6586895037271</v>
      </c>
      <c r="I63">
        <f>[4]data!I63*1000000000/(_xlfn.XLOOKUP($B63,[1]data!$C$2:$C$201,[1]data!P$2:P$201)*1000000)</f>
        <v>4632.7411499204109</v>
      </c>
      <c r="J63">
        <f>[4]data!J63*1000000000/(_xlfn.XLOOKUP($B63,[1]data!$C$2:$C$201,[1]data!Q$2:Q$201)*1000000)</f>
        <v>7184.8186844483434</v>
      </c>
      <c r="K63">
        <f>[4]data!K63*1000000000/(_xlfn.XLOOKUP($B63,[1]data!$C$2:$C$201,[1]data!R$2:R$201)*1000000)</f>
        <v>9590.4801522850958</v>
      </c>
      <c r="L63">
        <f>[4]data!L63*1000000000/(_xlfn.XLOOKUP($B63,[1]data!$C$2:$C$201,[1]data!S$2:S$201)*1000000)</f>
        <v>12450.12769008217</v>
      </c>
      <c r="M63">
        <f>[4]data!M63*1000000000/(_xlfn.XLOOKUP($B63,[1]data!$C$2:$C$201,[1]data!T$2:T$201)*1000000)</f>
        <v>13794.182983421075</v>
      </c>
      <c r="N63">
        <f>[4]data!N63*1000000000/(_xlfn.XLOOKUP($B63,[1]data!$C$2:$C$201,[1]data!U$2:U$201)*1000000)</f>
        <v>20436.713196067045</v>
      </c>
      <c r="O63">
        <f>[4]data!O63*1000000000/(_xlfn.XLOOKUP($B63,[1]data!$C$2:$C$201,[1]data!V$2:V$201)*1000000)</f>
        <v>27826.126829960434</v>
      </c>
      <c r="P63">
        <f>[4]data!P63*1000000000/(_xlfn.XLOOKUP($B63,[1]data!$C$2:$C$201,[1]data!W$2:W$201)*1000000)</f>
        <v>36369.29078208861</v>
      </c>
      <c r="Q63">
        <f>[4]data!Q63*1000000000/(_xlfn.XLOOKUP($B63,[1]data!$C$2:$C$201,[1]data!X$2:X$201)*1000000)</f>
        <v>44028.60075437482</v>
      </c>
      <c r="R63">
        <f>[4]data!R63*1000000000/(_xlfn.XLOOKUP($B63,[1]data!$C$2:$C$201,[1]data!Y$2:Y$201)*1000000)</f>
        <v>50559.300129498632</v>
      </c>
      <c r="S63">
        <f>[4]data!S63*1000000000/(_xlfn.XLOOKUP($B63,[1]data!$C$2:$C$201,[1]data!Z$2:Z$201)*1000000)</f>
        <v>56218.886029883121</v>
      </c>
      <c r="T63">
        <f>[4]data!T63*1000000000/(_xlfn.XLOOKUP($B63,[1]data!$C$2:$C$201,[1]data!AA$2:AA$201)*1000000)</f>
        <v>61515.163256871252</v>
      </c>
      <c r="U63">
        <f>[4]data!U63*1000000000/(_xlfn.XLOOKUP($B63,[1]data!$C$2:$C$201,[1]data!AB$2:AB$201)*1000000)</f>
        <v>66769.652955519632</v>
      </c>
      <c r="V63">
        <f>[4]data!V63*1000000000/(_xlfn.XLOOKUP($B63,[1]data!$C$2:$C$201,[1]data!AC$2:AC$201)*1000000)</f>
        <v>71859.56070049759</v>
      </c>
      <c r="W63">
        <f>[4]data!W63*1000000000/(_xlfn.XLOOKUP($B63,[1]data!$C$2:$C$201,[1]data!AD$2:AD$201)*1000000)</f>
        <v>76371.417179526441</v>
      </c>
      <c r="X63">
        <f>[4]data!X63*1000000000/(_xlfn.XLOOKUP($B63,[1]data!$C$2:$C$201,[1]data!AE$2:AE$201)*1000000)</f>
        <v>80353.17914708356</v>
      </c>
      <c r="Y63">
        <f>[4]data!Y63*1000000000/(_xlfn.XLOOKUP($B63,[1]data!$C$2:$C$201,[1]data!AF$2:AF$201)*1000000)</f>
        <v>83995.126803501378</v>
      </c>
      <c r="Z63">
        <f>[4]data!Z63*1000000000/(_xlfn.XLOOKUP($B63,[1]data!$C$2:$C$201,[1]data!AG$2:AG$201)*1000000)</f>
        <v>87556.082774590861</v>
      </c>
      <c r="AA63">
        <f>[4]data!AA63*1000000000/(_xlfn.XLOOKUP($B63,[1]data!$C$2:$C$201,[1]data!AH$2:AH$201)*1000000)</f>
        <v>91206.697936374592</v>
      </c>
      <c r="AB63">
        <f>[4]data!AB63*1000000000/(_xlfn.XLOOKUP($B63,[1]data!$C$2:$C$201,[1]data!AI$2:AI$201)*1000000)</f>
        <v>94990.301840536893</v>
      </c>
      <c r="AC63">
        <f>[4]data!AC63*1000000000/(_xlfn.XLOOKUP($B63,[1]data!$C$2:$C$201,[1]data!AJ$2:AJ$201)*1000000)</f>
        <v>98931.586880260365</v>
      </c>
    </row>
    <row r="64" spans="1:29" x14ac:dyDescent="0.25">
      <c r="A64" t="s">
        <v>232</v>
      </c>
      <c r="B64" t="s">
        <v>96</v>
      </c>
      <c r="C64" t="s">
        <v>233</v>
      </c>
      <c r="D64" t="s">
        <v>234</v>
      </c>
      <c r="E64">
        <f>[4]data!E64*1000000000/(_xlfn.XLOOKUP($B64,[1]data!$C$2:$C$201,[1]data!L$2:L$201)*1000000)</f>
        <v>2387.3744310665375</v>
      </c>
      <c r="F64">
        <f>[4]data!F64*1000000000/(_xlfn.XLOOKUP($B64,[1]data!$C$2:$C$201,[1]data!M$2:M$201)*1000000)</f>
        <v>1993.3286735661156</v>
      </c>
      <c r="G64">
        <f>[4]data!G64*1000000000/(_xlfn.XLOOKUP($B64,[1]data!$C$2:$C$201,[1]data!N$2:N$201)*1000000)</f>
        <v>2304.1949176275898</v>
      </c>
      <c r="H64">
        <f>[4]data!H64*1000000000/(_xlfn.XLOOKUP($B64,[1]data!$C$2:$C$201,[1]data!O$2:O$201)*1000000)</f>
        <v>2521.8038121588052</v>
      </c>
      <c r="I64">
        <f>[4]data!I64*1000000000/(_xlfn.XLOOKUP($B64,[1]data!$C$2:$C$201,[1]data!P$2:P$201)*1000000)</f>
        <v>2822.3357899766725</v>
      </c>
      <c r="J64">
        <f>[4]data!J64*1000000000/(_xlfn.XLOOKUP($B64,[1]data!$C$2:$C$201,[1]data!Q$2:Q$201)*1000000)</f>
        <v>3155.3701812139002</v>
      </c>
      <c r="K64">
        <f>[4]data!K64*1000000000/(_xlfn.XLOOKUP($B64,[1]data!$C$2:$C$201,[1]data!R$2:R$201)*1000000)</f>
        <v>3790.6048877420299</v>
      </c>
      <c r="L64">
        <f>[4]data!L64*1000000000/(_xlfn.XLOOKUP($B64,[1]data!$C$2:$C$201,[1]data!S$2:S$201)*1000000)</f>
        <v>4671.4813330184106</v>
      </c>
      <c r="M64">
        <f>[4]data!M64*1000000000/(_xlfn.XLOOKUP($B64,[1]data!$C$2:$C$201,[1]data!T$2:T$201)*1000000)</f>
        <v>5318.2419038038797</v>
      </c>
      <c r="N64">
        <f>[4]data!N64*1000000000/(_xlfn.XLOOKUP($B64,[1]data!$C$2:$C$201,[1]data!U$2:U$201)*1000000)</f>
        <v>5648.89299924021</v>
      </c>
      <c r="O64">
        <f>[4]data!O64*1000000000/(_xlfn.XLOOKUP($B64,[1]data!$C$2:$C$201,[1]data!V$2:V$201)*1000000)</f>
        <v>6600.3547011018181</v>
      </c>
      <c r="P64">
        <f>[4]data!P64*1000000000/(_xlfn.XLOOKUP($B64,[1]data!$C$2:$C$201,[1]data!W$2:W$201)*1000000)</f>
        <v>7743.5702026505278</v>
      </c>
      <c r="Q64">
        <f>[4]data!Q64*1000000000/(_xlfn.XLOOKUP($B64,[1]data!$C$2:$C$201,[1]data!X$2:X$201)*1000000)</f>
        <v>8980.4316678552041</v>
      </c>
      <c r="R64">
        <f>[4]data!R64*1000000000/(_xlfn.XLOOKUP($B64,[1]data!$C$2:$C$201,[1]data!Y$2:Y$201)*1000000)</f>
        <v>10384.524272408724</v>
      </c>
      <c r="S64">
        <f>[4]data!S64*1000000000/(_xlfn.XLOOKUP($B64,[1]data!$C$2:$C$201,[1]data!Z$2:Z$201)*1000000)</f>
        <v>12008.21943946377</v>
      </c>
      <c r="T64">
        <f>[4]data!T64*1000000000/(_xlfn.XLOOKUP($B64,[1]data!$C$2:$C$201,[1]data!AA$2:AA$201)*1000000)</f>
        <v>13936.020779049652</v>
      </c>
      <c r="U64">
        <f>[4]data!U64*1000000000/(_xlfn.XLOOKUP($B64,[1]data!$C$2:$C$201,[1]data!AB$2:AB$201)*1000000)</f>
        <v>16192.581535493053</v>
      </c>
      <c r="V64">
        <f>[4]data!V64*1000000000/(_xlfn.XLOOKUP($B64,[1]data!$C$2:$C$201,[1]data!AC$2:AC$201)*1000000)</f>
        <v>18821.074342786222</v>
      </c>
      <c r="W64">
        <f>[4]data!W64*1000000000/(_xlfn.XLOOKUP($B64,[1]data!$C$2:$C$201,[1]data!AD$2:AD$201)*1000000)</f>
        <v>21742.324087414479</v>
      </c>
      <c r="X64">
        <f>[4]data!X64*1000000000/(_xlfn.XLOOKUP($B64,[1]data!$C$2:$C$201,[1]data!AE$2:AE$201)*1000000)</f>
        <v>25010.683840887701</v>
      </c>
      <c r="Y64">
        <f>[4]data!Y64*1000000000/(_xlfn.XLOOKUP($B64,[1]data!$C$2:$C$201,[1]data!AF$2:AF$201)*1000000)</f>
        <v>28651.459702527336</v>
      </c>
      <c r="Z64">
        <f>[4]data!Z64*1000000000/(_xlfn.XLOOKUP($B64,[1]data!$C$2:$C$201,[1]data!AG$2:AG$201)*1000000)</f>
        <v>32684.298900716683</v>
      </c>
      <c r="AA64">
        <f>[4]data!AA64*1000000000/(_xlfn.XLOOKUP($B64,[1]data!$C$2:$C$201,[1]data!AH$2:AH$201)*1000000)</f>
        <v>37117.992107470636</v>
      </c>
      <c r="AB64">
        <f>[4]data!AB64*1000000000/(_xlfn.XLOOKUP($B64,[1]data!$C$2:$C$201,[1]data!AI$2:AI$201)*1000000)</f>
        <v>41958.032153470289</v>
      </c>
      <c r="AC64">
        <f>[4]data!AC64*1000000000/(_xlfn.XLOOKUP($B64,[1]data!$C$2:$C$201,[1]data!AJ$2:AJ$201)*1000000)</f>
        <v>47218.983566878116</v>
      </c>
    </row>
    <row r="65" spans="1:29" x14ac:dyDescent="0.25">
      <c r="A65" t="s">
        <v>232</v>
      </c>
      <c r="B65" t="s">
        <v>97</v>
      </c>
      <c r="C65" t="s">
        <v>233</v>
      </c>
      <c r="D65" t="s">
        <v>234</v>
      </c>
      <c r="E65">
        <f>[4]data!E65*1000000000/(_xlfn.XLOOKUP($B65,[1]data!$C$2:$C$201,[1]data!L$2:L$201)*1000000)</f>
        <v>1432.0767759803502</v>
      </c>
      <c r="F65">
        <f>[4]data!F65*1000000000/(_xlfn.XLOOKUP($B65,[1]data!$C$2:$C$201,[1]data!M$2:M$201)*1000000)</f>
        <v>1426.4438450365199</v>
      </c>
      <c r="G65">
        <f>[4]data!G65*1000000000/(_xlfn.XLOOKUP($B65,[1]data!$C$2:$C$201,[1]data!N$2:N$201)*1000000)</f>
        <v>1540.6581699475742</v>
      </c>
      <c r="H65">
        <f>[4]data!H65*1000000000/(_xlfn.XLOOKUP($B65,[1]data!$C$2:$C$201,[1]data!O$2:O$201)*1000000)</f>
        <v>1575.659320077614</v>
      </c>
      <c r="I65">
        <f>[4]data!I65*1000000000/(_xlfn.XLOOKUP($B65,[1]data!$C$2:$C$201,[1]data!P$2:P$201)*1000000)</f>
        <v>1700.0369099699274</v>
      </c>
      <c r="J65">
        <f>[4]data!J65*1000000000/(_xlfn.XLOOKUP($B65,[1]data!$C$2:$C$201,[1]data!Q$2:Q$201)*1000000)</f>
        <v>1805.4642036751329</v>
      </c>
      <c r="K65">
        <f>[4]data!K65*1000000000/(_xlfn.XLOOKUP($B65,[1]data!$C$2:$C$201,[1]data!R$2:R$201)*1000000)</f>
        <v>1879.7072532117761</v>
      </c>
      <c r="L65">
        <f>[4]data!L65*1000000000/(_xlfn.XLOOKUP($B65,[1]data!$C$2:$C$201,[1]data!S$2:S$201)*1000000)</f>
        <v>2080.0730887363416</v>
      </c>
      <c r="M65">
        <f>[4]data!M65*1000000000/(_xlfn.XLOOKUP($B65,[1]data!$C$2:$C$201,[1]data!T$2:T$201)*1000000)</f>
        <v>2631.3662674566517</v>
      </c>
      <c r="N65">
        <f>[4]data!N65*1000000000/(_xlfn.XLOOKUP($B65,[1]data!$C$2:$C$201,[1]data!U$2:U$201)*1000000)</f>
        <v>3038.457048245215</v>
      </c>
      <c r="O65">
        <f>[4]data!O65*1000000000/(_xlfn.XLOOKUP($B65,[1]data!$C$2:$C$201,[1]data!V$2:V$201)*1000000)</f>
        <v>3600.5518587645784</v>
      </c>
      <c r="P65">
        <f>[4]data!P65*1000000000/(_xlfn.XLOOKUP($B65,[1]data!$C$2:$C$201,[1]data!W$2:W$201)*1000000)</f>
        <v>4461.7512330502086</v>
      </c>
      <c r="Q65">
        <f>[4]data!Q65*1000000000/(_xlfn.XLOOKUP($B65,[1]data!$C$2:$C$201,[1]data!X$2:X$201)*1000000)</f>
        <v>5556.029033935446</v>
      </c>
      <c r="R65">
        <f>[4]data!R65*1000000000/(_xlfn.XLOOKUP($B65,[1]data!$C$2:$C$201,[1]data!Y$2:Y$201)*1000000)</f>
        <v>6900.5954516250604</v>
      </c>
      <c r="S65">
        <f>[4]data!S65*1000000000/(_xlfn.XLOOKUP($B65,[1]data!$C$2:$C$201,[1]data!Z$2:Z$201)*1000000)</f>
        <v>8508.6563253581826</v>
      </c>
      <c r="T65">
        <f>[4]data!T65*1000000000/(_xlfn.XLOOKUP($B65,[1]data!$C$2:$C$201,[1]data!AA$2:AA$201)*1000000)</f>
        <v>10400.083504382381</v>
      </c>
      <c r="U65">
        <f>[4]data!U65*1000000000/(_xlfn.XLOOKUP($B65,[1]data!$C$2:$C$201,[1]data!AB$2:AB$201)*1000000)</f>
        <v>12614.388159349921</v>
      </c>
      <c r="V65">
        <f>[4]data!V65*1000000000/(_xlfn.XLOOKUP($B65,[1]data!$C$2:$C$201,[1]data!AC$2:AC$201)*1000000)</f>
        <v>15199.147149646491</v>
      </c>
      <c r="W65">
        <f>[4]data!W65*1000000000/(_xlfn.XLOOKUP($B65,[1]data!$C$2:$C$201,[1]data!AD$2:AD$201)*1000000)</f>
        <v>18146.70720358556</v>
      </c>
      <c r="X65">
        <f>[4]data!X65*1000000000/(_xlfn.XLOOKUP($B65,[1]data!$C$2:$C$201,[1]data!AE$2:AE$201)*1000000)</f>
        <v>21523.735508098598</v>
      </c>
      <c r="Y65">
        <f>[4]data!Y65*1000000000/(_xlfn.XLOOKUP($B65,[1]data!$C$2:$C$201,[1]data!AF$2:AF$201)*1000000)</f>
        <v>25304.884244891666</v>
      </c>
      <c r="Z65">
        <f>[4]data!Z65*1000000000/(_xlfn.XLOOKUP($B65,[1]data!$C$2:$C$201,[1]data!AG$2:AG$201)*1000000)</f>
        <v>29552.507655192865</v>
      </c>
      <c r="AA65">
        <f>[4]data!AA65*1000000000/(_xlfn.XLOOKUP($B65,[1]data!$C$2:$C$201,[1]data!AH$2:AH$201)*1000000)</f>
        <v>34249.166368623402</v>
      </c>
      <c r="AB65">
        <f>[4]data!AB65*1000000000/(_xlfn.XLOOKUP($B65,[1]data!$C$2:$C$201,[1]data!AI$2:AI$201)*1000000)</f>
        <v>39430.178062934174</v>
      </c>
      <c r="AC65">
        <f>[4]data!AC65*1000000000/(_xlfn.XLOOKUP($B65,[1]data!$C$2:$C$201,[1]data!AJ$2:AJ$201)*1000000)</f>
        <v>45111.110106085907</v>
      </c>
    </row>
    <row r="66" spans="1:29" x14ac:dyDescent="0.25">
      <c r="A66" t="s">
        <v>232</v>
      </c>
      <c r="B66" t="s">
        <v>99</v>
      </c>
      <c r="C66" t="s">
        <v>233</v>
      </c>
      <c r="D66" t="s">
        <v>234</v>
      </c>
      <c r="E66">
        <f>[4]data!E66*1000000000/(_xlfn.XLOOKUP($B66,[1]data!$C$2:$C$201,[1]data!L$2:L$201)*1000000)</f>
        <v>2248.0306379798863</v>
      </c>
      <c r="F66">
        <f>[4]data!F66*1000000000/(_xlfn.XLOOKUP($B66,[1]data!$C$2:$C$201,[1]data!M$2:M$201)*1000000)</f>
        <v>2245.8805600533383</v>
      </c>
      <c r="G66">
        <f>[4]data!G66*1000000000/(_xlfn.XLOOKUP($B66,[1]data!$C$2:$C$201,[1]data!N$2:N$201)*1000000)</f>
        <v>2183.2951505213528</v>
      </c>
      <c r="H66">
        <f>[4]data!H66*1000000000/(_xlfn.XLOOKUP($B66,[1]data!$C$2:$C$201,[1]data!O$2:O$201)*1000000)</f>
        <v>1959.7027997738485</v>
      </c>
      <c r="I66">
        <f>[4]data!I66*1000000000/(_xlfn.XLOOKUP($B66,[1]data!$C$2:$C$201,[1]data!P$2:P$201)*1000000)</f>
        <v>2112.6848042505949</v>
      </c>
      <c r="J66">
        <f>[4]data!J66*1000000000/(_xlfn.XLOOKUP($B66,[1]data!$C$2:$C$201,[1]data!Q$2:Q$201)*1000000)</f>
        <v>2091.698900119397</v>
      </c>
      <c r="K66">
        <f>[4]data!K66*1000000000/(_xlfn.XLOOKUP($B66,[1]data!$C$2:$C$201,[1]data!R$2:R$201)*1000000)</f>
        <v>2206.4417224553263</v>
      </c>
      <c r="L66">
        <f>[4]data!L66*1000000000/(_xlfn.XLOOKUP($B66,[1]data!$C$2:$C$201,[1]data!S$2:S$201)*1000000)</f>
        <v>1933.4241589550427</v>
      </c>
      <c r="M66">
        <f>[4]data!M66*1000000000/(_xlfn.XLOOKUP($B66,[1]data!$C$2:$C$201,[1]data!T$2:T$201)*1000000)</f>
        <v>2069.2407227254266</v>
      </c>
      <c r="N66">
        <f>[4]data!N66*1000000000/(_xlfn.XLOOKUP($B66,[1]data!$C$2:$C$201,[1]data!U$2:U$201)*1000000)</f>
        <v>2421.7785111225521</v>
      </c>
      <c r="O66">
        <f>[4]data!O66*1000000000/(_xlfn.XLOOKUP($B66,[1]data!$C$2:$C$201,[1]data!V$2:V$201)*1000000)</f>
        <v>2832.8800308667355</v>
      </c>
      <c r="P66">
        <f>[4]data!P66*1000000000/(_xlfn.XLOOKUP($B66,[1]data!$C$2:$C$201,[1]data!W$2:W$201)*1000000)</f>
        <v>3444.6440101764192</v>
      </c>
      <c r="Q66">
        <f>[4]data!Q66*1000000000/(_xlfn.XLOOKUP($B66,[1]data!$C$2:$C$201,[1]data!X$2:X$201)*1000000)</f>
        <v>4109.6023512703832</v>
      </c>
      <c r="R66">
        <f>[4]data!R66*1000000000/(_xlfn.XLOOKUP($B66,[1]data!$C$2:$C$201,[1]data!Y$2:Y$201)*1000000)</f>
        <v>4875.2081323332604</v>
      </c>
      <c r="S66">
        <f>[4]data!S66*1000000000/(_xlfn.XLOOKUP($B66,[1]data!$C$2:$C$201,[1]data!Z$2:Z$201)*1000000)</f>
        <v>5790.2829112293057</v>
      </c>
      <c r="T66">
        <f>[4]data!T66*1000000000/(_xlfn.XLOOKUP($B66,[1]data!$C$2:$C$201,[1]data!AA$2:AA$201)*1000000)</f>
        <v>6885.8118519673808</v>
      </c>
      <c r="U66">
        <f>[4]data!U66*1000000000/(_xlfn.XLOOKUP($B66,[1]data!$C$2:$C$201,[1]data!AB$2:AB$201)*1000000)</f>
        <v>8195.3161209635928</v>
      </c>
      <c r="V66">
        <f>[4]data!V66*1000000000/(_xlfn.XLOOKUP($B66,[1]data!$C$2:$C$201,[1]data!AC$2:AC$201)*1000000)</f>
        <v>9728.590687183425</v>
      </c>
      <c r="W66">
        <f>[4]data!W66*1000000000/(_xlfn.XLOOKUP($B66,[1]data!$C$2:$C$201,[1]data!AD$2:AD$201)*1000000)</f>
        <v>11497.307586075307</v>
      </c>
      <c r="X66">
        <f>[4]data!X66*1000000000/(_xlfn.XLOOKUP($B66,[1]data!$C$2:$C$201,[1]data!AE$2:AE$201)*1000000)</f>
        <v>13528.791899248416</v>
      </c>
      <c r="Y66">
        <f>[4]data!Y66*1000000000/(_xlfn.XLOOKUP($B66,[1]data!$C$2:$C$201,[1]data!AF$2:AF$201)*1000000)</f>
        <v>15833.243646372261</v>
      </c>
      <c r="Z66">
        <f>[4]data!Z66*1000000000/(_xlfn.XLOOKUP($B66,[1]data!$C$2:$C$201,[1]data!AG$2:AG$201)*1000000)</f>
        <v>18407.058480193005</v>
      </c>
      <c r="AA66">
        <f>[4]data!AA66*1000000000/(_xlfn.XLOOKUP($B66,[1]data!$C$2:$C$201,[1]data!AH$2:AH$201)*1000000)</f>
        <v>21265.942419321229</v>
      </c>
      <c r="AB66">
        <f>[4]data!AB66*1000000000/(_xlfn.XLOOKUP($B66,[1]data!$C$2:$C$201,[1]data!AI$2:AI$201)*1000000)</f>
        <v>24420.102917753629</v>
      </c>
      <c r="AC66">
        <f>[4]data!AC66*1000000000/(_xlfn.XLOOKUP($B66,[1]data!$C$2:$C$201,[1]data!AJ$2:AJ$201)*1000000)</f>
        <v>27914.386118070935</v>
      </c>
    </row>
    <row r="67" spans="1:29" x14ac:dyDescent="0.25">
      <c r="A67" t="s">
        <v>232</v>
      </c>
      <c r="B67" t="s">
        <v>100</v>
      </c>
      <c r="C67" t="s">
        <v>233</v>
      </c>
      <c r="D67" t="s">
        <v>234</v>
      </c>
      <c r="E67">
        <f>[4]data!E67*1000000000/(_xlfn.XLOOKUP($B67,[1]data!$C$2:$C$201,[1]data!L$2:L$201)*1000000)</f>
        <v>1669.4512678624692</v>
      </c>
      <c r="F67">
        <f>[4]data!F67*1000000000/(_xlfn.XLOOKUP($B67,[1]data!$C$2:$C$201,[1]data!M$2:M$201)*1000000)</f>
        <v>1699.0771738814008</v>
      </c>
      <c r="G67">
        <f>[4]data!G67*1000000000/(_xlfn.XLOOKUP($B67,[1]data!$C$2:$C$201,[1]data!N$2:N$201)*1000000)</f>
        <v>1802.4722032424377</v>
      </c>
      <c r="H67">
        <f>[4]data!H67*1000000000/(_xlfn.XLOOKUP($B67,[1]data!$C$2:$C$201,[1]data!O$2:O$201)*1000000)</f>
        <v>1909.317077099761</v>
      </c>
      <c r="I67">
        <f>[4]data!I67*1000000000/(_xlfn.XLOOKUP($B67,[1]data!$C$2:$C$201,[1]data!P$2:P$201)*1000000)</f>
        <v>1744.6539486270017</v>
      </c>
      <c r="J67">
        <f>[4]data!J67*1000000000/(_xlfn.XLOOKUP($B67,[1]data!$C$2:$C$201,[1]data!Q$2:Q$201)*1000000)</f>
        <v>1820.2353693814382</v>
      </c>
      <c r="K67">
        <f>[4]data!K67*1000000000/(_xlfn.XLOOKUP($B67,[1]data!$C$2:$C$201,[1]data!R$2:R$201)*1000000)</f>
        <v>1909.8551522885632</v>
      </c>
      <c r="L67">
        <f>[4]data!L67*1000000000/(_xlfn.XLOOKUP($B67,[1]data!$C$2:$C$201,[1]data!S$2:S$201)*1000000)</f>
        <v>1966.265573252537</v>
      </c>
      <c r="M67">
        <f>[4]data!M67*1000000000/(_xlfn.XLOOKUP($B67,[1]data!$C$2:$C$201,[1]data!T$2:T$201)*1000000)</f>
        <v>2115.7807497308486</v>
      </c>
      <c r="N67">
        <f>[4]data!N67*1000000000/(_xlfn.XLOOKUP($B67,[1]data!$C$2:$C$201,[1]data!U$2:U$201)*1000000)</f>
        <v>2432.132258628139</v>
      </c>
      <c r="O67">
        <f>[4]data!O67*1000000000/(_xlfn.XLOOKUP($B67,[1]data!$C$2:$C$201,[1]data!V$2:V$201)*1000000)</f>
        <v>2808.2172664220961</v>
      </c>
      <c r="P67">
        <f>[4]data!P67*1000000000/(_xlfn.XLOOKUP($B67,[1]data!$C$2:$C$201,[1]data!W$2:W$201)*1000000)</f>
        <v>3283.2492120825209</v>
      </c>
      <c r="Q67">
        <f>[4]data!Q67*1000000000/(_xlfn.XLOOKUP($B67,[1]data!$C$2:$C$201,[1]data!X$2:X$201)*1000000)</f>
        <v>3847.8166579896815</v>
      </c>
      <c r="R67">
        <f>[4]data!R67*1000000000/(_xlfn.XLOOKUP($B67,[1]data!$C$2:$C$201,[1]data!Y$2:Y$201)*1000000)</f>
        <v>4545.8085773656376</v>
      </c>
      <c r="S67">
        <f>[4]data!S67*1000000000/(_xlfn.XLOOKUP($B67,[1]data!$C$2:$C$201,[1]data!Z$2:Z$201)*1000000)</f>
        <v>5416.4248661569936</v>
      </c>
      <c r="T67">
        <f>[4]data!T67*1000000000/(_xlfn.XLOOKUP($B67,[1]data!$C$2:$C$201,[1]data!AA$2:AA$201)*1000000)</f>
        <v>6496.6605225968269</v>
      </c>
      <c r="U67">
        <f>[4]data!U67*1000000000/(_xlfn.XLOOKUP($B67,[1]data!$C$2:$C$201,[1]data!AB$2:AB$201)*1000000)</f>
        <v>7816.9464198312844</v>
      </c>
      <c r="V67">
        <f>[4]data!V67*1000000000/(_xlfn.XLOOKUP($B67,[1]data!$C$2:$C$201,[1]data!AC$2:AC$201)*1000000)</f>
        <v>9412.5266443553755</v>
      </c>
      <c r="W67">
        <f>[4]data!W67*1000000000/(_xlfn.XLOOKUP($B67,[1]data!$C$2:$C$201,[1]data!AD$2:AD$201)*1000000)</f>
        <v>11310.405196687487</v>
      </c>
      <c r="X67">
        <f>[4]data!X67*1000000000/(_xlfn.XLOOKUP($B67,[1]data!$C$2:$C$201,[1]data!AE$2:AE$201)*1000000)</f>
        <v>13549.035340288885</v>
      </c>
      <c r="Y67">
        <f>[4]data!Y67*1000000000/(_xlfn.XLOOKUP($B67,[1]data!$C$2:$C$201,[1]data!AF$2:AF$201)*1000000)</f>
        <v>16145.02375352737</v>
      </c>
      <c r="Z67">
        <f>[4]data!Z67*1000000000/(_xlfn.XLOOKUP($B67,[1]data!$C$2:$C$201,[1]data!AG$2:AG$201)*1000000)</f>
        <v>19109.813280830036</v>
      </c>
      <c r="AA67">
        <f>[4]data!AA67*1000000000/(_xlfn.XLOOKUP($B67,[1]data!$C$2:$C$201,[1]data!AH$2:AH$201)*1000000)</f>
        <v>22483.250099444711</v>
      </c>
      <c r="AB67">
        <f>[4]data!AB67*1000000000/(_xlfn.XLOOKUP($B67,[1]data!$C$2:$C$201,[1]data!AI$2:AI$201)*1000000)</f>
        <v>26307.7325525413</v>
      </c>
      <c r="AC67">
        <f>[4]data!AC67*1000000000/(_xlfn.XLOOKUP($B67,[1]data!$C$2:$C$201,[1]data!AJ$2:AJ$201)*1000000)</f>
        <v>30647.393650626436</v>
      </c>
    </row>
    <row r="68" spans="1:29" x14ac:dyDescent="0.25">
      <c r="A68" t="s">
        <v>232</v>
      </c>
      <c r="B68" t="s">
        <v>101</v>
      </c>
      <c r="C68" t="s">
        <v>233</v>
      </c>
      <c r="D68" t="s">
        <v>234</v>
      </c>
      <c r="E68">
        <f>[4]data!E68*1000000000/(_xlfn.XLOOKUP($B68,[1]data!$C$2:$C$201,[1]data!L$2:L$201)*1000000)</f>
        <v>775.97558726864486</v>
      </c>
      <c r="F68">
        <f>[4]data!F68*1000000000/(_xlfn.XLOOKUP($B68,[1]data!$C$2:$C$201,[1]data!M$2:M$201)*1000000)</f>
        <v>753.89324411230768</v>
      </c>
      <c r="G68">
        <f>[4]data!G68*1000000000/(_xlfn.XLOOKUP($B68,[1]data!$C$2:$C$201,[1]data!N$2:N$201)*1000000)</f>
        <v>644.86044719931374</v>
      </c>
      <c r="H68">
        <f>[4]data!H68*1000000000/(_xlfn.XLOOKUP($B68,[1]data!$C$2:$C$201,[1]data!O$2:O$201)*1000000)</f>
        <v>1148.2786953787088</v>
      </c>
      <c r="I68">
        <f>[4]data!I68*1000000000/(_xlfn.XLOOKUP($B68,[1]data!$C$2:$C$201,[1]data!P$2:P$201)*1000000)</f>
        <v>11889.999071797929</v>
      </c>
      <c r="J68">
        <f>[4]data!J68*1000000000/(_xlfn.XLOOKUP($B68,[1]data!$C$2:$C$201,[1]data!Q$2:Q$201)*1000000)</f>
        <v>29053.6238778558</v>
      </c>
      <c r="K68">
        <f>[4]data!K68*1000000000/(_xlfn.XLOOKUP($B68,[1]data!$C$2:$C$201,[1]data!R$2:R$201)*1000000)</f>
        <v>30668.923736854809</v>
      </c>
      <c r="L68">
        <f>[4]data!L68*1000000000/(_xlfn.XLOOKUP($B68,[1]data!$C$2:$C$201,[1]data!S$2:S$201)*1000000)</f>
        <v>25046.291179467455</v>
      </c>
      <c r="M68">
        <f>[4]data!M68*1000000000/(_xlfn.XLOOKUP($B68,[1]data!$C$2:$C$201,[1]data!T$2:T$201)*1000000)</f>
        <v>15214.424556059312</v>
      </c>
      <c r="N68">
        <f>[4]data!N68*1000000000/(_xlfn.XLOOKUP($B68,[1]data!$C$2:$C$201,[1]data!U$2:U$201)*1000000)</f>
        <v>11733.624134729045</v>
      </c>
      <c r="O68">
        <f>[4]data!O68*1000000000/(_xlfn.XLOOKUP($B68,[1]data!$C$2:$C$201,[1]data!V$2:V$201)*1000000)</f>
        <v>10197.926137367398</v>
      </c>
      <c r="P68">
        <f>[4]data!P68*1000000000/(_xlfn.XLOOKUP($B68,[1]data!$C$2:$C$201,[1]data!W$2:W$201)*1000000)</f>
        <v>10871.460768806821</v>
      </c>
      <c r="Q68">
        <f>[4]data!Q68*1000000000/(_xlfn.XLOOKUP($B68,[1]data!$C$2:$C$201,[1]data!X$2:X$201)*1000000)</f>
        <v>11868.078390966883</v>
      </c>
      <c r="R68">
        <f>[4]data!R68*1000000000/(_xlfn.XLOOKUP($B68,[1]data!$C$2:$C$201,[1]data!Y$2:Y$201)*1000000)</f>
        <v>13170.193363092254</v>
      </c>
      <c r="S68">
        <f>[4]data!S68*1000000000/(_xlfn.XLOOKUP($B68,[1]data!$C$2:$C$201,[1]data!Z$2:Z$201)*1000000)</f>
        <v>14802.086024552251</v>
      </c>
      <c r="T68">
        <f>[4]data!T68*1000000000/(_xlfn.XLOOKUP($B68,[1]data!$C$2:$C$201,[1]data!AA$2:AA$201)*1000000)</f>
        <v>16798.683015277922</v>
      </c>
      <c r="U68">
        <f>[4]data!U68*1000000000/(_xlfn.XLOOKUP($B68,[1]data!$C$2:$C$201,[1]data!AB$2:AB$201)*1000000)</f>
        <v>19200.93010557364</v>
      </c>
      <c r="V68">
        <f>[4]data!V68*1000000000/(_xlfn.XLOOKUP($B68,[1]data!$C$2:$C$201,[1]data!AC$2:AC$201)*1000000)</f>
        <v>22002.734067721209</v>
      </c>
      <c r="W68">
        <f>[4]data!W68*1000000000/(_xlfn.XLOOKUP($B68,[1]data!$C$2:$C$201,[1]data!AD$2:AD$201)*1000000)</f>
        <v>25121.822431714572</v>
      </c>
      <c r="X68">
        <f>[4]data!X68*1000000000/(_xlfn.XLOOKUP($B68,[1]data!$C$2:$C$201,[1]data!AE$2:AE$201)*1000000)</f>
        <v>28606.020347283378</v>
      </c>
      <c r="Y68">
        <f>[4]data!Y68*1000000000/(_xlfn.XLOOKUP($B68,[1]data!$C$2:$C$201,[1]data!AF$2:AF$201)*1000000)</f>
        <v>32518.642784054522</v>
      </c>
      <c r="Z68">
        <f>[4]data!Z68*1000000000/(_xlfn.XLOOKUP($B68,[1]data!$C$2:$C$201,[1]data!AG$2:AG$201)*1000000)</f>
        <v>36816.199926759436</v>
      </c>
      <c r="AA68">
        <f>[4]data!AA68*1000000000/(_xlfn.XLOOKUP($B68,[1]data!$C$2:$C$201,[1]data!AH$2:AH$201)*1000000)</f>
        <v>41499.690174429779</v>
      </c>
      <c r="AB68">
        <f>[4]data!AB68*1000000000/(_xlfn.XLOOKUP($B68,[1]data!$C$2:$C$201,[1]data!AI$2:AI$201)*1000000)</f>
        <v>46570.686132331291</v>
      </c>
      <c r="AC68">
        <f>[4]data!AC68*1000000000/(_xlfn.XLOOKUP($B68,[1]data!$C$2:$C$201,[1]data!AJ$2:AJ$201)*1000000)</f>
        <v>52108.6064519746</v>
      </c>
    </row>
    <row r="69" spans="1:29" x14ac:dyDescent="0.25">
      <c r="A69" t="s">
        <v>232</v>
      </c>
      <c r="B69" t="s">
        <v>102</v>
      </c>
      <c r="C69" t="s">
        <v>233</v>
      </c>
      <c r="D69" t="s">
        <v>234</v>
      </c>
      <c r="E69">
        <f>[4]data!E69*1000000000/(_xlfn.XLOOKUP($B69,[1]data!$C$2:$C$201,[1]data!L$2:L$201)*1000000)</f>
        <v>24976.866465455369</v>
      </c>
      <c r="F69">
        <f>[4]data!F69*1000000000/(_xlfn.XLOOKUP($B69,[1]data!$C$2:$C$201,[1]data!M$2:M$201)*1000000)</f>
        <v>23758.504566833792</v>
      </c>
      <c r="G69">
        <f>[4]data!G69*1000000000/(_xlfn.XLOOKUP($B69,[1]data!$C$2:$C$201,[1]data!N$2:N$201)*1000000)</f>
        <v>24120.010131287527</v>
      </c>
      <c r="H69">
        <f>[4]data!H69*1000000000/(_xlfn.XLOOKUP($B69,[1]data!$C$2:$C$201,[1]data!O$2:O$201)*1000000)</f>
        <v>24625.84703067975</v>
      </c>
      <c r="I69">
        <f>[4]data!I69*1000000000/(_xlfn.XLOOKUP($B69,[1]data!$C$2:$C$201,[1]data!P$2:P$201)*1000000)</f>
        <v>27054.785600512147</v>
      </c>
      <c r="J69">
        <f>[4]data!J69*1000000000/(_xlfn.XLOOKUP($B69,[1]data!$C$2:$C$201,[1]data!Q$2:Q$201)*1000000)</f>
        <v>32451.765964109894</v>
      </c>
      <c r="K69">
        <f>[4]data!K69*1000000000/(_xlfn.XLOOKUP($B69,[1]data!$C$2:$C$201,[1]data!R$2:R$201)*1000000)</f>
        <v>32123.152345450293</v>
      </c>
      <c r="L69">
        <f>[4]data!L69*1000000000/(_xlfn.XLOOKUP($B69,[1]data!$C$2:$C$201,[1]data!S$2:S$201)*1000000)</f>
        <v>26722.396039428535</v>
      </c>
      <c r="M69">
        <f>[4]data!M69*1000000000/(_xlfn.XLOOKUP($B69,[1]data!$C$2:$C$201,[1]data!T$2:T$201)*1000000)</f>
        <v>26018.21338484134</v>
      </c>
      <c r="N69">
        <f>[4]data!N69*1000000000/(_xlfn.XLOOKUP($B69,[1]data!$C$2:$C$201,[1]data!U$2:U$201)*1000000)</f>
        <v>32500.921896325788</v>
      </c>
      <c r="O69">
        <f>[4]data!O69*1000000000/(_xlfn.XLOOKUP($B69,[1]data!$C$2:$C$201,[1]data!V$2:V$201)*1000000)</f>
        <v>36522.454387466591</v>
      </c>
      <c r="P69">
        <f>[4]data!P69*1000000000/(_xlfn.XLOOKUP($B69,[1]data!$C$2:$C$201,[1]data!W$2:W$201)*1000000)</f>
        <v>39954.630516685946</v>
      </c>
      <c r="Q69">
        <f>[4]data!Q69*1000000000/(_xlfn.XLOOKUP($B69,[1]data!$C$2:$C$201,[1]data!X$2:X$201)*1000000)</f>
        <v>43720.455997692188</v>
      </c>
      <c r="R69">
        <f>[4]data!R69*1000000000/(_xlfn.XLOOKUP($B69,[1]data!$C$2:$C$201,[1]data!Y$2:Y$201)*1000000)</f>
        <v>47471.254244070253</v>
      </c>
      <c r="S69">
        <f>[4]data!S69*1000000000/(_xlfn.XLOOKUP($B69,[1]data!$C$2:$C$201,[1]data!Z$2:Z$201)*1000000)</f>
        <v>51144.060186304581</v>
      </c>
      <c r="T69">
        <f>[4]data!T69*1000000000/(_xlfn.XLOOKUP($B69,[1]data!$C$2:$C$201,[1]data!AA$2:AA$201)*1000000)</f>
        <v>54979.008878090128</v>
      </c>
      <c r="U69">
        <f>[4]data!U69*1000000000/(_xlfn.XLOOKUP($B69,[1]data!$C$2:$C$201,[1]data!AB$2:AB$201)*1000000)</f>
        <v>58930.61946594614</v>
      </c>
      <c r="V69">
        <f>[4]data!V69*1000000000/(_xlfn.XLOOKUP($B69,[1]data!$C$2:$C$201,[1]data!AC$2:AC$201)*1000000)</f>
        <v>62913.487631048687</v>
      </c>
      <c r="W69">
        <f>[4]data!W69*1000000000/(_xlfn.XLOOKUP($B69,[1]data!$C$2:$C$201,[1]data!AD$2:AD$201)*1000000)</f>
        <v>66668.276684529861</v>
      </c>
      <c r="X69">
        <f>[4]data!X69*1000000000/(_xlfn.XLOOKUP($B69,[1]data!$C$2:$C$201,[1]data!AE$2:AE$201)*1000000)</f>
        <v>70137.826466827115</v>
      </c>
      <c r="Y69">
        <f>[4]data!Y69*1000000000/(_xlfn.XLOOKUP($B69,[1]data!$C$2:$C$201,[1]data!AF$2:AF$201)*1000000)</f>
        <v>73326.026988859157</v>
      </c>
      <c r="Z69">
        <f>[4]data!Z69*1000000000/(_xlfn.XLOOKUP($B69,[1]data!$C$2:$C$201,[1]data!AG$2:AG$201)*1000000)</f>
        <v>76334.576887614763</v>
      </c>
      <c r="AA69">
        <f>[4]data!AA69*1000000000/(_xlfn.XLOOKUP($B69,[1]data!$C$2:$C$201,[1]data!AH$2:AH$201)*1000000)</f>
        <v>79255.586195185504</v>
      </c>
      <c r="AB69">
        <f>[4]data!AB69*1000000000/(_xlfn.XLOOKUP($B69,[1]data!$C$2:$C$201,[1]data!AI$2:AI$201)*1000000)</f>
        <v>82132.503980863694</v>
      </c>
      <c r="AC69">
        <f>[4]data!AC69*1000000000/(_xlfn.XLOOKUP($B69,[1]data!$C$2:$C$201,[1]data!AJ$2:AJ$201)*1000000)</f>
        <v>84933.127240129426</v>
      </c>
    </row>
    <row r="70" spans="1:29" x14ac:dyDescent="0.25">
      <c r="A70" t="s">
        <v>232</v>
      </c>
      <c r="B70" t="s">
        <v>103</v>
      </c>
      <c r="C70" t="s">
        <v>233</v>
      </c>
      <c r="D70" t="s">
        <v>234</v>
      </c>
      <c r="E70">
        <f>[4]data!E70*1000000000/(_xlfn.XLOOKUP($B70,[1]data!$C$2:$C$201,[1]data!L$2:L$201)*1000000)</f>
        <v>5689.2378665318502</v>
      </c>
      <c r="F70">
        <f>[4]data!F70*1000000000/(_xlfn.XLOOKUP($B70,[1]data!$C$2:$C$201,[1]data!M$2:M$201)*1000000)</f>
        <v>6470.9297685554666</v>
      </c>
      <c r="G70">
        <f>[4]data!G70*1000000000/(_xlfn.XLOOKUP($B70,[1]data!$C$2:$C$201,[1]data!N$2:N$201)*1000000)</f>
        <v>8535.3478225741292</v>
      </c>
      <c r="H70">
        <f>[4]data!H70*1000000000/(_xlfn.XLOOKUP($B70,[1]data!$C$2:$C$201,[1]data!O$2:O$201)*1000000)</f>
        <v>8373.808421133881</v>
      </c>
      <c r="I70">
        <f>[4]data!I70*1000000000/(_xlfn.XLOOKUP($B70,[1]data!$C$2:$C$201,[1]data!P$2:P$201)*1000000)</f>
        <v>11146.468276563768</v>
      </c>
      <c r="J70">
        <f>[4]data!J70*1000000000/(_xlfn.XLOOKUP($B70,[1]data!$C$2:$C$201,[1]data!Q$2:Q$201)*1000000)</f>
        <v>13567.196643580666</v>
      </c>
      <c r="K70">
        <f>[4]data!K70*1000000000/(_xlfn.XLOOKUP($B70,[1]data!$C$2:$C$201,[1]data!R$2:R$201)*1000000)</f>
        <v>12536.97984037732</v>
      </c>
      <c r="L70">
        <f>[4]data!L70*1000000000/(_xlfn.XLOOKUP($B70,[1]data!$C$2:$C$201,[1]data!S$2:S$201)*1000000)</f>
        <v>14003.798109385551</v>
      </c>
      <c r="M70">
        <f>[4]data!M70*1000000000/(_xlfn.XLOOKUP($B70,[1]data!$C$2:$C$201,[1]data!T$2:T$201)*1000000)</f>
        <v>13225.128084377468</v>
      </c>
      <c r="N70">
        <f>[4]data!N70*1000000000/(_xlfn.XLOOKUP($B70,[1]data!$C$2:$C$201,[1]data!U$2:U$201)*1000000)</f>
        <v>16033.078799784544</v>
      </c>
      <c r="O70">
        <f>[4]data!O70*1000000000/(_xlfn.XLOOKUP($B70,[1]data!$C$2:$C$201,[1]data!V$2:V$201)*1000000)</f>
        <v>18224.97251011862</v>
      </c>
      <c r="P70">
        <f>[4]data!P70*1000000000/(_xlfn.XLOOKUP($B70,[1]data!$C$2:$C$201,[1]data!W$2:W$201)*1000000)</f>
        <v>20884.851107899434</v>
      </c>
      <c r="Q70">
        <f>[4]data!Q70*1000000000/(_xlfn.XLOOKUP($B70,[1]data!$C$2:$C$201,[1]data!X$2:X$201)*1000000)</f>
        <v>23837.855257504143</v>
      </c>
      <c r="R70">
        <f>[4]data!R70*1000000000/(_xlfn.XLOOKUP($B70,[1]data!$C$2:$C$201,[1]data!Y$2:Y$201)*1000000)</f>
        <v>26999.305995134338</v>
      </c>
      <c r="S70">
        <f>[4]data!S70*1000000000/(_xlfn.XLOOKUP($B70,[1]data!$C$2:$C$201,[1]data!Z$2:Z$201)*1000000)</f>
        <v>30470.245652984031</v>
      </c>
      <c r="T70">
        <f>[4]data!T70*1000000000/(_xlfn.XLOOKUP($B70,[1]data!$C$2:$C$201,[1]data!AA$2:AA$201)*1000000)</f>
        <v>34425.212180208684</v>
      </c>
      <c r="U70">
        <f>[4]data!U70*1000000000/(_xlfn.XLOOKUP($B70,[1]data!$C$2:$C$201,[1]data!AB$2:AB$201)*1000000)</f>
        <v>39096.408086578631</v>
      </c>
      <c r="V70">
        <f>[4]data!V70*1000000000/(_xlfn.XLOOKUP($B70,[1]data!$C$2:$C$201,[1]data!AC$2:AC$201)*1000000)</f>
        <v>44526.448382067174</v>
      </c>
      <c r="W70">
        <f>[4]data!W70*1000000000/(_xlfn.XLOOKUP($B70,[1]data!$C$2:$C$201,[1]data!AD$2:AD$201)*1000000)</f>
        <v>50453.231068982052</v>
      </c>
      <c r="X70">
        <f>[4]data!X70*1000000000/(_xlfn.XLOOKUP($B70,[1]data!$C$2:$C$201,[1]data!AE$2:AE$201)*1000000)</f>
        <v>56817.387914230021</v>
      </c>
      <c r="Y70">
        <f>[4]data!Y70*1000000000/(_xlfn.XLOOKUP($B70,[1]data!$C$2:$C$201,[1]data!AF$2:AF$201)*1000000)</f>
        <v>63642.597599136148</v>
      </c>
      <c r="Z70">
        <f>[4]data!Z70*1000000000/(_xlfn.XLOOKUP($B70,[1]data!$C$2:$C$201,[1]data!AG$2:AG$201)*1000000)</f>
        <v>71005.88080400246</v>
      </c>
      <c r="AA70">
        <f>[4]data!AA70*1000000000/(_xlfn.XLOOKUP($B70,[1]data!$C$2:$C$201,[1]data!AH$2:AH$201)*1000000)</f>
        <v>78953.583226317118</v>
      </c>
      <c r="AB70">
        <f>[4]data!AB70*1000000000/(_xlfn.XLOOKUP($B70,[1]data!$C$2:$C$201,[1]data!AI$2:AI$201)*1000000)</f>
        <v>87481.73365008684</v>
      </c>
      <c r="AC70">
        <f>[4]data!AC70*1000000000/(_xlfn.XLOOKUP($B70,[1]data!$C$2:$C$201,[1]data!AJ$2:AJ$201)*1000000)</f>
        <v>96565.250354352771</v>
      </c>
    </row>
    <row r="71" spans="1:29" x14ac:dyDescent="0.25">
      <c r="A71" t="s">
        <v>232</v>
      </c>
      <c r="B71" t="s">
        <v>104</v>
      </c>
      <c r="C71" t="s">
        <v>233</v>
      </c>
      <c r="D71" t="s">
        <v>234</v>
      </c>
      <c r="E71">
        <f>[4]data!E71*1000000000/(_xlfn.XLOOKUP($B71,[1]data!$C$2:$C$201,[1]data!L$2:L$201)*1000000)</f>
        <v>6933.5913720151711</v>
      </c>
      <c r="F71">
        <f>[4]data!F71*1000000000/(_xlfn.XLOOKUP($B71,[1]data!$C$2:$C$201,[1]data!M$2:M$201)*1000000)</f>
        <v>5779.5852662538819</v>
      </c>
      <c r="G71">
        <f>[4]data!G71*1000000000/(_xlfn.XLOOKUP($B71,[1]data!$C$2:$C$201,[1]data!N$2:N$201)*1000000)</f>
        <v>5825.9152238054439</v>
      </c>
      <c r="H71">
        <f>[4]data!H71*1000000000/(_xlfn.XLOOKUP($B71,[1]data!$C$2:$C$201,[1]data!O$2:O$201)*1000000)</f>
        <v>6143.422218437765</v>
      </c>
      <c r="I71">
        <f>[4]data!I71*1000000000/(_xlfn.XLOOKUP($B71,[1]data!$C$2:$C$201,[1]data!P$2:P$201)*1000000)</f>
        <v>6444.3020783675565</v>
      </c>
      <c r="J71">
        <f>[4]data!J71*1000000000/(_xlfn.XLOOKUP($B71,[1]data!$C$2:$C$201,[1]data!Q$2:Q$201)*1000000)</f>
        <v>6729.5766542710535</v>
      </c>
      <c r="K71">
        <f>[4]data!K71*1000000000/(_xlfn.XLOOKUP($B71,[1]data!$C$2:$C$201,[1]data!R$2:R$201)*1000000)</f>
        <v>7264.8675466770974</v>
      </c>
      <c r="L71">
        <f>[4]data!L71*1000000000/(_xlfn.XLOOKUP($B71,[1]data!$C$2:$C$201,[1]data!S$2:S$201)*1000000)</f>
        <v>7976.389141552595</v>
      </c>
      <c r="M71">
        <f>[4]data!M71*1000000000/(_xlfn.XLOOKUP($B71,[1]data!$C$2:$C$201,[1]data!T$2:T$201)*1000000)</f>
        <v>8207.5656477286084</v>
      </c>
      <c r="N71">
        <f>[4]data!N71*1000000000/(_xlfn.XLOOKUP($B71,[1]data!$C$2:$C$201,[1]data!U$2:U$201)*1000000)</f>
        <v>9487.9187698422575</v>
      </c>
      <c r="O71">
        <f>[4]data!O71*1000000000/(_xlfn.XLOOKUP($B71,[1]data!$C$2:$C$201,[1]data!V$2:V$201)*1000000)</f>
        <v>10656.105258562489</v>
      </c>
      <c r="P71">
        <f>[4]data!P71*1000000000/(_xlfn.XLOOKUP($B71,[1]data!$C$2:$C$201,[1]data!W$2:W$201)*1000000)</f>
        <v>12124.569420589911</v>
      </c>
      <c r="Q71">
        <f>[4]data!Q71*1000000000/(_xlfn.XLOOKUP($B71,[1]data!$C$2:$C$201,[1]data!X$2:X$201)*1000000)</f>
        <v>13935.585750937948</v>
      </c>
      <c r="R71">
        <f>[4]data!R71*1000000000/(_xlfn.XLOOKUP($B71,[1]data!$C$2:$C$201,[1]data!Y$2:Y$201)*1000000)</f>
        <v>16122.020707327301</v>
      </c>
      <c r="S71">
        <f>[4]data!S71*1000000000/(_xlfn.XLOOKUP($B71,[1]data!$C$2:$C$201,[1]data!Z$2:Z$201)*1000000)</f>
        <v>18664.575381095507</v>
      </c>
      <c r="T71">
        <f>[4]data!T71*1000000000/(_xlfn.XLOOKUP($B71,[1]data!$C$2:$C$201,[1]data!AA$2:AA$201)*1000000)</f>
        <v>21573.833121478725</v>
      </c>
      <c r="U71">
        <f>[4]data!U71*1000000000/(_xlfn.XLOOKUP($B71,[1]data!$C$2:$C$201,[1]data!AB$2:AB$201)*1000000)</f>
        <v>24820.75413706473</v>
      </c>
      <c r="V71">
        <f>[4]data!V71*1000000000/(_xlfn.XLOOKUP($B71,[1]data!$C$2:$C$201,[1]data!AC$2:AC$201)*1000000)</f>
        <v>28377.444285447596</v>
      </c>
      <c r="W71">
        <f>[4]data!W71*1000000000/(_xlfn.XLOOKUP($B71,[1]data!$C$2:$C$201,[1]data!AD$2:AD$201)*1000000)</f>
        <v>32145.45694998125</v>
      </c>
      <c r="X71">
        <f>[4]data!X71*1000000000/(_xlfn.XLOOKUP($B71,[1]data!$C$2:$C$201,[1]data!AE$2:AE$201)*1000000)</f>
        <v>36169.991302802249</v>
      </c>
      <c r="Y71">
        <f>[4]data!Y71*1000000000/(_xlfn.XLOOKUP($B71,[1]data!$C$2:$C$201,[1]data!AF$2:AF$201)*1000000)</f>
        <v>40427.028334183429</v>
      </c>
      <c r="Z71">
        <f>[4]data!Z71*1000000000/(_xlfn.XLOOKUP($B71,[1]data!$C$2:$C$201,[1]data!AG$2:AG$201)*1000000)</f>
        <v>44895.953997675228</v>
      </c>
      <c r="AA71">
        <f>[4]data!AA71*1000000000/(_xlfn.XLOOKUP($B71,[1]data!$C$2:$C$201,[1]data!AH$2:AH$201)*1000000)</f>
        <v>49614.512566961537</v>
      </c>
      <c r="AB71">
        <f>[4]data!AB71*1000000000/(_xlfn.XLOOKUP($B71,[1]data!$C$2:$C$201,[1]data!AI$2:AI$201)*1000000)</f>
        <v>54593.006336363178</v>
      </c>
      <c r="AC71">
        <f>[4]data!AC71*1000000000/(_xlfn.XLOOKUP($B71,[1]data!$C$2:$C$201,[1]data!AJ$2:AJ$201)*1000000)</f>
        <v>59831.47014949115</v>
      </c>
    </row>
    <row r="72" spans="1:29" x14ac:dyDescent="0.25">
      <c r="A72" t="s">
        <v>232</v>
      </c>
      <c r="B72" t="s">
        <v>105</v>
      </c>
      <c r="C72" t="s">
        <v>233</v>
      </c>
      <c r="D72" t="s">
        <v>234</v>
      </c>
      <c r="E72" t="e">
        <f>[4]data!E72*1000000000/(_xlfn.XLOOKUP($B72,[1]data!$C$2:$C$201,[1]data!L$2:L$201)*1000000)</f>
        <v>#VALUE!</v>
      </c>
      <c r="F72" t="e">
        <f>[4]data!F72*1000000000/(_xlfn.XLOOKUP($B72,[1]data!$C$2:$C$201,[1]data!M$2:M$201)*1000000)</f>
        <v>#VALUE!</v>
      </c>
      <c r="G72" t="e">
        <f>[4]data!G72*1000000000/(_xlfn.XLOOKUP($B72,[1]data!$C$2:$C$201,[1]data!N$2:N$201)*1000000)</f>
        <v>#VALUE!</v>
      </c>
      <c r="H72" t="e">
        <f>[4]data!H72*1000000000/(_xlfn.XLOOKUP($B72,[1]data!$C$2:$C$201,[1]data!O$2:O$201)*1000000)</f>
        <v>#VALUE!</v>
      </c>
      <c r="I72" t="e">
        <f>[4]data!I72*1000000000/(_xlfn.XLOOKUP($B72,[1]data!$C$2:$C$201,[1]data!P$2:P$201)*1000000)</f>
        <v>#VALUE!</v>
      </c>
      <c r="J72" t="e">
        <f>[4]data!J72*1000000000/(_xlfn.XLOOKUP($B72,[1]data!$C$2:$C$201,[1]data!Q$2:Q$201)*1000000)</f>
        <v>#VALUE!</v>
      </c>
      <c r="K72" t="e">
        <f>[4]data!K72*1000000000/(_xlfn.XLOOKUP($B72,[1]data!$C$2:$C$201,[1]data!R$2:R$201)*1000000)</f>
        <v>#VALUE!</v>
      </c>
      <c r="L72" t="e">
        <f>[4]data!L72*1000000000/(_xlfn.XLOOKUP($B72,[1]data!$C$2:$C$201,[1]data!S$2:S$201)*1000000)</f>
        <v>#VALUE!</v>
      </c>
      <c r="M72">
        <f>[4]data!M72*1000000000/(_xlfn.XLOOKUP($B72,[1]data!$C$2:$C$201,[1]data!T$2:T$201)*1000000)</f>
        <v>35394.73409910567</v>
      </c>
      <c r="N72">
        <f>[4]data!N72*1000000000/(_xlfn.XLOOKUP($B72,[1]data!$C$2:$C$201,[1]data!U$2:U$201)*1000000)</f>
        <v>49917.353317674111</v>
      </c>
      <c r="O72">
        <f>[4]data!O72*1000000000/(_xlfn.XLOOKUP($B72,[1]data!$C$2:$C$201,[1]data!V$2:V$201)*1000000)</f>
        <v>52234.492229933181</v>
      </c>
      <c r="P72">
        <f>[4]data!P72*1000000000/(_xlfn.XLOOKUP($B72,[1]data!$C$2:$C$201,[1]data!W$2:W$201)*1000000)</f>
        <v>54864.762415581266</v>
      </c>
      <c r="Q72">
        <f>[4]data!Q72*1000000000/(_xlfn.XLOOKUP($B72,[1]data!$C$2:$C$201,[1]data!X$2:X$201)*1000000)</f>
        <v>57914.715930659244</v>
      </c>
      <c r="R72">
        <f>[4]data!R72*1000000000/(_xlfn.XLOOKUP($B72,[1]data!$C$2:$C$201,[1]data!Y$2:Y$201)*1000000)</f>
        <v>61452.307060737025</v>
      </c>
      <c r="S72">
        <f>[4]data!S72*1000000000/(_xlfn.XLOOKUP($B72,[1]data!$C$2:$C$201,[1]data!Z$2:Z$201)*1000000)</f>
        <v>65500.58083720383</v>
      </c>
      <c r="T72">
        <f>[4]data!T72*1000000000/(_xlfn.XLOOKUP($B72,[1]data!$C$2:$C$201,[1]data!AA$2:AA$201)*1000000)</f>
        <v>70168.315134408927</v>
      </c>
      <c r="U72">
        <f>[4]data!U72*1000000000/(_xlfn.XLOOKUP($B72,[1]data!$C$2:$C$201,[1]data!AB$2:AB$201)*1000000)</f>
        <v>75484.222415655095</v>
      </c>
      <c r="V72">
        <f>[4]data!V72*1000000000/(_xlfn.XLOOKUP($B72,[1]data!$C$2:$C$201,[1]data!AC$2:AC$201)*1000000)</f>
        <v>81629.534230089179</v>
      </c>
      <c r="W72">
        <f>[4]data!W72*1000000000/(_xlfn.XLOOKUP($B72,[1]data!$C$2:$C$201,[1]data!AD$2:AD$201)*1000000)</f>
        <v>88429.697637453297</v>
      </c>
      <c r="X72">
        <f>[4]data!X72*1000000000/(_xlfn.XLOOKUP($B72,[1]data!$C$2:$C$201,[1]data!AE$2:AE$201)*1000000)</f>
        <v>95857.768526950269</v>
      </c>
      <c r="Y72">
        <f>[4]data!Y72*1000000000/(_xlfn.XLOOKUP($B72,[1]data!$C$2:$C$201,[1]data!AF$2:AF$201)*1000000)</f>
        <v>103629.84653521585</v>
      </c>
      <c r="Z72">
        <f>[4]data!Z72*1000000000/(_xlfn.XLOOKUP($B72,[1]data!$C$2:$C$201,[1]data!AG$2:AG$201)*1000000)</f>
        <v>111720.5386253714</v>
      </c>
      <c r="AA72">
        <f>[4]data!AA72*1000000000/(_xlfn.XLOOKUP($B72,[1]data!$C$2:$C$201,[1]data!AH$2:AH$201)*1000000)</f>
        <v>120243.55261027494</v>
      </c>
      <c r="AB72">
        <f>[4]data!AB72*1000000000/(_xlfn.XLOOKUP($B72,[1]data!$C$2:$C$201,[1]data!AI$2:AI$201)*1000000)</f>
        <v>129459.28305081479</v>
      </c>
      <c r="AC72">
        <f>[4]data!AC72*1000000000/(_xlfn.XLOOKUP($B72,[1]data!$C$2:$C$201,[1]data!AJ$2:AJ$201)*1000000)</f>
        <v>139416.15780627361</v>
      </c>
    </row>
    <row r="73" spans="1:29" x14ac:dyDescent="0.25">
      <c r="A73" t="s">
        <v>232</v>
      </c>
      <c r="B73" t="s">
        <v>106</v>
      </c>
      <c r="C73" t="s">
        <v>233</v>
      </c>
      <c r="D73" t="s">
        <v>234</v>
      </c>
      <c r="E73" t="e">
        <f>[4]data!E73*1000000000/(_xlfn.XLOOKUP($B73,[1]data!$C$2:$C$201,[1]data!L$2:L$201)*1000000)</f>
        <v>#VALUE!</v>
      </c>
      <c r="F73" t="e">
        <f>[4]data!F73*1000000000/(_xlfn.XLOOKUP($B73,[1]data!$C$2:$C$201,[1]data!M$2:M$201)*1000000)</f>
        <v>#VALUE!</v>
      </c>
      <c r="G73" t="e">
        <f>[4]data!G73*1000000000/(_xlfn.XLOOKUP($B73,[1]data!$C$2:$C$201,[1]data!N$2:N$201)*1000000)</f>
        <v>#VALUE!</v>
      </c>
      <c r="H73" t="e">
        <f>[4]data!H73*1000000000/(_xlfn.XLOOKUP($B73,[1]data!$C$2:$C$201,[1]data!O$2:O$201)*1000000)</f>
        <v>#VALUE!</v>
      </c>
      <c r="I73" t="e">
        <f>[4]data!I73*1000000000/(_xlfn.XLOOKUP($B73,[1]data!$C$2:$C$201,[1]data!P$2:P$201)*1000000)</f>
        <v>#VALUE!</v>
      </c>
      <c r="J73" t="e">
        <f>[4]data!J73*1000000000/(_xlfn.XLOOKUP($B73,[1]data!$C$2:$C$201,[1]data!Q$2:Q$201)*1000000)</f>
        <v>#VALUE!</v>
      </c>
      <c r="K73" t="e">
        <f>[4]data!K73*1000000000/(_xlfn.XLOOKUP($B73,[1]data!$C$2:$C$201,[1]data!R$2:R$201)*1000000)</f>
        <v>#VALUE!</v>
      </c>
      <c r="L73" t="e">
        <f>[4]data!L73*1000000000/(_xlfn.XLOOKUP($B73,[1]data!$C$2:$C$201,[1]data!S$2:S$201)*1000000)</f>
        <v>#VALUE!</v>
      </c>
      <c r="M73">
        <f>[4]data!M73*1000000000/(_xlfn.XLOOKUP($B73,[1]data!$C$2:$C$201,[1]data!T$2:T$201)*1000000)</f>
        <v>21465.732539997982</v>
      </c>
      <c r="N73">
        <f>[4]data!N73*1000000000/(_xlfn.XLOOKUP($B73,[1]data!$C$2:$C$201,[1]data!U$2:U$201)*1000000)</f>
        <v>39020.062931208675</v>
      </c>
      <c r="O73">
        <f>[4]data!O73*1000000000/(_xlfn.XLOOKUP($B73,[1]data!$C$2:$C$201,[1]data!V$2:V$201)*1000000)</f>
        <v>47536.857043102187</v>
      </c>
      <c r="P73">
        <f>[4]data!P73*1000000000/(_xlfn.XLOOKUP($B73,[1]data!$C$2:$C$201,[1]data!W$2:W$201)*1000000)</f>
        <v>55345.83220784663</v>
      </c>
      <c r="Q73">
        <f>[4]data!Q73*1000000000/(_xlfn.XLOOKUP($B73,[1]data!$C$2:$C$201,[1]data!X$2:X$201)*1000000)</f>
        <v>62771.211183832405</v>
      </c>
      <c r="R73">
        <f>[4]data!R73*1000000000/(_xlfn.XLOOKUP($B73,[1]data!$C$2:$C$201,[1]data!Y$2:Y$201)*1000000)</f>
        <v>70097.691514057267</v>
      </c>
      <c r="S73">
        <f>[4]data!S73*1000000000/(_xlfn.XLOOKUP($B73,[1]data!$C$2:$C$201,[1]data!Z$2:Z$201)*1000000)</f>
        <v>77478.408464203312</v>
      </c>
      <c r="T73">
        <f>[4]data!T73*1000000000/(_xlfn.XLOOKUP($B73,[1]data!$C$2:$C$201,[1]data!AA$2:AA$201)*1000000)</f>
        <v>84858.057699424506</v>
      </c>
      <c r="U73">
        <f>[4]data!U73*1000000000/(_xlfn.XLOOKUP($B73,[1]data!$C$2:$C$201,[1]data!AB$2:AB$201)*1000000)</f>
        <v>92152.608798639063</v>
      </c>
      <c r="V73">
        <f>[4]data!V73*1000000000/(_xlfn.XLOOKUP($B73,[1]data!$C$2:$C$201,[1]data!AC$2:AC$201)*1000000)</f>
        <v>99227.089097803691</v>
      </c>
      <c r="W73">
        <f>[4]data!W73*1000000000/(_xlfn.XLOOKUP($B73,[1]data!$C$2:$C$201,[1]data!AD$2:AD$201)*1000000)</f>
        <v>105965.89836396296</v>
      </c>
      <c r="X73">
        <f>[4]data!X73*1000000000/(_xlfn.XLOOKUP($B73,[1]data!$C$2:$C$201,[1]data!AE$2:AE$201)*1000000)</f>
        <v>112530.63180968692</v>
      </c>
      <c r="Y73">
        <f>[4]data!Y73*1000000000/(_xlfn.XLOOKUP($B73,[1]data!$C$2:$C$201,[1]data!AF$2:AF$201)*1000000)</f>
        <v>119189.93061158623</v>
      </c>
      <c r="Z73">
        <f>[4]data!Z73*1000000000/(_xlfn.XLOOKUP($B73,[1]data!$C$2:$C$201,[1]data!AG$2:AG$201)*1000000)</f>
        <v>126083.66081940512</v>
      </c>
      <c r="AA73">
        <f>[4]data!AA73*1000000000/(_xlfn.XLOOKUP($B73,[1]data!$C$2:$C$201,[1]data!AH$2:AH$201)*1000000)</f>
        <v>133318.09552492457</v>
      </c>
      <c r="AB73">
        <f>[4]data!AB73*1000000000/(_xlfn.XLOOKUP($B73,[1]data!$C$2:$C$201,[1]data!AI$2:AI$201)*1000000)</f>
        <v>140924.66122325871</v>
      </c>
      <c r="AC73">
        <f>[4]data!AC73*1000000000/(_xlfn.XLOOKUP($B73,[1]data!$C$2:$C$201,[1]data!AJ$2:AJ$201)*1000000)</f>
        <v>148899.10633337652</v>
      </c>
    </row>
    <row r="74" spans="1:29" x14ac:dyDescent="0.25">
      <c r="A74" t="s">
        <v>232</v>
      </c>
      <c r="B74" t="s">
        <v>107</v>
      </c>
      <c r="C74" t="s">
        <v>233</v>
      </c>
      <c r="D74" t="s">
        <v>234</v>
      </c>
      <c r="E74">
        <f>[4]data!E74*1000000000/(_xlfn.XLOOKUP($B74,[1]data!$C$2:$C$201,[1]data!L$2:L$201)*1000000)</f>
        <v>6455.3811145518803</v>
      </c>
      <c r="F74">
        <f>[4]data!F74*1000000000/(_xlfn.XLOOKUP($B74,[1]data!$C$2:$C$201,[1]data!M$2:M$201)*1000000)</f>
        <v>5382.7880609424365</v>
      </c>
      <c r="G74">
        <f>[4]data!G74*1000000000/(_xlfn.XLOOKUP($B74,[1]data!$C$2:$C$201,[1]data!N$2:N$201)*1000000)</f>
        <v>4800.6970071887199</v>
      </c>
      <c r="H74">
        <f>[4]data!H74*1000000000/(_xlfn.XLOOKUP($B74,[1]data!$C$2:$C$201,[1]data!O$2:O$201)*1000000)</f>
        <v>6757.9077775631604</v>
      </c>
      <c r="I74">
        <f>[4]data!I74*1000000000/(_xlfn.XLOOKUP($B74,[1]data!$C$2:$C$201,[1]data!P$2:P$201)*1000000)</f>
        <v>7655.5146913433782</v>
      </c>
      <c r="J74">
        <f>[4]data!J74*1000000000/(_xlfn.XLOOKUP($B74,[1]data!$C$2:$C$201,[1]data!Q$2:Q$201)*1000000)</f>
        <v>7818.0878294657259</v>
      </c>
      <c r="K74">
        <f>[4]data!K74*1000000000/(_xlfn.XLOOKUP($B74,[1]data!$C$2:$C$201,[1]data!R$2:R$201)*1000000)</f>
        <v>9808.629097660918</v>
      </c>
      <c r="L74">
        <f>[4]data!L74*1000000000/(_xlfn.XLOOKUP($B74,[1]data!$C$2:$C$201,[1]data!S$2:S$201)*1000000)</f>
        <v>11477.488220889529</v>
      </c>
      <c r="M74">
        <f>[4]data!M74*1000000000/(_xlfn.XLOOKUP($B74,[1]data!$C$2:$C$201,[1]data!T$2:T$201)*1000000)</f>
        <v>18555.651674254452</v>
      </c>
      <c r="N74">
        <f>[4]data!N74*1000000000/(_xlfn.XLOOKUP($B74,[1]data!$C$2:$C$201,[1]data!U$2:U$201)*1000000)</f>
        <v>73723.674668527994</v>
      </c>
      <c r="O74">
        <f>[4]data!O74*1000000000/(_xlfn.XLOOKUP($B74,[1]data!$C$2:$C$201,[1]data!V$2:V$201)*1000000)</f>
        <v>150845.46311261287</v>
      </c>
      <c r="P74">
        <f>[4]data!P74*1000000000/(_xlfn.XLOOKUP($B74,[1]data!$C$2:$C$201,[1]data!W$2:W$201)*1000000)</f>
        <v>229754.75132131236</v>
      </c>
      <c r="Q74">
        <f>[4]data!Q74*1000000000/(_xlfn.XLOOKUP($B74,[1]data!$C$2:$C$201,[1]data!X$2:X$201)*1000000)</f>
        <v>305416.78231103707</v>
      </c>
      <c r="R74">
        <f>[4]data!R74*1000000000/(_xlfn.XLOOKUP($B74,[1]data!$C$2:$C$201,[1]data!Y$2:Y$201)*1000000)</f>
        <v>356438.77296267595</v>
      </c>
      <c r="S74">
        <f>[4]data!S74*1000000000/(_xlfn.XLOOKUP($B74,[1]data!$C$2:$C$201,[1]data!Z$2:Z$201)*1000000)</f>
        <v>369067.26681670459</v>
      </c>
      <c r="T74">
        <f>[4]data!T74*1000000000/(_xlfn.XLOOKUP($B74,[1]data!$C$2:$C$201,[1]data!AA$2:AA$201)*1000000)</f>
        <v>352691.56700617808</v>
      </c>
      <c r="U74">
        <f>[4]data!U74*1000000000/(_xlfn.XLOOKUP($B74,[1]data!$C$2:$C$201,[1]data!AB$2:AB$201)*1000000)</f>
        <v>324697.77731895715</v>
      </c>
      <c r="V74">
        <f>[4]data!V74*1000000000/(_xlfn.XLOOKUP($B74,[1]data!$C$2:$C$201,[1]data!AC$2:AC$201)*1000000)</f>
        <v>296696.96487609111</v>
      </c>
      <c r="W74">
        <f>[4]data!W74*1000000000/(_xlfn.XLOOKUP($B74,[1]data!$C$2:$C$201,[1]data!AD$2:AD$201)*1000000)</f>
        <v>273127.93391140393</v>
      </c>
      <c r="X74">
        <f>[4]data!X74*1000000000/(_xlfn.XLOOKUP($B74,[1]data!$C$2:$C$201,[1]data!AE$2:AE$201)*1000000)</f>
        <v>254408.17301180118</v>
      </c>
      <c r="Y74">
        <f>[4]data!Y74*1000000000/(_xlfn.XLOOKUP($B74,[1]data!$C$2:$C$201,[1]data!AF$2:AF$201)*1000000)</f>
        <v>239592.16169710044</v>
      </c>
      <c r="Z74">
        <f>[4]data!Z74*1000000000/(_xlfn.XLOOKUP($B74,[1]data!$C$2:$C$201,[1]data!AG$2:AG$201)*1000000)</f>
        <v>227979.75793474971</v>
      </c>
      <c r="AA74">
        <f>[4]data!AA74*1000000000/(_xlfn.XLOOKUP($B74,[1]data!$C$2:$C$201,[1]data!AH$2:AH$201)*1000000)</f>
        <v>218969.51147839052</v>
      </c>
      <c r="AB74">
        <f>[4]data!AB74*1000000000/(_xlfn.XLOOKUP($B74,[1]data!$C$2:$C$201,[1]data!AI$2:AI$201)*1000000)</f>
        <v>212092.06937664773</v>
      </c>
      <c r="AC74">
        <f>[4]data!AC74*1000000000/(_xlfn.XLOOKUP($B74,[1]data!$C$2:$C$201,[1]data!AJ$2:AJ$201)*1000000)</f>
        <v>206954.50343604694</v>
      </c>
    </row>
    <row r="75" spans="1:29" x14ac:dyDescent="0.25">
      <c r="A75" t="s">
        <v>232</v>
      </c>
      <c r="B75" t="s">
        <v>108</v>
      </c>
      <c r="C75" t="s">
        <v>233</v>
      </c>
      <c r="D75" t="s">
        <v>234</v>
      </c>
      <c r="E75">
        <f>[4]data!E75*1000000000/(_xlfn.XLOOKUP($B75,[1]data!$C$2:$C$201,[1]data!L$2:L$201)*1000000)</f>
        <v>17411.291848620131</v>
      </c>
      <c r="F75">
        <f>[4]data!F75*1000000000/(_xlfn.XLOOKUP($B75,[1]data!$C$2:$C$201,[1]data!M$2:M$201)*1000000)</f>
        <v>21059.729379080898</v>
      </c>
      <c r="G75">
        <f>[4]data!G75*1000000000/(_xlfn.XLOOKUP($B75,[1]data!$C$2:$C$201,[1]data!N$2:N$201)*1000000)</f>
        <v>28343.112531866936</v>
      </c>
      <c r="H75">
        <f>[4]data!H75*1000000000/(_xlfn.XLOOKUP($B75,[1]data!$C$2:$C$201,[1]data!O$2:O$201)*1000000)</f>
        <v>34259.661703057907</v>
      </c>
      <c r="I75">
        <f>[4]data!I75*1000000000/(_xlfn.XLOOKUP($B75,[1]data!$C$2:$C$201,[1]data!P$2:P$201)*1000000)</f>
        <v>36193.317524142556</v>
      </c>
      <c r="J75">
        <f>[4]data!J75*1000000000/(_xlfn.XLOOKUP($B75,[1]data!$C$2:$C$201,[1]data!Q$2:Q$201)*1000000)</f>
        <v>42962.790618459003</v>
      </c>
      <c r="K75">
        <f>[4]data!K75*1000000000/(_xlfn.XLOOKUP($B75,[1]data!$C$2:$C$201,[1]data!R$2:R$201)*1000000)</f>
        <v>50705.189803978777</v>
      </c>
      <c r="L75">
        <f>[4]data!L75*1000000000/(_xlfn.XLOOKUP($B75,[1]data!$C$2:$C$201,[1]data!S$2:S$201)*1000000)</f>
        <v>56541.764354603612</v>
      </c>
      <c r="M75">
        <f>[4]data!M75*1000000000/(_xlfn.XLOOKUP($B75,[1]data!$C$2:$C$201,[1]data!T$2:T$201)*1000000)</f>
        <v>55736.487304296454</v>
      </c>
      <c r="N75">
        <f>[4]data!N75*1000000000/(_xlfn.XLOOKUP($B75,[1]data!$C$2:$C$201,[1]data!U$2:U$201)*1000000)</f>
        <v>63011.534811436723</v>
      </c>
      <c r="O75">
        <f>[4]data!O75*1000000000/(_xlfn.XLOOKUP($B75,[1]data!$C$2:$C$201,[1]data!V$2:V$201)*1000000)</f>
        <v>70937.425687746349</v>
      </c>
      <c r="P75">
        <f>[4]data!P75*1000000000/(_xlfn.XLOOKUP($B75,[1]data!$C$2:$C$201,[1]data!W$2:W$201)*1000000)</f>
        <v>76297.687382361561</v>
      </c>
      <c r="Q75">
        <f>[4]data!Q75*1000000000/(_xlfn.XLOOKUP($B75,[1]data!$C$2:$C$201,[1]data!X$2:X$201)*1000000)</f>
        <v>78716.293987834651</v>
      </c>
      <c r="R75">
        <f>[4]data!R75*1000000000/(_xlfn.XLOOKUP($B75,[1]data!$C$2:$C$201,[1]data!Y$2:Y$201)*1000000)</f>
        <v>79399.795675009285</v>
      </c>
      <c r="S75">
        <f>[4]data!S75*1000000000/(_xlfn.XLOOKUP($B75,[1]data!$C$2:$C$201,[1]data!Z$2:Z$201)*1000000)</f>
        <v>78912.751249747162</v>
      </c>
      <c r="T75">
        <f>[4]data!T75*1000000000/(_xlfn.XLOOKUP($B75,[1]data!$C$2:$C$201,[1]data!AA$2:AA$201)*1000000)</f>
        <v>78135.600243417124</v>
      </c>
      <c r="U75">
        <f>[4]data!U75*1000000000/(_xlfn.XLOOKUP($B75,[1]data!$C$2:$C$201,[1]data!AB$2:AB$201)*1000000)</f>
        <v>77620.077146843149</v>
      </c>
      <c r="V75">
        <f>[4]data!V75*1000000000/(_xlfn.XLOOKUP($B75,[1]data!$C$2:$C$201,[1]data!AC$2:AC$201)*1000000)</f>
        <v>77782.899110046594</v>
      </c>
      <c r="W75">
        <f>[4]data!W75*1000000000/(_xlfn.XLOOKUP($B75,[1]data!$C$2:$C$201,[1]data!AD$2:AD$201)*1000000)</f>
        <v>78261.254718393873</v>
      </c>
      <c r="X75">
        <f>[4]data!X75*1000000000/(_xlfn.XLOOKUP($B75,[1]data!$C$2:$C$201,[1]data!AE$2:AE$201)*1000000)</f>
        <v>78930.518256026073</v>
      </c>
      <c r="Y75">
        <f>[4]data!Y75*1000000000/(_xlfn.XLOOKUP($B75,[1]data!$C$2:$C$201,[1]data!AF$2:AF$201)*1000000)</f>
        <v>79590.677848576976</v>
      </c>
      <c r="Z75">
        <f>[4]data!Z75*1000000000/(_xlfn.XLOOKUP($B75,[1]data!$C$2:$C$201,[1]data!AG$2:AG$201)*1000000)</f>
        <v>80352.584065818228</v>
      </c>
      <c r="AA75">
        <f>[4]data!AA75*1000000000/(_xlfn.XLOOKUP($B75,[1]data!$C$2:$C$201,[1]data!AH$2:AH$201)*1000000)</f>
        <v>81369.463187143978</v>
      </c>
      <c r="AB75">
        <f>[4]data!AB75*1000000000/(_xlfn.XLOOKUP($B75,[1]data!$C$2:$C$201,[1]data!AI$2:AI$201)*1000000)</f>
        <v>82772.591259799403</v>
      </c>
      <c r="AC75">
        <f>[4]data!AC75*1000000000/(_xlfn.XLOOKUP($B75,[1]data!$C$2:$C$201,[1]data!AJ$2:AJ$201)*1000000)</f>
        <v>84628.176020955711</v>
      </c>
    </row>
    <row r="76" spans="1:29" x14ac:dyDescent="0.25">
      <c r="A76" t="s">
        <v>232</v>
      </c>
      <c r="B76" t="s">
        <v>109</v>
      </c>
      <c r="C76" t="s">
        <v>233</v>
      </c>
      <c r="D76" t="s">
        <v>234</v>
      </c>
      <c r="E76">
        <f>[4]data!E76*1000000000/(_xlfn.XLOOKUP($B76,[1]data!$C$2:$C$201,[1]data!L$2:L$201)*1000000)</f>
        <v>4018.0293673510482</v>
      </c>
      <c r="F76">
        <f>[4]data!F76*1000000000/(_xlfn.XLOOKUP($B76,[1]data!$C$2:$C$201,[1]data!M$2:M$201)*1000000)</f>
        <v>3788.7207407705459</v>
      </c>
      <c r="G76">
        <f>[4]data!G76*1000000000/(_xlfn.XLOOKUP($B76,[1]data!$C$2:$C$201,[1]data!N$2:N$201)*1000000)</f>
        <v>3968.288055978594</v>
      </c>
      <c r="H76">
        <f>[4]data!H76*1000000000/(_xlfn.XLOOKUP($B76,[1]data!$C$2:$C$201,[1]data!O$2:O$201)*1000000)</f>
        <v>4008.8619040881545</v>
      </c>
      <c r="I76">
        <f>[4]data!I76*1000000000/(_xlfn.XLOOKUP($B76,[1]data!$C$2:$C$201,[1]data!P$2:P$201)*1000000)</f>
        <v>4113.7788466385327</v>
      </c>
      <c r="J76">
        <f>[4]data!J76*1000000000/(_xlfn.XLOOKUP($B76,[1]data!$C$2:$C$201,[1]data!Q$2:Q$201)*1000000)</f>
        <v>4537.0540216141053</v>
      </c>
      <c r="K76">
        <f>[4]data!K76*1000000000/(_xlfn.XLOOKUP($B76,[1]data!$C$2:$C$201,[1]data!R$2:R$201)*1000000)</f>
        <v>4839.4921515415972</v>
      </c>
      <c r="L76">
        <f>[4]data!L76*1000000000/(_xlfn.XLOOKUP($B76,[1]data!$C$2:$C$201,[1]data!S$2:S$201)*1000000)</f>
        <v>5226.9785223923573</v>
      </c>
      <c r="M76">
        <f>[4]data!M76*1000000000/(_xlfn.XLOOKUP($B76,[1]data!$C$2:$C$201,[1]data!T$2:T$201)*1000000)</f>
        <v>5068.1935668197575</v>
      </c>
      <c r="N76">
        <f>[4]data!N76*1000000000/(_xlfn.XLOOKUP($B76,[1]data!$C$2:$C$201,[1]data!U$2:U$201)*1000000)</f>
        <v>6045.6850813431383</v>
      </c>
      <c r="O76">
        <f>[4]data!O76*1000000000/(_xlfn.XLOOKUP($B76,[1]data!$C$2:$C$201,[1]data!V$2:V$201)*1000000)</f>
        <v>6813.9004646327567</v>
      </c>
      <c r="P76">
        <f>[4]data!P76*1000000000/(_xlfn.XLOOKUP($B76,[1]data!$C$2:$C$201,[1]data!W$2:W$201)*1000000)</f>
        <v>7864.5123121580045</v>
      </c>
      <c r="Q76">
        <f>[4]data!Q76*1000000000/(_xlfn.XLOOKUP($B76,[1]data!$C$2:$C$201,[1]data!X$2:X$201)*1000000)</f>
        <v>9278.8008504104637</v>
      </c>
      <c r="R76">
        <f>[4]data!R76*1000000000/(_xlfn.XLOOKUP($B76,[1]data!$C$2:$C$201,[1]data!Y$2:Y$201)*1000000)</f>
        <v>11110.653273238746</v>
      </c>
      <c r="S76">
        <f>[4]data!S76*1000000000/(_xlfn.XLOOKUP($B76,[1]data!$C$2:$C$201,[1]data!Z$2:Z$201)*1000000)</f>
        <v>13407.980011724116</v>
      </c>
      <c r="T76">
        <f>[4]data!T76*1000000000/(_xlfn.XLOOKUP($B76,[1]data!$C$2:$C$201,[1]data!AA$2:AA$201)*1000000)</f>
        <v>16218.179195084622</v>
      </c>
      <c r="U76">
        <f>[4]data!U76*1000000000/(_xlfn.XLOOKUP($B76,[1]data!$C$2:$C$201,[1]data!AB$2:AB$201)*1000000)</f>
        <v>19590.996590366121</v>
      </c>
      <c r="V76">
        <f>[4]data!V76*1000000000/(_xlfn.XLOOKUP($B76,[1]data!$C$2:$C$201,[1]data!AC$2:AC$201)*1000000)</f>
        <v>23602.661960739319</v>
      </c>
      <c r="W76">
        <f>[4]data!W76*1000000000/(_xlfn.XLOOKUP($B76,[1]data!$C$2:$C$201,[1]data!AD$2:AD$201)*1000000)</f>
        <v>28297.927256560593</v>
      </c>
      <c r="X76">
        <f>[4]data!X76*1000000000/(_xlfn.XLOOKUP($B76,[1]data!$C$2:$C$201,[1]data!AE$2:AE$201)*1000000)</f>
        <v>33659.237392640905</v>
      </c>
      <c r="Y76">
        <f>[4]data!Y76*1000000000/(_xlfn.XLOOKUP($B76,[1]data!$C$2:$C$201,[1]data!AF$2:AF$201)*1000000)</f>
        <v>39607.135725810047</v>
      </c>
      <c r="Z76">
        <f>[4]data!Z76*1000000000/(_xlfn.XLOOKUP($B76,[1]data!$C$2:$C$201,[1]data!AG$2:AG$201)*1000000)</f>
        <v>46100.579046648389</v>
      </c>
      <c r="AA76">
        <f>[4]data!AA76*1000000000/(_xlfn.XLOOKUP($B76,[1]data!$C$2:$C$201,[1]data!AH$2:AH$201)*1000000)</f>
        <v>53158.177250099121</v>
      </c>
      <c r="AB76">
        <f>[4]data!AB76*1000000000/(_xlfn.XLOOKUP($B76,[1]data!$C$2:$C$201,[1]data!AI$2:AI$201)*1000000)</f>
        <v>60788.923831587512</v>
      </c>
      <c r="AC76">
        <f>[4]data!AC76*1000000000/(_xlfn.XLOOKUP($B76,[1]data!$C$2:$C$201,[1]data!AJ$2:AJ$201)*1000000)</f>
        <v>69008.82377480065</v>
      </c>
    </row>
    <row r="77" spans="1:29" x14ac:dyDescent="0.25">
      <c r="A77" t="s">
        <v>232</v>
      </c>
      <c r="B77" t="s">
        <v>110</v>
      </c>
      <c r="C77" t="s">
        <v>233</v>
      </c>
      <c r="D77" t="s">
        <v>234</v>
      </c>
      <c r="E77" t="e">
        <f>[4]data!E77*1000000000/(_xlfn.XLOOKUP($B77,[1]data!$C$2:$C$201,[1]data!L$2:L$201)*1000000)</f>
        <v>#VALUE!</v>
      </c>
      <c r="F77" t="e">
        <f>[4]data!F77*1000000000/(_xlfn.XLOOKUP($B77,[1]data!$C$2:$C$201,[1]data!M$2:M$201)*1000000)</f>
        <v>#VALUE!</v>
      </c>
      <c r="G77" t="e">
        <f>[4]data!G77*1000000000/(_xlfn.XLOOKUP($B77,[1]data!$C$2:$C$201,[1]data!N$2:N$201)*1000000)</f>
        <v>#VALUE!</v>
      </c>
      <c r="H77">
        <f>[4]data!H77*1000000000/(_xlfn.XLOOKUP($B77,[1]data!$C$2:$C$201,[1]data!O$2:O$201)*1000000)</f>
        <v>14325.795386688924</v>
      </c>
      <c r="I77">
        <f>[4]data!I77*1000000000/(_xlfn.XLOOKUP($B77,[1]data!$C$2:$C$201,[1]data!P$2:P$201)*1000000)</f>
        <v>17880.126001027216</v>
      </c>
      <c r="J77">
        <f>[4]data!J77*1000000000/(_xlfn.XLOOKUP($B77,[1]data!$C$2:$C$201,[1]data!Q$2:Q$201)*1000000)</f>
        <v>23101.215102408943</v>
      </c>
      <c r="K77">
        <f>[4]data!K77*1000000000/(_xlfn.XLOOKUP($B77,[1]data!$C$2:$C$201,[1]data!R$2:R$201)*1000000)</f>
        <v>24113.879042592671</v>
      </c>
      <c r="L77">
        <f>[4]data!L77*1000000000/(_xlfn.XLOOKUP($B77,[1]data!$C$2:$C$201,[1]data!S$2:S$201)*1000000)</f>
        <v>24514.891868446284</v>
      </c>
      <c r="M77">
        <f>[4]data!M77*1000000000/(_xlfn.XLOOKUP($B77,[1]data!$C$2:$C$201,[1]data!T$2:T$201)*1000000)</f>
        <v>26501.199131686728</v>
      </c>
      <c r="N77">
        <f>[4]data!N77*1000000000/(_xlfn.XLOOKUP($B77,[1]data!$C$2:$C$201,[1]data!U$2:U$201)*1000000)</f>
        <v>35610.14998057975</v>
      </c>
      <c r="O77">
        <f>[4]data!O77*1000000000/(_xlfn.XLOOKUP($B77,[1]data!$C$2:$C$201,[1]data!V$2:V$201)*1000000)</f>
        <v>41847.596856395081</v>
      </c>
      <c r="P77">
        <f>[4]data!P77*1000000000/(_xlfn.XLOOKUP($B77,[1]data!$C$2:$C$201,[1]data!W$2:W$201)*1000000)</f>
        <v>46859.015963619793</v>
      </c>
      <c r="Q77">
        <f>[4]data!Q77*1000000000/(_xlfn.XLOOKUP($B77,[1]data!$C$2:$C$201,[1]data!X$2:X$201)*1000000)</f>
        <v>50819.001921463409</v>
      </c>
      <c r="R77">
        <f>[4]data!R77*1000000000/(_xlfn.XLOOKUP($B77,[1]data!$C$2:$C$201,[1]data!Y$2:Y$201)*1000000)</f>
        <v>54073.561697392557</v>
      </c>
      <c r="S77">
        <f>[4]data!S77*1000000000/(_xlfn.XLOOKUP($B77,[1]data!$C$2:$C$201,[1]data!Z$2:Z$201)*1000000)</f>
        <v>56840.173433002725</v>
      </c>
      <c r="T77">
        <f>[4]data!T77*1000000000/(_xlfn.XLOOKUP($B77,[1]data!$C$2:$C$201,[1]data!AA$2:AA$201)*1000000)</f>
        <v>59347.001855835813</v>
      </c>
      <c r="U77">
        <f>[4]data!U77*1000000000/(_xlfn.XLOOKUP($B77,[1]data!$C$2:$C$201,[1]data!AB$2:AB$201)*1000000)</f>
        <v>61802.034724064368</v>
      </c>
      <c r="V77">
        <f>[4]data!V77*1000000000/(_xlfn.XLOOKUP($B77,[1]data!$C$2:$C$201,[1]data!AC$2:AC$201)*1000000)</f>
        <v>64326.366026082738</v>
      </c>
      <c r="W77">
        <f>[4]data!W77*1000000000/(_xlfn.XLOOKUP($B77,[1]data!$C$2:$C$201,[1]data!AD$2:AD$201)*1000000)</f>
        <v>66898.581924848739</v>
      </c>
      <c r="X77">
        <f>[4]data!X77*1000000000/(_xlfn.XLOOKUP($B77,[1]data!$C$2:$C$201,[1]data!AE$2:AE$201)*1000000)</f>
        <v>69533.644778283488</v>
      </c>
      <c r="Y77">
        <f>[4]data!Y77*1000000000/(_xlfn.XLOOKUP($B77,[1]data!$C$2:$C$201,[1]data!AF$2:AF$201)*1000000)</f>
        <v>72212.673492963164</v>
      </c>
      <c r="Z77">
        <f>[4]data!Z77*1000000000/(_xlfn.XLOOKUP($B77,[1]data!$C$2:$C$201,[1]data!AG$2:AG$201)*1000000)</f>
        <v>74997.202484194029</v>
      </c>
      <c r="AA77">
        <f>[4]data!AA77*1000000000/(_xlfn.XLOOKUP($B77,[1]data!$C$2:$C$201,[1]data!AH$2:AH$201)*1000000)</f>
        <v>77955.16219382071</v>
      </c>
      <c r="AB77">
        <f>[4]data!AB77*1000000000/(_xlfn.XLOOKUP($B77,[1]data!$C$2:$C$201,[1]data!AI$2:AI$201)*1000000)</f>
        <v>81165.54498133446</v>
      </c>
      <c r="AC77">
        <f>[4]data!AC77*1000000000/(_xlfn.XLOOKUP($B77,[1]data!$C$2:$C$201,[1]data!AJ$2:AJ$201)*1000000)</f>
        <v>84673.22116987317</v>
      </c>
    </row>
    <row r="78" spans="1:29" x14ac:dyDescent="0.25">
      <c r="A78" t="s">
        <v>232</v>
      </c>
      <c r="B78" t="s">
        <v>111</v>
      </c>
      <c r="C78" t="s">
        <v>233</v>
      </c>
      <c r="D78" t="s">
        <v>234</v>
      </c>
      <c r="E78">
        <f>[4]data!E78*1000000000/(_xlfn.XLOOKUP($B78,[1]data!$C$2:$C$201,[1]data!L$2:L$201)*1000000)</f>
        <v>4459.3019678656819</v>
      </c>
      <c r="F78">
        <f>[4]data!F78*1000000000/(_xlfn.XLOOKUP($B78,[1]data!$C$2:$C$201,[1]data!M$2:M$201)*1000000)</f>
        <v>3939.8170368813794</v>
      </c>
      <c r="G78">
        <f>[4]data!G78*1000000000/(_xlfn.XLOOKUP($B78,[1]data!$C$2:$C$201,[1]data!N$2:N$201)*1000000)</f>
        <v>3511.4735242188044</v>
      </c>
      <c r="H78">
        <f>[4]data!H78*1000000000/(_xlfn.XLOOKUP($B78,[1]data!$C$2:$C$201,[1]data!O$2:O$201)*1000000)</f>
        <v>2912.0407193648589</v>
      </c>
      <c r="I78">
        <f>[4]data!I78*1000000000/(_xlfn.XLOOKUP($B78,[1]data!$C$2:$C$201,[1]data!P$2:P$201)*1000000)</f>
        <v>3007.7247436855437</v>
      </c>
      <c r="J78">
        <f>[4]data!J78*1000000000/(_xlfn.XLOOKUP($B78,[1]data!$C$2:$C$201,[1]data!Q$2:Q$201)*1000000)</f>
        <v>2923.0739261194822</v>
      </c>
      <c r="K78">
        <f>[4]data!K78*1000000000/(_xlfn.XLOOKUP($B78,[1]data!$C$2:$C$201,[1]data!R$2:R$201)*1000000)</f>
        <v>2942.4748176443068</v>
      </c>
      <c r="L78">
        <f>[4]data!L78*1000000000/(_xlfn.XLOOKUP($B78,[1]data!$C$2:$C$201,[1]data!S$2:S$201)*1000000)</f>
        <v>3163.6288748649695</v>
      </c>
      <c r="M78">
        <f>[4]data!M78*1000000000/(_xlfn.XLOOKUP($B78,[1]data!$C$2:$C$201,[1]data!T$2:T$201)*1000000)</f>
        <v>2978.1552458252504</v>
      </c>
      <c r="N78">
        <f>[4]data!N78*1000000000/(_xlfn.XLOOKUP($B78,[1]data!$C$2:$C$201,[1]data!U$2:U$201)*1000000)</f>
        <v>2725.0613495988091</v>
      </c>
      <c r="O78">
        <f>[4]data!O78*1000000000/(_xlfn.XLOOKUP($B78,[1]data!$C$2:$C$201,[1]data!V$2:V$201)*1000000)</f>
        <v>2865.2654565755097</v>
      </c>
      <c r="P78">
        <f>[4]data!P78*1000000000/(_xlfn.XLOOKUP($B78,[1]data!$C$2:$C$201,[1]data!W$2:W$201)*1000000)</f>
        <v>3394.7700343917136</v>
      </c>
      <c r="Q78">
        <f>[4]data!Q78*1000000000/(_xlfn.XLOOKUP($B78,[1]data!$C$2:$C$201,[1]data!X$2:X$201)*1000000)</f>
        <v>4130.2831102048958</v>
      </c>
      <c r="R78">
        <f>[4]data!R78*1000000000/(_xlfn.XLOOKUP($B78,[1]data!$C$2:$C$201,[1]data!Y$2:Y$201)*1000000)</f>
        <v>5119.0515871311372</v>
      </c>
      <c r="S78">
        <f>[4]data!S78*1000000000/(_xlfn.XLOOKUP($B78,[1]data!$C$2:$C$201,[1]data!Z$2:Z$201)*1000000)</f>
        <v>6432.5033951590221</v>
      </c>
      <c r="T78">
        <f>[4]data!T78*1000000000/(_xlfn.XLOOKUP($B78,[1]data!$C$2:$C$201,[1]data!AA$2:AA$201)*1000000)</f>
        <v>8162.4037519737831</v>
      </c>
      <c r="U78">
        <f>[4]data!U78*1000000000/(_xlfn.XLOOKUP($B78,[1]data!$C$2:$C$201,[1]data!AB$2:AB$201)*1000000)</f>
        <v>10411.680268793865</v>
      </c>
      <c r="V78">
        <f>[4]data!V78*1000000000/(_xlfn.XLOOKUP($B78,[1]data!$C$2:$C$201,[1]data!AC$2:AC$201)*1000000)</f>
        <v>13278.560354597328</v>
      </c>
      <c r="W78">
        <f>[4]data!W78*1000000000/(_xlfn.XLOOKUP($B78,[1]data!$C$2:$C$201,[1]data!AD$2:AD$201)*1000000)</f>
        <v>16761.760906042393</v>
      </c>
      <c r="X78">
        <f>[4]data!X78*1000000000/(_xlfn.XLOOKUP($B78,[1]data!$C$2:$C$201,[1]data!AE$2:AE$201)*1000000)</f>
        <v>20946.068940139579</v>
      </c>
      <c r="Y78">
        <f>[4]data!Y78*1000000000/(_xlfn.XLOOKUP($B78,[1]data!$C$2:$C$201,[1]data!AF$2:AF$201)*1000000)</f>
        <v>25890.635470257919</v>
      </c>
      <c r="Z78">
        <f>[4]data!Z78*1000000000/(_xlfn.XLOOKUP($B78,[1]data!$C$2:$C$201,[1]data!AG$2:AG$201)*1000000)</f>
        <v>31675.745186766791</v>
      </c>
      <c r="AA78">
        <f>[4]data!AA78*1000000000/(_xlfn.XLOOKUP($B78,[1]data!$C$2:$C$201,[1]data!AH$2:AH$201)*1000000)</f>
        <v>38400.539238501478</v>
      </c>
      <c r="AB78">
        <f>[4]data!AB78*1000000000/(_xlfn.XLOOKUP($B78,[1]data!$C$2:$C$201,[1]data!AI$2:AI$201)*1000000)</f>
        <v>46136.86409379774</v>
      </c>
      <c r="AC78">
        <f>[4]data!AC78*1000000000/(_xlfn.XLOOKUP($B78,[1]data!$C$2:$C$201,[1]data!AJ$2:AJ$201)*1000000)</f>
        <v>54909.000896679063</v>
      </c>
    </row>
    <row r="79" spans="1:29" x14ac:dyDescent="0.25">
      <c r="A79" t="s">
        <v>232</v>
      </c>
      <c r="B79" t="s">
        <v>112</v>
      </c>
      <c r="C79" t="s">
        <v>233</v>
      </c>
      <c r="D79" t="s">
        <v>234</v>
      </c>
      <c r="E79">
        <f>[4]data!E79*1000000000/(_xlfn.XLOOKUP($B79,[1]data!$C$2:$C$201,[1]data!L$2:L$201)*1000000)</f>
        <v>16130.492037916276</v>
      </c>
      <c r="F79">
        <f>[4]data!F79*1000000000/(_xlfn.XLOOKUP($B79,[1]data!$C$2:$C$201,[1]data!M$2:M$201)*1000000)</f>
        <v>17842.450833410585</v>
      </c>
      <c r="G79">
        <f>[4]data!G79*1000000000/(_xlfn.XLOOKUP($B79,[1]data!$C$2:$C$201,[1]data!N$2:N$201)*1000000)</f>
        <v>18637.151940445299</v>
      </c>
      <c r="H79">
        <f>[4]data!H79*1000000000/(_xlfn.XLOOKUP($B79,[1]data!$C$2:$C$201,[1]data!O$2:O$201)*1000000)</f>
        <v>16600.211894130338</v>
      </c>
      <c r="I79">
        <f>[4]data!I79*1000000000/(_xlfn.XLOOKUP($B79,[1]data!$C$2:$C$201,[1]data!P$2:P$201)*1000000)</f>
        <v>18891.027567214405</v>
      </c>
      <c r="J79">
        <f>[4]data!J79*1000000000/(_xlfn.XLOOKUP($B79,[1]data!$C$2:$C$201,[1]data!Q$2:Q$201)*1000000)</f>
        <v>23771.291692279683</v>
      </c>
      <c r="K79">
        <f>[4]data!K79*1000000000/(_xlfn.XLOOKUP($B79,[1]data!$C$2:$C$201,[1]data!R$2:R$201)*1000000)</f>
        <v>23823.87711169774</v>
      </c>
      <c r="L79">
        <f>[4]data!L79*1000000000/(_xlfn.XLOOKUP($B79,[1]data!$C$2:$C$201,[1]data!S$2:S$201)*1000000)</f>
        <v>26758.051525420564</v>
      </c>
      <c r="M79">
        <f>[4]data!M79*1000000000/(_xlfn.XLOOKUP($B79,[1]data!$C$2:$C$201,[1]data!T$2:T$201)*1000000)</f>
        <v>30344.0396809743</v>
      </c>
      <c r="N79">
        <f>[4]data!N79*1000000000/(_xlfn.XLOOKUP($B79,[1]data!$C$2:$C$201,[1]data!U$2:U$201)*1000000)</f>
        <v>36185.147071747604</v>
      </c>
      <c r="O79">
        <f>[4]data!O79*1000000000/(_xlfn.XLOOKUP($B79,[1]data!$C$2:$C$201,[1]data!V$2:V$201)*1000000)</f>
        <v>41931.097393357741</v>
      </c>
      <c r="P79">
        <f>[4]data!P79*1000000000/(_xlfn.XLOOKUP($B79,[1]data!$C$2:$C$201,[1]data!W$2:W$201)*1000000)</f>
        <v>47081.308008299478</v>
      </c>
      <c r="Q79">
        <f>[4]data!Q79*1000000000/(_xlfn.XLOOKUP($B79,[1]data!$C$2:$C$201,[1]data!X$2:X$201)*1000000)</f>
        <v>51607.636439463451</v>
      </c>
      <c r="R79">
        <f>[4]data!R79*1000000000/(_xlfn.XLOOKUP($B79,[1]data!$C$2:$C$201,[1]data!Y$2:Y$201)*1000000)</f>
        <v>55603.498510543584</v>
      </c>
      <c r="S79">
        <f>[4]data!S79*1000000000/(_xlfn.XLOOKUP($B79,[1]data!$C$2:$C$201,[1]data!Z$2:Z$201)*1000000)</f>
        <v>59260.732644066949</v>
      </c>
      <c r="T79">
        <f>[4]data!T79*1000000000/(_xlfn.XLOOKUP($B79,[1]data!$C$2:$C$201,[1]data!AA$2:AA$201)*1000000)</f>
        <v>62690.953180676152</v>
      </c>
      <c r="U79">
        <f>[4]data!U79*1000000000/(_xlfn.XLOOKUP($B79,[1]data!$C$2:$C$201,[1]data!AB$2:AB$201)*1000000)</f>
        <v>66065.504075688121</v>
      </c>
      <c r="V79">
        <f>[4]data!V79*1000000000/(_xlfn.XLOOKUP($B79,[1]data!$C$2:$C$201,[1]data!AC$2:AC$201)*1000000)</f>
        <v>69503.862189411899</v>
      </c>
      <c r="W79">
        <f>[4]data!W79*1000000000/(_xlfn.XLOOKUP($B79,[1]data!$C$2:$C$201,[1]data!AD$2:AD$201)*1000000)</f>
        <v>72888.711127367365</v>
      </c>
      <c r="X79">
        <f>[4]data!X79*1000000000/(_xlfn.XLOOKUP($B79,[1]data!$C$2:$C$201,[1]data!AE$2:AE$201)*1000000)</f>
        <v>76092.452820616032</v>
      </c>
      <c r="Y79">
        <f>[4]data!Y79*1000000000/(_xlfn.XLOOKUP($B79,[1]data!$C$2:$C$201,[1]data!AF$2:AF$201)*1000000)</f>
        <v>79007.642912287192</v>
      </c>
      <c r="Z79">
        <f>[4]data!Z79*1000000000/(_xlfn.XLOOKUP($B79,[1]data!$C$2:$C$201,[1]data!AG$2:AG$201)*1000000)</f>
        <v>81617.316689870786</v>
      </c>
      <c r="AA79">
        <f>[4]data!AA79*1000000000/(_xlfn.XLOOKUP($B79,[1]data!$C$2:$C$201,[1]data!AH$2:AH$201)*1000000)</f>
        <v>83972.238095826178</v>
      </c>
      <c r="AB79">
        <f>[4]data!AB79*1000000000/(_xlfn.XLOOKUP($B79,[1]data!$C$2:$C$201,[1]data!AI$2:AI$201)*1000000)</f>
        <v>86116.157219703367</v>
      </c>
      <c r="AC79">
        <f>[4]data!AC79*1000000000/(_xlfn.XLOOKUP($B79,[1]data!$C$2:$C$201,[1]data!AJ$2:AJ$201)*1000000)</f>
        <v>88054.822457257411</v>
      </c>
    </row>
    <row r="80" spans="1:29" x14ac:dyDescent="0.25">
      <c r="A80" t="s">
        <v>232</v>
      </c>
      <c r="B80" t="s">
        <v>113</v>
      </c>
      <c r="C80" t="s">
        <v>233</v>
      </c>
      <c r="D80" t="s">
        <v>234</v>
      </c>
      <c r="E80">
        <f>[4]data!E80*1000000000/(_xlfn.XLOOKUP($B80,[1]data!$C$2:$C$201,[1]data!L$2:L$201)*1000000)</f>
        <v>2960.2330384393827</v>
      </c>
      <c r="F80">
        <f>[4]data!F80*1000000000/(_xlfn.XLOOKUP($B80,[1]data!$C$2:$C$201,[1]data!M$2:M$201)*1000000)</f>
        <v>3384.6253356649258</v>
      </c>
      <c r="G80">
        <f>[4]data!G80*1000000000/(_xlfn.XLOOKUP($B80,[1]data!$C$2:$C$201,[1]data!N$2:N$201)*1000000)</f>
        <v>4398.0223793866662</v>
      </c>
      <c r="H80">
        <f>[4]data!H80*1000000000/(_xlfn.XLOOKUP($B80,[1]data!$C$2:$C$201,[1]data!O$2:O$201)*1000000)</f>
        <v>5890.9820881406104</v>
      </c>
      <c r="I80">
        <f>[4]data!I80*1000000000/(_xlfn.XLOOKUP($B80,[1]data!$C$2:$C$201,[1]data!P$2:P$201)*1000000)</f>
        <v>5703.2398320491639</v>
      </c>
      <c r="J80">
        <f>[4]data!J80*1000000000/(_xlfn.XLOOKUP($B80,[1]data!$C$2:$C$201,[1]data!Q$2:Q$201)*1000000)</f>
        <v>6717.7541510142682</v>
      </c>
      <c r="K80">
        <f>[4]data!K80*1000000000/(_xlfn.XLOOKUP($B80,[1]data!$C$2:$C$201,[1]data!R$2:R$201)*1000000)</f>
        <v>8342.5249355948654</v>
      </c>
      <c r="L80">
        <f>[4]data!L80*1000000000/(_xlfn.XLOOKUP($B80,[1]data!$C$2:$C$201,[1]data!S$2:S$201)*1000000)</f>
        <v>10273.68409092</v>
      </c>
      <c r="M80">
        <f>[4]data!M80*1000000000/(_xlfn.XLOOKUP($B80,[1]data!$C$2:$C$201,[1]data!T$2:T$201)*1000000)</f>
        <v>11669.381067861596</v>
      </c>
      <c r="N80">
        <f>[4]data!N80*1000000000/(_xlfn.XLOOKUP($B80,[1]data!$C$2:$C$201,[1]data!U$2:U$201)*1000000)</f>
        <v>14269.196885753461</v>
      </c>
      <c r="O80">
        <f>[4]data!O80*1000000000/(_xlfn.XLOOKUP($B80,[1]data!$C$2:$C$201,[1]data!V$2:V$201)*1000000)</f>
        <v>17148.076739188582</v>
      </c>
      <c r="P80">
        <f>[4]data!P80*1000000000/(_xlfn.XLOOKUP($B80,[1]data!$C$2:$C$201,[1]data!W$2:W$201)*1000000)</f>
        <v>19969.823909989973</v>
      </c>
      <c r="Q80">
        <f>[4]data!Q80*1000000000/(_xlfn.XLOOKUP($B80,[1]data!$C$2:$C$201,[1]data!X$2:X$201)*1000000)</f>
        <v>22945.889507759548</v>
      </c>
      <c r="R80">
        <f>[4]data!R80*1000000000/(_xlfn.XLOOKUP($B80,[1]data!$C$2:$C$201,[1]data!Y$2:Y$201)*1000000)</f>
        <v>25988.108091537968</v>
      </c>
      <c r="S80">
        <f>[4]data!S80*1000000000/(_xlfn.XLOOKUP($B80,[1]data!$C$2:$C$201,[1]data!Z$2:Z$201)*1000000)</f>
        <v>29061.763086518404</v>
      </c>
      <c r="T80">
        <f>[4]data!T80*1000000000/(_xlfn.XLOOKUP($B80,[1]data!$C$2:$C$201,[1]data!AA$2:AA$201)*1000000)</f>
        <v>32318.438148705205</v>
      </c>
      <c r="U80">
        <f>[4]data!U80*1000000000/(_xlfn.XLOOKUP($B80,[1]data!$C$2:$C$201,[1]data!AB$2:AB$201)*1000000)</f>
        <v>35746.318642049933</v>
      </c>
      <c r="V80">
        <f>[4]data!V80*1000000000/(_xlfn.XLOOKUP($B80,[1]data!$C$2:$C$201,[1]data!AC$2:AC$201)*1000000)</f>
        <v>39300.546494825714</v>
      </c>
      <c r="W80">
        <f>[4]data!W80*1000000000/(_xlfn.XLOOKUP($B80,[1]data!$C$2:$C$201,[1]data!AD$2:AD$201)*1000000)</f>
        <v>42973.841072490162</v>
      </c>
      <c r="X80">
        <f>[4]data!X80*1000000000/(_xlfn.XLOOKUP($B80,[1]data!$C$2:$C$201,[1]data!AE$2:AE$201)*1000000)</f>
        <v>46759.592536135598</v>
      </c>
      <c r="Y80">
        <f>[4]data!Y80*1000000000/(_xlfn.XLOOKUP($B80,[1]data!$C$2:$C$201,[1]data!AF$2:AF$201)*1000000)</f>
        <v>50626.435026397667</v>
      </c>
      <c r="Z80">
        <f>[4]data!Z80*1000000000/(_xlfn.XLOOKUP($B80,[1]data!$C$2:$C$201,[1]data!AG$2:AG$201)*1000000)</f>
        <v>54573.198612831453</v>
      </c>
      <c r="AA80">
        <f>[4]data!AA80*1000000000/(_xlfn.XLOOKUP($B80,[1]data!$C$2:$C$201,[1]data!AH$2:AH$201)*1000000)</f>
        <v>58578.016247361586</v>
      </c>
      <c r="AB80">
        <f>[4]data!AB80*1000000000/(_xlfn.XLOOKUP($B80,[1]data!$C$2:$C$201,[1]data!AI$2:AI$201)*1000000)</f>
        <v>62622.469430965313</v>
      </c>
      <c r="AC80">
        <f>[4]data!AC80*1000000000/(_xlfn.XLOOKUP($B80,[1]data!$C$2:$C$201,[1]data!AJ$2:AJ$201)*1000000)</f>
        <v>66683.057848907134</v>
      </c>
    </row>
    <row r="81" spans="1:29" x14ac:dyDescent="0.25">
      <c r="A81" t="s">
        <v>232</v>
      </c>
      <c r="B81" t="s">
        <v>114</v>
      </c>
      <c r="C81" t="s">
        <v>233</v>
      </c>
      <c r="D81" t="s">
        <v>234</v>
      </c>
      <c r="E81">
        <f>[4]data!E81*1000000000/(_xlfn.XLOOKUP($B81,[1]data!$C$2:$C$201,[1]data!L$2:L$201)*1000000)</f>
        <v>1307.5470204591775</v>
      </c>
      <c r="F81">
        <f>[4]data!F81*1000000000/(_xlfn.XLOOKUP($B81,[1]data!$C$2:$C$201,[1]data!M$2:M$201)*1000000)</f>
        <v>1522.5405704529342</v>
      </c>
      <c r="G81">
        <f>[4]data!G81*1000000000/(_xlfn.XLOOKUP($B81,[1]data!$C$2:$C$201,[1]data!N$2:N$201)*1000000)</f>
        <v>1816.4089444449228</v>
      </c>
      <c r="H81">
        <f>[4]data!H81*1000000000/(_xlfn.XLOOKUP($B81,[1]data!$C$2:$C$201,[1]data!O$2:O$201)*1000000)</f>
        <v>2059.2269261484748</v>
      </c>
      <c r="I81">
        <f>[4]data!I81*1000000000/(_xlfn.XLOOKUP($B81,[1]data!$C$2:$C$201,[1]data!P$2:P$201)*1000000)</f>
        <v>2562.6856202451331</v>
      </c>
      <c r="J81">
        <f>[4]data!J81*1000000000/(_xlfn.XLOOKUP($B81,[1]data!$C$2:$C$201,[1]data!Q$2:Q$201)*1000000)</f>
        <v>3168.8085589078287</v>
      </c>
      <c r="K81">
        <f>[4]data!K81*1000000000/(_xlfn.XLOOKUP($B81,[1]data!$C$2:$C$201,[1]data!R$2:R$201)*1000000)</f>
        <v>4141.5717203522263</v>
      </c>
      <c r="L81">
        <f>[4]data!L81*1000000000/(_xlfn.XLOOKUP($B81,[1]data!$C$2:$C$201,[1]data!S$2:S$201)*1000000)</f>
        <v>5293.9588091057112</v>
      </c>
      <c r="M81">
        <f>[4]data!M81*1000000000/(_xlfn.XLOOKUP($B81,[1]data!$C$2:$C$201,[1]data!T$2:T$201)*1000000)</f>
        <v>6118.0112243778467</v>
      </c>
      <c r="N81">
        <f>[4]data!N81*1000000000/(_xlfn.XLOOKUP($B81,[1]data!$C$2:$C$201,[1]data!U$2:U$201)*1000000)</f>
        <v>8199.9775908280571</v>
      </c>
      <c r="O81">
        <f>[4]data!O81*1000000000/(_xlfn.XLOOKUP($B81,[1]data!$C$2:$C$201,[1]data!V$2:V$201)*1000000)</f>
        <v>10460.967112177721</v>
      </c>
      <c r="P81">
        <f>[4]data!P81*1000000000/(_xlfn.XLOOKUP($B81,[1]data!$C$2:$C$201,[1]data!W$2:W$201)*1000000)</f>
        <v>12798.602119869707</v>
      </c>
      <c r="Q81">
        <f>[4]data!Q81*1000000000/(_xlfn.XLOOKUP($B81,[1]data!$C$2:$C$201,[1]data!X$2:X$201)*1000000)</f>
        <v>15310.917137480876</v>
      </c>
      <c r="R81">
        <f>[4]data!R81*1000000000/(_xlfn.XLOOKUP($B81,[1]data!$C$2:$C$201,[1]data!Y$2:Y$201)*1000000)</f>
        <v>18049.696235661904</v>
      </c>
      <c r="S81">
        <f>[4]data!S81*1000000000/(_xlfn.XLOOKUP($B81,[1]data!$C$2:$C$201,[1]data!Z$2:Z$201)*1000000)</f>
        <v>21066.888376855659</v>
      </c>
      <c r="T81">
        <f>[4]data!T81*1000000000/(_xlfn.XLOOKUP($B81,[1]data!$C$2:$C$201,[1]data!AA$2:AA$201)*1000000)</f>
        <v>24391.315621402686</v>
      </c>
      <c r="U81">
        <f>[4]data!U81*1000000000/(_xlfn.XLOOKUP($B81,[1]data!$C$2:$C$201,[1]data!AB$2:AB$201)*1000000)</f>
        <v>28026.31178908276</v>
      </c>
      <c r="V81">
        <f>[4]data!V81*1000000000/(_xlfn.XLOOKUP($B81,[1]data!$C$2:$C$201,[1]data!AC$2:AC$201)*1000000)</f>
        <v>31972.483227025838</v>
      </c>
      <c r="W81">
        <f>[4]data!W81*1000000000/(_xlfn.XLOOKUP($B81,[1]data!$C$2:$C$201,[1]data!AD$2:AD$201)*1000000)</f>
        <v>36137.188353293932</v>
      </c>
      <c r="X81">
        <f>[4]data!X81*1000000000/(_xlfn.XLOOKUP($B81,[1]data!$C$2:$C$201,[1]data!AE$2:AE$201)*1000000)</f>
        <v>40557.4123374638</v>
      </c>
      <c r="Y81">
        <f>[4]data!Y81*1000000000/(_xlfn.XLOOKUP($B81,[1]data!$C$2:$C$201,[1]data!AF$2:AF$201)*1000000)</f>
        <v>45151.032580413157</v>
      </c>
      <c r="Z81">
        <f>[4]data!Z81*1000000000/(_xlfn.XLOOKUP($B81,[1]data!$C$2:$C$201,[1]data!AG$2:AG$201)*1000000)</f>
        <v>49888.147603199119</v>
      </c>
      <c r="AA81">
        <f>[4]data!AA81*1000000000/(_xlfn.XLOOKUP($B81,[1]data!$C$2:$C$201,[1]data!AH$2:AH$201)*1000000)</f>
        <v>54745.500532512844</v>
      </c>
      <c r="AB81">
        <f>[4]data!AB81*1000000000/(_xlfn.XLOOKUP($B81,[1]data!$C$2:$C$201,[1]data!AI$2:AI$201)*1000000)</f>
        <v>59725.979362239144</v>
      </c>
      <c r="AC81">
        <f>[4]data!AC81*1000000000/(_xlfn.XLOOKUP($B81,[1]data!$C$2:$C$201,[1]data!AJ$2:AJ$201)*1000000)</f>
        <v>64844.555184220684</v>
      </c>
    </row>
    <row r="82" spans="1:29" x14ac:dyDescent="0.25">
      <c r="A82" t="s">
        <v>232</v>
      </c>
      <c r="B82" t="s">
        <v>115</v>
      </c>
      <c r="C82" t="s">
        <v>233</v>
      </c>
      <c r="D82" t="s">
        <v>234</v>
      </c>
      <c r="E82">
        <f>[4]data!E82*1000000000/(_xlfn.XLOOKUP($B82,[1]data!$C$2:$C$201,[1]data!L$2:L$201)*1000000)</f>
        <v>19836.593835780746</v>
      </c>
      <c r="F82">
        <f>[4]data!F82*1000000000/(_xlfn.XLOOKUP($B82,[1]data!$C$2:$C$201,[1]data!M$2:M$201)*1000000)</f>
        <v>21680.975381694334</v>
      </c>
      <c r="G82">
        <f>[4]data!G82*1000000000/(_xlfn.XLOOKUP($B82,[1]data!$C$2:$C$201,[1]data!N$2:N$201)*1000000)</f>
        <v>27445.354884960831</v>
      </c>
      <c r="H82">
        <f>[4]data!H82*1000000000/(_xlfn.XLOOKUP($B82,[1]data!$C$2:$C$201,[1]data!O$2:O$201)*1000000)</f>
        <v>33578.148294889448</v>
      </c>
      <c r="I82">
        <f>[4]data!I82*1000000000/(_xlfn.XLOOKUP($B82,[1]data!$C$2:$C$201,[1]data!P$2:P$201)*1000000)</f>
        <v>48100.579112917665</v>
      </c>
      <c r="J82">
        <f>[4]data!J82*1000000000/(_xlfn.XLOOKUP($B82,[1]data!$C$2:$C$201,[1]data!Q$2:Q$201)*1000000)</f>
        <v>58022.577744037546</v>
      </c>
      <c r="K82">
        <f>[4]data!K82*1000000000/(_xlfn.XLOOKUP($B82,[1]data!$C$2:$C$201,[1]data!R$2:R$201)*1000000)</f>
        <v>52945.759255456556</v>
      </c>
      <c r="L82">
        <f>[4]data!L82*1000000000/(_xlfn.XLOOKUP($B82,[1]data!$C$2:$C$201,[1]data!S$2:S$201)*1000000)</f>
        <v>70115.447209821097</v>
      </c>
      <c r="M82">
        <f>[4]data!M82*1000000000/(_xlfn.XLOOKUP($B82,[1]data!$C$2:$C$201,[1]data!T$2:T$201)*1000000)</f>
        <v>90204.496336706274</v>
      </c>
      <c r="N82">
        <f>[4]data!N82*1000000000/(_xlfn.XLOOKUP($B82,[1]data!$C$2:$C$201,[1]data!U$2:U$201)*1000000)</f>
        <v>114004.72979684197</v>
      </c>
      <c r="O82">
        <f>[4]data!O82*1000000000/(_xlfn.XLOOKUP($B82,[1]data!$C$2:$C$201,[1]data!V$2:V$201)*1000000)</f>
        <v>125158.82569774165</v>
      </c>
      <c r="P82">
        <f>[4]data!P82*1000000000/(_xlfn.XLOOKUP($B82,[1]data!$C$2:$C$201,[1]data!W$2:W$201)*1000000)</f>
        <v>135162.96842489071</v>
      </c>
      <c r="Q82">
        <f>[4]data!Q82*1000000000/(_xlfn.XLOOKUP($B82,[1]data!$C$2:$C$201,[1]data!X$2:X$201)*1000000)</f>
        <v>147075.3779718517</v>
      </c>
      <c r="R82">
        <f>[4]data!R82*1000000000/(_xlfn.XLOOKUP($B82,[1]data!$C$2:$C$201,[1]data!Y$2:Y$201)*1000000)</f>
        <v>161643.85990622101</v>
      </c>
      <c r="S82">
        <f>[4]data!S82*1000000000/(_xlfn.XLOOKUP($B82,[1]data!$C$2:$C$201,[1]data!Z$2:Z$201)*1000000)</f>
        <v>177457.79305095263</v>
      </c>
      <c r="T82">
        <f>[4]data!T82*1000000000/(_xlfn.XLOOKUP($B82,[1]data!$C$2:$C$201,[1]data!AA$2:AA$201)*1000000)</f>
        <v>192787.84549406037</v>
      </c>
      <c r="U82">
        <f>[4]data!U82*1000000000/(_xlfn.XLOOKUP($B82,[1]data!$C$2:$C$201,[1]data!AB$2:AB$201)*1000000)</f>
        <v>207564.00929667786</v>
      </c>
      <c r="V82">
        <f>[4]data!V82*1000000000/(_xlfn.XLOOKUP($B82,[1]data!$C$2:$C$201,[1]data!AC$2:AC$201)*1000000)</f>
        <v>221493.41153223361</v>
      </c>
      <c r="W82">
        <f>[4]data!W82*1000000000/(_xlfn.XLOOKUP($B82,[1]data!$C$2:$C$201,[1]data!AD$2:AD$201)*1000000)</f>
        <v>233447.94504306323</v>
      </c>
      <c r="X82">
        <f>[4]data!X82*1000000000/(_xlfn.XLOOKUP($B82,[1]data!$C$2:$C$201,[1]data!AE$2:AE$201)*1000000)</f>
        <v>243177.21960117359</v>
      </c>
      <c r="Y82">
        <f>[4]data!Y82*1000000000/(_xlfn.XLOOKUP($B82,[1]data!$C$2:$C$201,[1]data!AF$2:AF$201)*1000000)</f>
        <v>251041.6997261061</v>
      </c>
      <c r="Z82">
        <f>[4]data!Z82*1000000000/(_xlfn.XLOOKUP($B82,[1]data!$C$2:$C$201,[1]data!AG$2:AG$201)*1000000)</f>
        <v>257721.60723426504</v>
      </c>
      <c r="AA82">
        <f>[4]data!AA82*1000000000/(_xlfn.XLOOKUP($B82,[1]data!$C$2:$C$201,[1]data!AH$2:AH$201)*1000000)</f>
        <v>263807.06304343685</v>
      </c>
      <c r="AB82">
        <f>[4]data!AB82*1000000000/(_xlfn.XLOOKUP($B82,[1]data!$C$2:$C$201,[1]data!AI$2:AI$201)*1000000)</f>
        <v>269495.99668164749</v>
      </c>
      <c r="AC82">
        <f>[4]data!AC82*1000000000/(_xlfn.XLOOKUP($B82,[1]data!$C$2:$C$201,[1]data!AJ$2:AJ$201)*1000000)</f>
        <v>274593.25924965029</v>
      </c>
    </row>
    <row r="83" spans="1:29" x14ac:dyDescent="0.25">
      <c r="A83" t="s">
        <v>232</v>
      </c>
      <c r="B83" t="s">
        <v>116</v>
      </c>
      <c r="C83" t="s">
        <v>233</v>
      </c>
      <c r="D83" t="s">
        <v>234</v>
      </c>
      <c r="E83">
        <f>[4]data!E83*1000000000/(_xlfn.XLOOKUP($B83,[1]data!$C$2:$C$201,[1]data!L$2:L$201)*1000000)</f>
        <v>11184.298472597378</v>
      </c>
      <c r="F83">
        <f>[4]data!F83*1000000000/(_xlfn.XLOOKUP($B83,[1]data!$C$2:$C$201,[1]data!M$2:M$201)*1000000)</f>
        <v>11123.358055040713</v>
      </c>
      <c r="G83">
        <f>[4]data!G83*1000000000/(_xlfn.XLOOKUP($B83,[1]data!$C$2:$C$201,[1]data!N$2:N$201)*1000000)</f>
        <v>9682.4968678215537</v>
      </c>
      <c r="H83">
        <f>[4]data!H83*1000000000/(_xlfn.XLOOKUP($B83,[1]data!$C$2:$C$201,[1]data!O$2:O$201)*1000000)</f>
        <v>10072.259870304581</v>
      </c>
      <c r="I83">
        <f>[4]data!I83*1000000000/(_xlfn.XLOOKUP($B83,[1]data!$C$2:$C$201,[1]data!P$2:P$201)*1000000)</f>
        <v>11121.943874643681</v>
      </c>
      <c r="J83">
        <f>[4]data!J83*1000000000/(_xlfn.XLOOKUP($B83,[1]data!$C$2:$C$201,[1]data!Q$2:Q$201)*1000000)</f>
        <v>13435.281867908965</v>
      </c>
      <c r="K83">
        <f>[4]data!K83*1000000000/(_xlfn.XLOOKUP($B83,[1]data!$C$2:$C$201,[1]data!R$2:R$201)*1000000)</f>
        <v>15208.528866980034</v>
      </c>
      <c r="L83">
        <f>[4]data!L83*1000000000/(_xlfn.XLOOKUP($B83,[1]data!$C$2:$C$201,[1]data!S$2:S$201)*1000000)</f>
        <v>14168.208543428762</v>
      </c>
      <c r="M83">
        <f>[4]data!M83*1000000000/(_xlfn.XLOOKUP($B83,[1]data!$C$2:$C$201,[1]data!T$2:T$201)*1000000)</f>
        <v>14482.212534357765</v>
      </c>
      <c r="N83">
        <f>[4]data!N83*1000000000/(_xlfn.XLOOKUP($B83,[1]data!$C$2:$C$201,[1]data!U$2:U$201)*1000000)</f>
        <v>16250.693481600982</v>
      </c>
      <c r="O83">
        <f>[4]data!O83*1000000000/(_xlfn.XLOOKUP($B83,[1]data!$C$2:$C$201,[1]data!V$2:V$201)*1000000)</f>
        <v>17406.473397889418</v>
      </c>
      <c r="P83">
        <f>[4]data!P83*1000000000/(_xlfn.XLOOKUP($B83,[1]data!$C$2:$C$201,[1]data!W$2:W$201)*1000000)</f>
        <v>18918.427429755651</v>
      </c>
      <c r="Q83">
        <f>[4]data!Q83*1000000000/(_xlfn.XLOOKUP($B83,[1]data!$C$2:$C$201,[1]data!X$2:X$201)*1000000)</f>
        <v>20168.800278220104</v>
      </c>
      <c r="R83">
        <f>[4]data!R83*1000000000/(_xlfn.XLOOKUP($B83,[1]data!$C$2:$C$201,[1]data!Y$2:Y$201)*1000000)</f>
        <v>21355.060558414098</v>
      </c>
      <c r="S83">
        <f>[4]data!S83*1000000000/(_xlfn.XLOOKUP($B83,[1]data!$C$2:$C$201,[1]data!Z$2:Z$201)*1000000)</f>
        <v>22584.650678703183</v>
      </c>
      <c r="T83">
        <f>[4]data!T83*1000000000/(_xlfn.XLOOKUP($B83,[1]data!$C$2:$C$201,[1]data!AA$2:AA$201)*1000000)</f>
        <v>23959.661207825513</v>
      </c>
      <c r="U83">
        <f>[4]data!U83*1000000000/(_xlfn.XLOOKUP($B83,[1]data!$C$2:$C$201,[1]data!AB$2:AB$201)*1000000)</f>
        <v>25651.958902441096</v>
      </c>
      <c r="V83">
        <f>[4]data!V83*1000000000/(_xlfn.XLOOKUP($B83,[1]data!$C$2:$C$201,[1]data!AC$2:AC$201)*1000000)</f>
        <v>27684.777123017757</v>
      </c>
      <c r="W83">
        <f>[4]data!W83*1000000000/(_xlfn.XLOOKUP($B83,[1]data!$C$2:$C$201,[1]data!AD$2:AD$201)*1000000)</f>
        <v>29844.267410536999</v>
      </c>
      <c r="X83">
        <f>[4]data!X83*1000000000/(_xlfn.XLOOKUP($B83,[1]data!$C$2:$C$201,[1]data!AE$2:AE$201)*1000000)</f>
        <v>32089.068495049894</v>
      </c>
      <c r="Y83">
        <f>[4]data!Y83*1000000000/(_xlfn.XLOOKUP($B83,[1]data!$C$2:$C$201,[1]data!AF$2:AF$201)*1000000)</f>
        <v>34440.316433985885</v>
      </c>
      <c r="Z83">
        <f>[4]data!Z83*1000000000/(_xlfn.XLOOKUP($B83,[1]data!$C$2:$C$201,[1]data!AG$2:AG$201)*1000000)</f>
        <v>36920.775712058647</v>
      </c>
      <c r="AA83">
        <f>[4]data!AA83*1000000000/(_xlfn.XLOOKUP($B83,[1]data!$C$2:$C$201,[1]data!AH$2:AH$201)*1000000)</f>
        <v>39544.065882679701</v>
      </c>
      <c r="AB83">
        <f>[4]data!AB83*1000000000/(_xlfn.XLOOKUP($B83,[1]data!$C$2:$C$201,[1]data!AI$2:AI$201)*1000000)</f>
        <v>42319.93933181616</v>
      </c>
      <c r="AC83">
        <f>[4]data!AC83*1000000000/(_xlfn.XLOOKUP($B83,[1]data!$C$2:$C$201,[1]data!AJ$2:AJ$201)*1000000)</f>
        <v>45254.909062694474</v>
      </c>
    </row>
    <row r="84" spans="1:29" x14ac:dyDescent="0.25">
      <c r="A84" t="s">
        <v>232</v>
      </c>
      <c r="B84" t="s">
        <v>117</v>
      </c>
      <c r="C84" t="s">
        <v>233</v>
      </c>
      <c r="D84" t="s">
        <v>234</v>
      </c>
      <c r="E84" t="e">
        <f>[4]data!E84*1000000000/(_xlfn.XLOOKUP($B84,[1]data!$C$2:$C$201,[1]data!L$2:L$201)*1000000)</f>
        <v>#VALUE!</v>
      </c>
      <c r="F84" t="e">
        <f>[4]data!F84*1000000000/(_xlfn.XLOOKUP($B84,[1]data!$C$2:$C$201,[1]data!M$2:M$201)*1000000)</f>
        <v>#VALUE!</v>
      </c>
      <c r="G84">
        <f>[4]data!G84*1000000000/(_xlfn.XLOOKUP($B84,[1]data!$C$2:$C$201,[1]data!N$2:N$201)*1000000)</f>
        <v>7431.9761414729683</v>
      </c>
      <c r="H84">
        <f>[4]data!H84*1000000000/(_xlfn.XLOOKUP($B84,[1]data!$C$2:$C$201,[1]data!O$2:O$201)*1000000)</f>
        <v>4206.4025778040514</v>
      </c>
      <c r="I84">
        <f>[4]data!I84*1000000000/(_xlfn.XLOOKUP($B84,[1]data!$C$2:$C$201,[1]data!P$2:P$201)*1000000)</f>
        <v>3529.1103014735563</v>
      </c>
      <c r="J84">
        <f>[4]data!J84*1000000000/(_xlfn.XLOOKUP($B84,[1]data!$C$2:$C$201,[1]data!Q$2:Q$201)*1000000)</f>
        <v>7379.7558392143501</v>
      </c>
      <c r="K84">
        <f>[4]data!K84*1000000000/(_xlfn.XLOOKUP($B84,[1]data!$C$2:$C$201,[1]data!R$2:R$201)*1000000)</f>
        <v>8692.3564506113125</v>
      </c>
      <c r="L84">
        <f>[4]data!L84*1000000000/(_xlfn.XLOOKUP($B84,[1]data!$C$2:$C$201,[1]data!S$2:S$201)*1000000)</f>
        <v>9776.5843235295288</v>
      </c>
      <c r="M84">
        <f>[4]data!M84*1000000000/(_xlfn.XLOOKUP($B84,[1]data!$C$2:$C$201,[1]data!T$2:T$201)*1000000)</f>
        <v>9356.2165324436282</v>
      </c>
      <c r="N84">
        <f>[4]data!N84*1000000000/(_xlfn.XLOOKUP($B84,[1]data!$C$2:$C$201,[1]data!U$2:U$201)*1000000)</f>
        <v>9469.4404995294462</v>
      </c>
      <c r="O84">
        <f>[4]data!O84*1000000000/(_xlfn.XLOOKUP($B84,[1]data!$C$2:$C$201,[1]data!V$2:V$201)*1000000)</f>
        <v>9951.0355106360494</v>
      </c>
      <c r="P84">
        <f>[4]data!P84*1000000000/(_xlfn.XLOOKUP($B84,[1]data!$C$2:$C$201,[1]data!W$2:W$201)*1000000)</f>
        <v>11790.946014979187</v>
      </c>
      <c r="Q84">
        <f>[4]data!Q84*1000000000/(_xlfn.XLOOKUP($B84,[1]data!$C$2:$C$201,[1]data!X$2:X$201)*1000000)</f>
        <v>15862.404097049772</v>
      </c>
      <c r="R84">
        <f>[4]data!R84*1000000000/(_xlfn.XLOOKUP($B84,[1]data!$C$2:$C$201,[1]data!Y$2:Y$201)*1000000)</f>
        <v>20548.241432253191</v>
      </c>
      <c r="S84">
        <f>[4]data!S84*1000000000/(_xlfn.XLOOKUP($B84,[1]data!$C$2:$C$201,[1]data!Z$2:Z$201)*1000000)</f>
        <v>25415.621922925595</v>
      </c>
      <c r="T84">
        <f>[4]data!T84*1000000000/(_xlfn.XLOOKUP($B84,[1]data!$C$2:$C$201,[1]data!AA$2:AA$201)*1000000)</f>
        <v>30454.691712025106</v>
      </c>
      <c r="U84">
        <f>[4]data!U84*1000000000/(_xlfn.XLOOKUP($B84,[1]data!$C$2:$C$201,[1]data!AB$2:AB$201)*1000000)</f>
        <v>35739.596485854345</v>
      </c>
      <c r="V84">
        <f>[4]data!V84*1000000000/(_xlfn.XLOOKUP($B84,[1]data!$C$2:$C$201,[1]data!AC$2:AC$201)*1000000)</f>
        <v>41350.347915341255</v>
      </c>
      <c r="W84">
        <f>[4]data!W84*1000000000/(_xlfn.XLOOKUP($B84,[1]data!$C$2:$C$201,[1]data!AD$2:AD$201)*1000000)</f>
        <v>47199.572531465463</v>
      </c>
      <c r="X84">
        <f>[4]data!X84*1000000000/(_xlfn.XLOOKUP($B84,[1]data!$C$2:$C$201,[1]data!AE$2:AE$201)*1000000)</f>
        <v>53226.414755748818</v>
      </c>
      <c r="Y84">
        <f>[4]data!Y84*1000000000/(_xlfn.XLOOKUP($B84,[1]data!$C$2:$C$201,[1]data!AF$2:AF$201)*1000000)</f>
        <v>59342.895559650693</v>
      </c>
      <c r="Z84">
        <f>[4]data!Z84*1000000000/(_xlfn.XLOOKUP($B84,[1]data!$C$2:$C$201,[1]data!AG$2:AG$201)*1000000)</f>
        <v>65583.993400801104</v>
      </c>
      <c r="AA84">
        <f>[4]data!AA84*1000000000/(_xlfn.XLOOKUP($B84,[1]data!$C$2:$C$201,[1]data!AH$2:AH$201)*1000000)</f>
        <v>72061.205303524664</v>
      </c>
      <c r="AB84">
        <f>[4]data!AB84*1000000000/(_xlfn.XLOOKUP($B84,[1]data!$C$2:$C$201,[1]data!AI$2:AI$201)*1000000)</f>
        <v>78867.667300182045</v>
      </c>
      <c r="AC84">
        <f>[4]data!AC84*1000000000/(_xlfn.XLOOKUP($B84,[1]data!$C$2:$C$201,[1]data!AJ$2:AJ$201)*1000000)</f>
        <v>86072.694426826609</v>
      </c>
    </row>
    <row r="85" spans="1:29" x14ac:dyDescent="0.25">
      <c r="A85" t="s">
        <v>232</v>
      </c>
      <c r="B85" t="s">
        <v>118</v>
      </c>
      <c r="C85" t="s">
        <v>233</v>
      </c>
      <c r="D85" t="s">
        <v>234</v>
      </c>
      <c r="E85">
        <f>[4]data!E85*1000000000/(_xlfn.XLOOKUP($B85,[1]data!$C$2:$C$201,[1]data!L$2:L$201)*1000000)</f>
        <v>29872.109358829253</v>
      </c>
      <c r="F85">
        <f>[4]data!F85*1000000000/(_xlfn.XLOOKUP($B85,[1]data!$C$2:$C$201,[1]data!M$2:M$201)*1000000)</f>
        <v>31579.738676102897</v>
      </c>
      <c r="G85">
        <f>[4]data!G85*1000000000/(_xlfn.XLOOKUP($B85,[1]data!$C$2:$C$201,[1]data!N$2:N$201)*1000000)</f>
        <v>34996.259577450372</v>
      </c>
      <c r="H85">
        <f>[4]data!H85*1000000000/(_xlfn.XLOOKUP($B85,[1]data!$C$2:$C$201,[1]data!O$2:O$201)*1000000)</f>
        <v>33705.733084817315</v>
      </c>
      <c r="I85">
        <f>[4]data!I85*1000000000/(_xlfn.XLOOKUP($B85,[1]data!$C$2:$C$201,[1]data!P$2:P$201)*1000000)</f>
        <v>39459.927818515127</v>
      </c>
      <c r="J85">
        <f>[4]data!J85*1000000000/(_xlfn.XLOOKUP($B85,[1]data!$C$2:$C$201,[1]data!Q$2:Q$201)*1000000)</f>
        <v>45838.76379450567</v>
      </c>
      <c r="K85">
        <f>[4]data!K85*1000000000/(_xlfn.XLOOKUP($B85,[1]data!$C$2:$C$201,[1]data!R$2:R$201)*1000000)</f>
        <v>44801.620502884318</v>
      </c>
      <c r="L85">
        <f>[4]data!L85*1000000000/(_xlfn.XLOOKUP($B85,[1]data!$C$2:$C$201,[1]data!S$2:S$201)*1000000)</f>
        <v>49425.688702933956</v>
      </c>
      <c r="M85">
        <f>[4]data!M85*1000000000/(_xlfn.XLOOKUP($B85,[1]data!$C$2:$C$201,[1]data!T$2:T$201)*1000000)</f>
        <v>49059.643729585805</v>
      </c>
      <c r="N85">
        <f>[4]data!N85*1000000000/(_xlfn.XLOOKUP($B85,[1]data!$C$2:$C$201,[1]data!U$2:U$201)*1000000)</f>
        <v>58243.879897807972</v>
      </c>
      <c r="O85">
        <f>[4]data!O85*1000000000/(_xlfn.XLOOKUP($B85,[1]data!$C$2:$C$201,[1]data!V$2:V$201)*1000000)</f>
        <v>64720.850868151094</v>
      </c>
      <c r="P85">
        <f>[4]data!P85*1000000000/(_xlfn.XLOOKUP($B85,[1]data!$C$2:$C$201,[1]data!W$2:W$201)*1000000)</f>
        <v>70993.445928913701</v>
      </c>
      <c r="Q85">
        <f>[4]data!Q85*1000000000/(_xlfn.XLOOKUP($B85,[1]data!$C$2:$C$201,[1]data!X$2:X$201)*1000000)</f>
        <v>77185.865166321179</v>
      </c>
      <c r="R85">
        <f>[4]data!R85*1000000000/(_xlfn.XLOOKUP($B85,[1]data!$C$2:$C$201,[1]data!Y$2:Y$201)*1000000)</f>
        <v>83015.294445319043</v>
      </c>
      <c r="S85">
        <f>[4]data!S85*1000000000/(_xlfn.XLOOKUP($B85,[1]data!$C$2:$C$201,[1]data!Z$2:Z$201)*1000000)</f>
        <v>88094.206899177589</v>
      </c>
      <c r="T85">
        <f>[4]data!T85*1000000000/(_xlfn.XLOOKUP($B85,[1]data!$C$2:$C$201,[1]data!AA$2:AA$201)*1000000)</f>
        <v>92576.025057615363</v>
      </c>
      <c r="U85">
        <f>[4]data!U85*1000000000/(_xlfn.XLOOKUP($B85,[1]data!$C$2:$C$201,[1]data!AB$2:AB$201)*1000000)</f>
        <v>96692.863108361635</v>
      </c>
      <c r="V85">
        <f>[4]data!V85*1000000000/(_xlfn.XLOOKUP($B85,[1]data!$C$2:$C$201,[1]data!AC$2:AC$201)*1000000)</f>
        <v>100626.65322368615</v>
      </c>
      <c r="W85">
        <f>[4]data!W85*1000000000/(_xlfn.XLOOKUP($B85,[1]data!$C$2:$C$201,[1]data!AD$2:AD$201)*1000000)</f>
        <v>104192.65340852516</v>
      </c>
      <c r="X85">
        <f>[4]data!X85*1000000000/(_xlfn.XLOOKUP($B85,[1]data!$C$2:$C$201,[1]data!AE$2:AE$201)*1000000)</f>
        <v>107345.37326094713</v>
      </c>
      <c r="Y85">
        <f>[4]data!Y85*1000000000/(_xlfn.XLOOKUP($B85,[1]data!$C$2:$C$201,[1]data!AF$2:AF$201)*1000000)</f>
        <v>110104.31585663484</v>
      </c>
      <c r="Z85">
        <f>[4]data!Z85*1000000000/(_xlfn.XLOOKUP($B85,[1]data!$C$2:$C$201,[1]data!AG$2:AG$201)*1000000)</f>
        <v>112491.0241674985</v>
      </c>
      <c r="AA85">
        <f>[4]data!AA85*1000000000/(_xlfn.XLOOKUP($B85,[1]data!$C$2:$C$201,[1]data!AH$2:AH$201)*1000000)</f>
        <v>114552.44676055988</v>
      </c>
      <c r="AB85">
        <f>[4]data!AB85*1000000000/(_xlfn.XLOOKUP($B85,[1]data!$C$2:$C$201,[1]data!AI$2:AI$201)*1000000)</f>
        <v>116276.01854154088</v>
      </c>
      <c r="AC85">
        <f>[4]data!AC85*1000000000/(_xlfn.XLOOKUP($B85,[1]data!$C$2:$C$201,[1]data!AJ$2:AJ$201)*1000000)</f>
        <v>117608.91316453283</v>
      </c>
    </row>
    <row r="86" spans="1:29" x14ac:dyDescent="0.25">
      <c r="A86" t="s">
        <v>232</v>
      </c>
      <c r="B86" t="s">
        <v>119</v>
      </c>
      <c r="C86" t="s">
        <v>233</v>
      </c>
      <c r="D86" t="s">
        <v>234</v>
      </c>
      <c r="E86">
        <f>[4]data!E86*1000000000/(_xlfn.XLOOKUP($B86,[1]data!$C$2:$C$201,[1]data!L$2:L$201)*1000000)</f>
        <v>19994.727063535109</v>
      </c>
      <c r="F86">
        <f>[4]data!F86*1000000000/(_xlfn.XLOOKUP($B86,[1]data!$C$2:$C$201,[1]data!M$2:M$201)*1000000)</f>
        <v>20971.855359129862</v>
      </c>
      <c r="G86">
        <f>[4]data!G86*1000000000/(_xlfn.XLOOKUP($B86,[1]data!$C$2:$C$201,[1]data!N$2:N$201)*1000000)</f>
        <v>22674.157118228115</v>
      </c>
      <c r="H86">
        <f>[4]data!H86*1000000000/(_xlfn.XLOOKUP($B86,[1]data!$C$2:$C$201,[1]data!O$2:O$201)*1000000)</f>
        <v>27447.91853346039</v>
      </c>
      <c r="I86">
        <f>[4]data!I86*1000000000/(_xlfn.XLOOKUP($B86,[1]data!$C$2:$C$201,[1]data!P$2:P$201)*1000000)</f>
        <v>30183.617377266397</v>
      </c>
      <c r="J86">
        <f>[4]data!J86*1000000000/(_xlfn.XLOOKUP($B86,[1]data!$C$2:$C$201,[1]data!Q$2:Q$201)*1000000)</f>
        <v>30431.438703443753</v>
      </c>
      <c r="K86">
        <f>[4]data!K86*1000000000/(_xlfn.XLOOKUP($B86,[1]data!$C$2:$C$201,[1]data!R$2:R$201)*1000000)</f>
        <v>34352.231854811507</v>
      </c>
      <c r="L86">
        <f>[4]data!L86*1000000000/(_xlfn.XLOOKUP($B86,[1]data!$C$2:$C$201,[1]data!S$2:S$201)*1000000)</f>
        <v>37796.985906676528</v>
      </c>
      <c r="M86">
        <f>[4]data!M86*1000000000/(_xlfn.XLOOKUP($B86,[1]data!$C$2:$C$201,[1]data!T$2:T$201)*1000000)</f>
        <v>40096.965147465431</v>
      </c>
      <c r="N86">
        <f>[4]data!N86*1000000000/(_xlfn.XLOOKUP($B86,[1]data!$C$2:$C$201,[1]data!U$2:U$201)*1000000)</f>
        <v>46904.985654102806</v>
      </c>
      <c r="O86">
        <f>[4]data!O86*1000000000/(_xlfn.XLOOKUP($B86,[1]data!$C$2:$C$201,[1]data!V$2:V$201)*1000000)</f>
        <v>52348.772452339334</v>
      </c>
      <c r="P86">
        <f>[4]data!P86*1000000000/(_xlfn.XLOOKUP($B86,[1]data!$C$2:$C$201,[1]data!W$2:W$201)*1000000)</f>
        <v>57549.47337628981</v>
      </c>
      <c r="Q86">
        <f>[4]data!Q86*1000000000/(_xlfn.XLOOKUP($B86,[1]data!$C$2:$C$201,[1]data!X$2:X$201)*1000000)</f>
        <v>62719.567181744234</v>
      </c>
      <c r="R86">
        <f>[4]data!R86*1000000000/(_xlfn.XLOOKUP($B86,[1]data!$C$2:$C$201,[1]data!Y$2:Y$201)*1000000)</f>
        <v>67654.776923033191</v>
      </c>
      <c r="S86">
        <f>[4]data!S86*1000000000/(_xlfn.XLOOKUP($B86,[1]data!$C$2:$C$201,[1]data!Z$2:Z$201)*1000000)</f>
        <v>72039.299731970255</v>
      </c>
      <c r="T86">
        <f>[4]data!T86*1000000000/(_xlfn.XLOOKUP($B86,[1]data!$C$2:$C$201,[1]data!AA$2:AA$201)*1000000)</f>
        <v>76588.770417840627</v>
      </c>
      <c r="U86">
        <f>[4]data!U86*1000000000/(_xlfn.XLOOKUP($B86,[1]data!$C$2:$C$201,[1]data!AB$2:AB$201)*1000000)</f>
        <v>81446.644129340217</v>
      </c>
      <c r="V86">
        <f>[4]data!V86*1000000000/(_xlfn.XLOOKUP($B86,[1]data!$C$2:$C$201,[1]data!AC$2:AC$201)*1000000)</f>
        <v>86543.383047932221</v>
      </c>
      <c r="W86">
        <f>[4]data!W86*1000000000/(_xlfn.XLOOKUP($B86,[1]data!$C$2:$C$201,[1]data!AD$2:AD$201)*1000000)</f>
        <v>91584.303868217976</v>
      </c>
      <c r="X86">
        <f>[4]data!X86*1000000000/(_xlfn.XLOOKUP($B86,[1]data!$C$2:$C$201,[1]data!AE$2:AE$201)*1000000)</f>
        <v>96473.441707113554</v>
      </c>
      <c r="Y86">
        <f>[4]data!Y86*1000000000/(_xlfn.XLOOKUP($B86,[1]data!$C$2:$C$201,[1]data!AF$2:AF$201)*1000000)</f>
        <v>101181.91933073118</v>
      </c>
      <c r="Z86">
        <f>[4]data!Z86*1000000000/(_xlfn.XLOOKUP($B86,[1]data!$C$2:$C$201,[1]data!AG$2:AG$201)*1000000)</f>
        <v>105807.03153166243</v>
      </c>
      <c r="AA86">
        <f>[4]data!AA86*1000000000/(_xlfn.XLOOKUP($B86,[1]data!$C$2:$C$201,[1]data!AH$2:AH$201)*1000000)</f>
        <v>110459.53643313152</v>
      </c>
      <c r="AB86">
        <f>[4]data!AB86*1000000000/(_xlfn.XLOOKUP($B86,[1]data!$C$2:$C$201,[1]data!AI$2:AI$201)*1000000)</f>
        <v>115186.49668938937</v>
      </c>
      <c r="AC86">
        <f>[4]data!AC86*1000000000/(_xlfn.XLOOKUP($B86,[1]data!$C$2:$C$201,[1]data!AJ$2:AJ$201)*1000000)</f>
        <v>119966.49630150267</v>
      </c>
    </row>
    <row r="87" spans="1:29" x14ac:dyDescent="0.25">
      <c r="A87" t="s">
        <v>232</v>
      </c>
      <c r="B87" t="s">
        <v>120</v>
      </c>
      <c r="C87" t="s">
        <v>233</v>
      </c>
      <c r="D87" t="s">
        <v>234</v>
      </c>
      <c r="E87">
        <f>[4]data!E87*1000000000/(_xlfn.XLOOKUP($B87,[1]data!$C$2:$C$201,[1]data!L$2:L$201)*1000000)</f>
        <v>29172.059881197034</v>
      </c>
      <c r="F87">
        <f>[4]data!F87*1000000000/(_xlfn.XLOOKUP($B87,[1]data!$C$2:$C$201,[1]data!M$2:M$201)*1000000)</f>
        <v>31469.275756909839</v>
      </c>
      <c r="G87">
        <f>[4]data!G87*1000000000/(_xlfn.XLOOKUP($B87,[1]data!$C$2:$C$201,[1]data!N$2:N$201)*1000000)</f>
        <v>36643.311879954192</v>
      </c>
      <c r="H87">
        <f>[4]data!H87*1000000000/(_xlfn.XLOOKUP($B87,[1]data!$C$2:$C$201,[1]data!O$2:O$201)*1000000)</f>
        <v>39011.11624673818</v>
      </c>
      <c r="I87">
        <f>[4]data!I87*1000000000/(_xlfn.XLOOKUP($B87,[1]data!$C$2:$C$201,[1]data!P$2:P$201)*1000000)</f>
        <v>39532.590388257166</v>
      </c>
      <c r="J87">
        <f>[4]data!J87*1000000000/(_xlfn.XLOOKUP($B87,[1]data!$C$2:$C$201,[1]data!Q$2:Q$201)*1000000)</f>
        <v>40518.988518274033</v>
      </c>
      <c r="K87">
        <f>[4]data!K87*1000000000/(_xlfn.XLOOKUP($B87,[1]data!$C$2:$C$201,[1]data!R$2:R$201)*1000000)</f>
        <v>38792.424288059548</v>
      </c>
      <c r="L87">
        <f>[4]data!L87*1000000000/(_xlfn.XLOOKUP($B87,[1]data!$C$2:$C$201,[1]data!S$2:S$201)*1000000)</f>
        <v>37137.545690354091</v>
      </c>
      <c r="M87">
        <f>[4]data!M87*1000000000/(_xlfn.XLOOKUP($B87,[1]data!$C$2:$C$201,[1]data!T$2:T$201)*1000000)</f>
        <v>35690.704903620062</v>
      </c>
      <c r="N87">
        <f>[4]data!N87*1000000000/(_xlfn.XLOOKUP($B87,[1]data!$C$2:$C$201,[1]data!U$2:U$201)*1000000)</f>
        <v>41675.183225869841</v>
      </c>
      <c r="O87">
        <f>[4]data!O87*1000000000/(_xlfn.XLOOKUP($B87,[1]data!$C$2:$C$201,[1]data!V$2:V$201)*1000000)</f>
        <v>44356.082156052515</v>
      </c>
      <c r="P87">
        <f>[4]data!P87*1000000000/(_xlfn.XLOOKUP($B87,[1]data!$C$2:$C$201,[1]data!W$2:W$201)*1000000)</f>
        <v>47652.350611493996</v>
      </c>
      <c r="Q87">
        <f>[4]data!Q87*1000000000/(_xlfn.XLOOKUP($B87,[1]data!$C$2:$C$201,[1]data!X$2:X$201)*1000000)</f>
        <v>51018.439071543617</v>
      </c>
      <c r="R87">
        <f>[4]data!R87*1000000000/(_xlfn.XLOOKUP($B87,[1]data!$C$2:$C$201,[1]data!Y$2:Y$201)*1000000)</f>
        <v>54466.703621125765</v>
      </c>
      <c r="S87">
        <f>[4]data!S87*1000000000/(_xlfn.XLOOKUP($B87,[1]data!$C$2:$C$201,[1]data!Z$2:Z$201)*1000000)</f>
        <v>57891.834771512076</v>
      </c>
      <c r="T87">
        <f>[4]data!T87*1000000000/(_xlfn.XLOOKUP($B87,[1]data!$C$2:$C$201,[1]data!AA$2:AA$201)*1000000)</f>
        <v>61465.628608865365</v>
      </c>
      <c r="U87">
        <f>[4]data!U87*1000000000/(_xlfn.XLOOKUP($B87,[1]data!$C$2:$C$201,[1]data!AB$2:AB$201)*1000000)</f>
        <v>65146.403196772379</v>
      </c>
      <c r="V87">
        <f>[4]data!V87*1000000000/(_xlfn.XLOOKUP($B87,[1]data!$C$2:$C$201,[1]data!AC$2:AC$201)*1000000)</f>
        <v>68929.232879861709</v>
      </c>
      <c r="W87">
        <f>[4]data!W87*1000000000/(_xlfn.XLOOKUP($B87,[1]data!$C$2:$C$201,[1]data!AD$2:AD$201)*1000000)</f>
        <v>72553.950955923254</v>
      </c>
      <c r="X87">
        <f>[4]data!X87*1000000000/(_xlfn.XLOOKUP($B87,[1]data!$C$2:$C$201,[1]data!AE$2:AE$201)*1000000)</f>
        <v>75871.612604280162</v>
      </c>
      <c r="Y87">
        <f>[4]data!Y87*1000000000/(_xlfn.XLOOKUP($B87,[1]data!$C$2:$C$201,[1]data!AF$2:AF$201)*1000000)</f>
        <v>78896.882669057435</v>
      </c>
      <c r="Z87">
        <f>[4]data!Z87*1000000000/(_xlfn.XLOOKUP($B87,[1]data!$C$2:$C$201,[1]data!AG$2:AG$201)*1000000)</f>
        <v>81744.675973634163</v>
      </c>
      <c r="AA87">
        <f>[4]data!AA87*1000000000/(_xlfn.XLOOKUP($B87,[1]data!$C$2:$C$201,[1]data!AH$2:AH$201)*1000000)</f>
        <v>84533.403488433643</v>
      </c>
      <c r="AB87">
        <f>[4]data!AB87*1000000000/(_xlfn.XLOOKUP($B87,[1]data!$C$2:$C$201,[1]data!AI$2:AI$201)*1000000)</f>
        <v>87303.929965892617</v>
      </c>
      <c r="AC87">
        <f>[4]data!AC87*1000000000/(_xlfn.XLOOKUP($B87,[1]data!$C$2:$C$201,[1]data!AJ$2:AJ$201)*1000000)</f>
        <v>90000.862261653703</v>
      </c>
    </row>
    <row r="88" spans="1:29" x14ac:dyDescent="0.25">
      <c r="A88" t="s">
        <v>232</v>
      </c>
      <c r="B88" t="s">
        <v>121</v>
      </c>
      <c r="C88" t="s">
        <v>233</v>
      </c>
      <c r="D88" t="s">
        <v>234</v>
      </c>
      <c r="E88">
        <f>[4]data!E88*1000000000/(_xlfn.XLOOKUP($B88,[1]data!$C$2:$C$201,[1]data!L$2:L$201)*1000000)</f>
        <v>7924.9409710875034</v>
      </c>
      <c r="F88">
        <f>[4]data!F88*1000000000/(_xlfn.XLOOKUP($B88,[1]data!$C$2:$C$201,[1]data!M$2:M$201)*1000000)</f>
        <v>8269.9479212144361</v>
      </c>
      <c r="G88">
        <f>[4]data!G88*1000000000/(_xlfn.XLOOKUP($B88,[1]data!$C$2:$C$201,[1]data!N$2:N$201)*1000000)</f>
        <v>9608.9605855099708</v>
      </c>
      <c r="H88">
        <f>[4]data!H88*1000000000/(_xlfn.XLOOKUP($B88,[1]data!$C$2:$C$201,[1]data!O$2:O$201)*1000000)</f>
        <v>10145.496373003871</v>
      </c>
      <c r="I88">
        <f>[4]data!I88*1000000000/(_xlfn.XLOOKUP($B88,[1]data!$C$2:$C$201,[1]data!P$2:P$201)*1000000)</f>
        <v>9636.7216285924842</v>
      </c>
      <c r="J88">
        <f>[4]data!J88*1000000000/(_xlfn.XLOOKUP($B88,[1]data!$C$2:$C$201,[1]data!Q$2:Q$201)*1000000)</f>
        <v>10159.134080544707</v>
      </c>
      <c r="K88">
        <f>[4]data!K88*1000000000/(_xlfn.XLOOKUP($B88,[1]data!$C$2:$C$201,[1]data!R$2:R$201)*1000000)</f>
        <v>9801.8409515504918</v>
      </c>
      <c r="L88">
        <f>[4]data!L88*1000000000/(_xlfn.XLOOKUP($B88,[1]data!$C$2:$C$201,[1]data!S$2:S$201)*1000000)</f>
        <v>9836.244807596071</v>
      </c>
      <c r="M88">
        <f>[4]data!M88*1000000000/(_xlfn.XLOOKUP($B88,[1]data!$C$2:$C$201,[1]data!T$2:T$201)*1000000)</f>
        <v>9227.1172324795098</v>
      </c>
      <c r="N88">
        <f>[4]data!N88*1000000000/(_xlfn.XLOOKUP($B88,[1]data!$C$2:$C$201,[1]data!U$2:U$201)*1000000)</f>
        <v>10646.475007213154</v>
      </c>
      <c r="O88">
        <f>[4]data!O88*1000000000/(_xlfn.XLOOKUP($B88,[1]data!$C$2:$C$201,[1]data!V$2:V$201)*1000000)</f>
        <v>11398.404814005908</v>
      </c>
      <c r="P88">
        <f>[4]data!P88*1000000000/(_xlfn.XLOOKUP($B88,[1]data!$C$2:$C$201,[1]data!W$2:W$201)*1000000)</f>
        <v>12419.096723642488</v>
      </c>
      <c r="Q88">
        <f>[4]data!Q88*1000000000/(_xlfn.XLOOKUP($B88,[1]data!$C$2:$C$201,[1]data!X$2:X$201)*1000000)</f>
        <v>13883.87075022968</v>
      </c>
      <c r="R88">
        <f>[4]data!R88*1000000000/(_xlfn.XLOOKUP($B88,[1]data!$C$2:$C$201,[1]data!Y$2:Y$201)*1000000)</f>
        <v>15815.711207179322</v>
      </c>
      <c r="S88">
        <f>[4]data!S88*1000000000/(_xlfn.XLOOKUP($B88,[1]data!$C$2:$C$201,[1]data!Z$2:Z$201)*1000000)</f>
        <v>18244.725920569046</v>
      </c>
      <c r="T88">
        <f>[4]data!T88*1000000000/(_xlfn.XLOOKUP($B88,[1]data!$C$2:$C$201,[1]data!AA$2:AA$201)*1000000)</f>
        <v>21234.321242459624</v>
      </c>
      <c r="U88">
        <f>[4]data!U88*1000000000/(_xlfn.XLOOKUP($B88,[1]data!$C$2:$C$201,[1]data!AB$2:AB$201)*1000000)</f>
        <v>24865.853096350776</v>
      </c>
      <c r="V88">
        <f>[4]data!V88*1000000000/(_xlfn.XLOOKUP($B88,[1]data!$C$2:$C$201,[1]data!AC$2:AC$201)*1000000)</f>
        <v>29172.785157494378</v>
      </c>
      <c r="W88">
        <f>[4]data!W88*1000000000/(_xlfn.XLOOKUP($B88,[1]data!$C$2:$C$201,[1]data!AD$2:AD$201)*1000000)</f>
        <v>34142.976610057085</v>
      </c>
      <c r="X88">
        <f>[4]data!X88*1000000000/(_xlfn.XLOOKUP($B88,[1]data!$C$2:$C$201,[1]data!AE$2:AE$201)*1000000)</f>
        <v>39787.999704246096</v>
      </c>
      <c r="Y88">
        <f>[4]data!Y88*1000000000/(_xlfn.XLOOKUP($B88,[1]data!$C$2:$C$201,[1]data!AF$2:AF$201)*1000000)</f>
        <v>46052.750286914415</v>
      </c>
      <c r="Z88">
        <f>[4]data!Z88*1000000000/(_xlfn.XLOOKUP($B88,[1]data!$C$2:$C$201,[1]data!AG$2:AG$201)*1000000)</f>
        <v>52930.841690853682</v>
      </c>
      <c r="AA88">
        <f>[4]data!AA88*1000000000/(_xlfn.XLOOKUP($B88,[1]data!$C$2:$C$201,[1]data!AH$2:AH$201)*1000000)</f>
        <v>60393.257797101578</v>
      </c>
      <c r="AB88">
        <f>[4]data!AB88*1000000000/(_xlfn.XLOOKUP($B88,[1]data!$C$2:$C$201,[1]data!AI$2:AI$201)*1000000)</f>
        <v>68407.021802856078</v>
      </c>
      <c r="AC88">
        <f>[4]data!AC88*1000000000/(_xlfn.XLOOKUP($B88,[1]data!$C$2:$C$201,[1]data!AJ$2:AJ$201)*1000000)</f>
        <v>76956.243236323455</v>
      </c>
    </row>
    <row r="89" spans="1:29" x14ac:dyDescent="0.25">
      <c r="A89" t="s">
        <v>232</v>
      </c>
      <c r="B89" t="s">
        <v>122</v>
      </c>
      <c r="C89" t="s">
        <v>233</v>
      </c>
      <c r="D89" t="s">
        <v>234</v>
      </c>
      <c r="E89">
        <f>[4]data!E89*1000000000/(_xlfn.XLOOKUP($B89,[1]data!$C$2:$C$201,[1]data!L$2:L$201)*1000000)</f>
        <v>10686.808765031843</v>
      </c>
      <c r="F89">
        <f>[4]data!F89*1000000000/(_xlfn.XLOOKUP($B89,[1]data!$C$2:$C$201,[1]data!M$2:M$201)*1000000)</f>
        <v>11121.548886536051</v>
      </c>
      <c r="G89">
        <f>[4]data!G89*1000000000/(_xlfn.XLOOKUP($B89,[1]data!$C$2:$C$201,[1]data!N$2:N$201)*1000000)</f>
        <v>8678.1589537697964</v>
      </c>
      <c r="H89">
        <f>[4]data!H89*1000000000/(_xlfn.XLOOKUP($B89,[1]data!$C$2:$C$201,[1]data!O$2:O$201)*1000000)</f>
        <v>8609.7564487300006</v>
      </c>
      <c r="I89">
        <f>[4]data!I89*1000000000/(_xlfn.XLOOKUP($B89,[1]data!$C$2:$C$201,[1]data!P$2:P$201)*1000000)</f>
        <v>8838.0234328766583</v>
      </c>
      <c r="J89">
        <f>[4]data!J89*1000000000/(_xlfn.XLOOKUP($B89,[1]data!$C$2:$C$201,[1]data!Q$2:Q$201)*1000000)</f>
        <v>10812.478449125487</v>
      </c>
      <c r="K89">
        <f>[4]data!K89*1000000000/(_xlfn.XLOOKUP($B89,[1]data!$C$2:$C$201,[1]data!R$2:R$201)*1000000)</f>
        <v>12021.462674892477</v>
      </c>
      <c r="L89">
        <f>[4]data!L89*1000000000/(_xlfn.XLOOKUP($B89,[1]data!$C$2:$C$201,[1]data!S$2:S$201)*1000000)</f>
        <v>10285.23674761521</v>
      </c>
      <c r="M89">
        <f>[4]data!M89*1000000000/(_xlfn.XLOOKUP($B89,[1]data!$C$2:$C$201,[1]data!T$2:T$201)*1000000)</f>
        <v>9278.9349290316914</v>
      </c>
      <c r="N89">
        <f>[4]data!N89*1000000000/(_xlfn.XLOOKUP($B89,[1]data!$C$2:$C$201,[1]data!U$2:U$201)*1000000)</f>
        <v>9598.1160465162811</v>
      </c>
      <c r="O89">
        <f>[4]data!O89*1000000000/(_xlfn.XLOOKUP($B89,[1]data!$C$2:$C$201,[1]data!V$2:V$201)*1000000)</f>
        <v>10225.06604416249</v>
      </c>
      <c r="P89">
        <f>[4]data!P89*1000000000/(_xlfn.XLOOKUP($B89,[1]data!$C$2:$C$201,[1]data!W$2:W$201)*1000000)</f>
        <v>11118.640836521574</v>
      </c>
      <c r="Q89">
        <f>[4]data!Q89*1000000000/(_xlfn.XLOOKUP($B89,[1]data!$C$2:$C$201,[1]data!X$2:X$201)*1000000)</f>
        <v>12371.488158345239</v>
      </c>
      <c r="R89">
        <f>[4]data!R89*1000000000/(_xlfn.XLOOKUP($B89,[1]data!$C$2:$C$201,[1]data!Y$2:Y$201)*1000000)</f>
        <v>13983.164471924178</v>
      </c>
      <c r="S89">
        <f>[4]data!S89*1000000000/(_xlfn.XLOOKUP($B89,[1]data!$C$2:$C$201,[1]data!Z$2:Z$201)*1000000)</f>
        <v>16001.273663961072</v>
      </c>
      <c r="T89">
        <f>[4]data!T89*1000000000/(_xlfn.XLOOKUP($B89,[1]data!$C$2:$C$201,[1]data!AA$2:AA$201)*1000000)</f>
        <v>18417.635543867909</v>
      </c>
      <c r="U89">
        <f>[4]data!U89*1000000000/(_xlfn.XLOOKUP($B89,[1]data!$C$2:$C$201,[1]data!AB$2:AB$201)*1000000)</f>
        <v>21230.75492793175</v>
      </c>
      <c r="V89">
        <f>[4]data!V89*1000000000/(_xlfn.XLOOKUP($B89,[1]data!$C$2:$C$201,[1]data!AC$2:AC$201)*1000000)</f>
        <v>24359.103420672091</v>
      </c>
      <c r="W89">
        <f>[4]data!W89*1000000000/(_xlfn.XLOOKUP($B89,[1]data!$C$2:$C$201,[1]data!AD$2:AD$201)*1000000)</f>
        <v>27738.074098382247</v>
      </c>
      <c r="X89">
        <f>[4]data!X89*1000000000/(_xlfn.XLOOKUP($B89,[1]data!$C$2:$C$201,[1]data!AE$2:AE$201)*1000000)</f>
        <v>31342.791122901268</v>
      </c>
      <c r="Y89">
        <f>[4]data!Y89*1000000000/(_xlfn.XLOOKUP($B89,[1]data!$C$2:$C$201,[1]data!AF$2:AF$201)*1000000)</f>
        <v>35231.119158329158</v>
      </c>
      <c r="Z89">
        <f>[4]data!Z89*1000000000/(_xlfn.XLOOKUP($B89,[1]data!$C$2:$C$201,[1]data!AG$2:AG$201)*1000000)</f>
        <v>39439.628519320504</v>
      </c>
      <c r="AA89">
        <f>[4]data!AA89*1000000000/(_xlfn.XLOOKUP($B89,[1]data!$C$2:$C$201,[1]data!AH$2:AH$201)*1000000)</f>
        <v>43982.353989599265</v>
      </c>
      <c r="AB89">
        <f>[4]data!AB89*1000000000/(_xlfn.XLOOKUP($B89,[1]data!$C$2:$C$201,[1]data!AI$2:AI$201)*1000000)</f>
        <v>48828.893223415689</v>
      </c>
      <c r="AC89">
        <f>[4]data!AC89*1000000000/(_xlfn.XLOOKUP($B89,[1]data!$C$2:$C$201,[1]data!AJ$2:AJ$201)*1000000)</f>
        <v>53966.119582634929</v>
      </c>
    </row>
    <row r="90" spans="1:29" x14ac:dyDescent="0.25">
      <c r="A90" t="s">
        <v>232</v>
      </c>
      <c r="B90" t="s">
        <v>123</v>
      </c>
      <c r="C90" t="s">
        <v>233</v>
      </c>
      <c r="D90" t="s">
        <v>234</v>
      </c>
      <c r="E90">
        <f>[4]data!E90*1000000000/(_xlfn.XLOOKUP($B90,[1]data!$C$2:$C$201,[1]data!L$2:L$201)*1000000)</f>
        <v>21962.818590326064</v>
      </c>
      <c r="F90">
        <f>[4]data!F90*1000000000/(_xlfn.XLOOKUP($B90,[1]data!$C$2:$C$201,[1]data!M$2:M$201)*1000000)</f>
        <v>26273.951743361289</v>
      </c>
      <c r="G90">
        <f>[4]data!G90*1000000000/(_xlfn.XLOOKUP($B90,[1]data!$C$2:$C$201,[1]data!N$2:N$201)*1000000)</f>
        <v>32796.200922911194</v>
      </c>
      <c r="H90">
        <f>[4]data!H90*1000000000/(_xlfn.XLOOKUP($B90,[1]data!$C$2:$C$201,[1]data!O$2:O$201)*1000000)</f>
        <v>34915.443716319089</v>
      </c>
      <c r="I90">
        <f>[4]data!I90*1000000000/(_xlfn.XLOOKUP($B90,[1]data!$C$2:$C$201,[1]data!P$2:P$201)*1000000)</f>
        <v>36820.840543167767</v>
      </c>
      <c r="J90">
        <f>[4]data!J90*1000000000/(_xlfn.XLOOKUP($B90,[1]data!$C$2:$C$201,[1]data!Q$2:Q$201)*1000000)</f>
        <v>38726.545091241213</v>
      </c>
      <c r="K90">
        <f>[4]data!K90*1000000000/(_xlfn.XLOOKUP($B90,[1]data!$C$2:$C$201,[1]data!R$2:R$201)*1000000)</f>
        <v>38518.97349127537</v>
      </c>
      <c r="L90">
        <f>[4]data!L90*1000000000/(_xlfn.XLOOKUP($B90,[1]data!$C$2:$C$201,[1]data!S$2:S$201)*1000000)</f>
        <v>40825.891939876303</v>
      </c>
      <c r="M90">
        <f>[4]data!M90*1000000000/(_xlfn.XLOOKUP($B90,[1]data!$C$2:$C$201,[1]data!T$2:T$201)*1000000)</f>
        <v>40727.714399287419</v>
      </c>
      <c r="N90">
        <f>[4]data!N90*1000000000/(_xlfn.XLOOKUP($B90,[1]data!$C$2:$C$201,[1]data!U$2:U$201)*1000000)</f>
        <v>44790.935611312329</v>
      </c>
      <c r="O90">
        <f>[4]data!O90*1000000000/(_xlfn.XLOOKUP($B90,[1]data!$C$2:$C$201,[1]data!V$2:V$201)*1000000)</f>
        <v>47803.141415126993</v>
      </c>
      <c r="P90">
        <f>[4]data!P90*1000000000/(_xlfn.XLOOKUP($B90,[1]data!$C$2:$C$201,[1]data!W$2:W$201)*1000000)</f>
        <v>51259.934065356065</v>
      </c>
      <c r="Q90">
        <f>[4]data!Q90*1000000000/(_xlfn.XLOOKUP($B90,[1]data!$C$2:$C$201,[1]data!X$2:X$201)*1000000)</f>
        <v>54648.927994548118</v>
      </c>
      <c r="R90">
        <f>[4]data!R90*1000000000/(_xlfn.XLOOKUP($B90,[1]data!$C$2:$C$201,[1]data!Y$2:Y$201)*1000000)</f>
        <v>58312.707865471282</v>
      </c>
      <c r="S90">
        <f>[4]data!S90*1000000000/(_xlfn.XLOOKUP($B90,[1]data!$C$2:$C$201,[1]data!Z$2:Z$201)*1000000)</f>
        <v>62261.695286152943</v>
      </c>
      <c r="T90">
        <f>[4]data!T90*1000000000/(_xlfn.XLOOKUP($B90,[1]data!$C$2:$C$201,[1]data!AA$2:AA$201)*1000000)</f>
        <v>66266.157383662401</v>
      </c>
      <c r="U90">
        <f>[4]data!U90*1000000000/(_xlfn.XLOOKUP($B90,[1]data!$C$2:$C$201,[1]data!AB$2:AB$201)*1000000)</f>
        <v>70265.96816205293</v>
      </c>
      <c r="V90">
        <f>[4]data!V90*1000000000/(_xlfn.XLOOKUP($B90,[1]data!$C$2:$C$201,[1]data!AC$2:AC$201)*1000000)</f>
        <v>74384.079940447118</v>
      </c>
      <c r="W90">
        <f>[4]data!W90*1000000000/(_xlfn.XLOOKUP($B90,[1]data!$C$2:$C$201,[1]data!AD$2:AD$201)*1000000)</f>
        <v>78605.946961382811</v>
      </c>
      <c r="X90">
        <f>[4]data!X90*1000000000/(_xlfn.XLOOKUP($B90,[1]data!$C$2:$C$201,[1]data!AE$2:AE$201)*1000000)</f>
        <v>82887.487852445134</v>
      </c>
      <c r="Y90">
        <f>[4]data!Y90*1000000000/(_xlfn.XLOOKUP($B90,[1]data!$C$2:$C$201,[1]data!AF$2:AF$201)*1000000)</f>
        <v>87158.647387479839</v>
      </c>
      <c r="Z90">
        <f>[4]data!Z90*1000000000/(_xlfn.XLOOKUP($B90,[1]data!$C$2:$C$201,[1]data!AG$2:AG$201)*1000000)</f>
        <v>91398.145646214136</v>
      </c>
      <c r="AA90">
        <f>[4]data!AA90*1000000000/(_xlfn.XLOOKUP($B90,[1]data!$C$2:$C$201,[1]data!AH$2:AH$201)*1000000)</f>
        <v>95596.117388071041</v>
      </c>
      <c r="AB90">
        <f>[4]data!AB90*1000000000/(_xlfn.XLOOKUP($B90,[1]data!$C$2:$C$201,[1]data!AI$2:AI$201)*1000000)</f>
        <v>99723.300218002769</v>
      </c>
      <c r="AC90">
        <f>[4]data!AC90*1000000000/(_xlfn.XLOOKUP($B90,[1]data!$C$2:$C$201,[1]data!AJ$2:AJ$201)*1000000)</f>
        <v>103713.97464582647</v>
      </c>
    </row>
    <row r="91" spans="1:29" x14ac:dyDescent="0.25">
      <c r="A91" t="s">
        <v>232</v>
      </c>
      <c r="B91" t="s">
        <v>124</v>
      </c>
      <c r="C91" t="s">
        <v>233</v>
      </c>
      <c r="D91" t="s">
        <v>234</v>
      </c>
      <c r="E91" t="e">
        <f>[4]data!E91*1000000000/(_xlfn.XLOOKUP($B91,[1]data!$C$2:$C$201,[1]data!L$2:L$201)*1000000)</f>
        <v>#VALUE!</v>
      </c>
      <c r="F91" t="e">
        <f>[4]data!F91*1000000000/(_xlfn.XLOOKUP($B91,[1]data!$C$2:$C$201,[1]data!M$2:M$201)*1000000)</f>
        <v>#VALUE!</v>
      </c>
      <c r="G91">
        <f>[4]data!G91*1000000000/(_xlfn.XLOOKUP($B91,[1]data!$C$2:$C$201,[1]data!N$2:N$201)*1000000)</f>
        <v>13114.13187899615</v>
      </c>
      <c r="H91">
        <f>[4]data!H91*1000000000/(_xlfn.XLOOKUP($B91,[1]data!$C$2:$C$201,[1]data!O$2:O$201)*1000000)</f>
        <v>8188.8573406148917</v>
      </c>
      <c r="I91">
        <f>[4]data!I91*1000000000/(_xlfn.XLOOKUP($B91,[1]data!$C$2:$C$201,[1]data!P$2:P$201)*1000000)</f>
        <v>10081.553428684369</v>
      </c>
      <c r="J91">
        <f>[4]data!J91*1000000000/(_xlfn.XLOOKUP($B91,[1]data!$C$2:$C$201,[1]data!Q$2:Q$201)*1000000)</f>
        <v>16123.282195078295</v>
      </c>
      <c r="K91">
        <f>[4]data!K91*1000000000/(_xlfn.XLOOKUP($B91,[1]data!$C$2:$C$201,[1]data!R$2:R$201)*1000000)</f>
        <v>20577.865610828645</v>
      </c>
      <c r="L91">
        <f>[4]data!L91*1000000000/(_xlfn.XLOOKUP($B91,[1]data!$C$2:$C$201,[1]data!S$2:S$201)*1000000)</f>
        <v>24147.473179148707</v>
      </c>
      <c r="M91">
        <f>[4]data!M91*1000000000/(_xlfn.XLOOKUP($B91,[1]data!$C$2:$C$201,[1]data!T$2:T$201)*1000000)</f>
        <v>25193.816019961123</v>
      </c>
      <c r="N91">
        <f>[4]data!N91*1000000000/(_xlfn.XLOOKUP($B91,[1]data!$C$2:$C$201,[1]data!U$2:U$201)*1000000)</f>
        <v>29412.516707666517</v>
      </c>
      <c r="O91">
        <f>[4]data!O91*1000000000/(_xlfn.XLOOKUP($B91,[1]data!$C$2:$C$201,[1]data!V$2:V$201)*1000000)</f>
        <v>32397.913285912771</v>
      </c>
      <c r="P91">
        <f>[4]data!P91*1000000000/(_xlfn.XLOOKUP($B91,[1]data!$C$2:$C$201,[1]data!W$2:W$201)*1000000)</f>
        <v>35875.446283097343</v>
      </c>
      <c r="Q91">
        <f>[4]data!Q91*1000000000/(_xlfn.XLOOKUP($B91,[1]data!$C$2:$C$201,[1]data!X$2:X$201)*1000000)</f>
        <v>38979.730663177244</v>
      </c>
      <c r="R91">
        <f>[4]data!R91*1000000000/(_xlfn.XLOOKUP($B91,[1]data!$C$2:$C$201,[1]data!Y$2:Y$201)*1000000)</f>
        <v>41560.282952484544</v>
      </c>
      <c r="S91">
        <f>[4]data!S91*1000000000/(_xlfn.XLOOKUP($B91,[1]data!$C$2:$C$201,[1]data!Z$2:Z$201)*1000000)</f>
        <v>43870.62816468627</v>
      </c>
      <c r="T91">
        <f>[4]data!T91*1000000000/(_xlfn.XLOOKUP($B91,[1]data!$C$2:$C$201,[1]data!AA$2:AA$201)*1000000)</f>
        <v>46466.302383247108</v>
      </c>
      <c r="U91">
        <f>[4]data!U91*1000000000/(_xlfn.XLOOKUP($B91,[1]data!$C$2:$C$201,[1]data!AB$2:AB$201)*1000000)</f>
        <v>49692.992477327694</v>
      </c>
      <c r="V91">
        <f>[4]data!V91*1000000000/(_xlfn.XLOOKUP($B91,[1]data!$C$2:$C$201,[1]data!AC$2:AC$201)*1000000)</f>
        <v>53627.38334258712</v>
      </c>
      <c r="W91">
        <f>[4]data!W91*1000000000/(_xlfn.XLOOKUP($B91,[1]data!$C$2:$C$201,[1]data!AD$2:AD$201)*1000000)</f>
        <v>58014.422785084418</v>
      </c>
      <c r="X91">
        <f>[4]data!X91*1000000000/(_xlfn.XLOOKUP($B91,[1]data!$C$2:$C$201,[1]data!AE$2:AE$201)*1000000)</f>
        <v>62654.887329116871</v>
      </c>
      <c r="Y91">
        <f>[4]data!Y91*1000000000/(_xlfn.XLOOKUP($B91,[1]data!$C$2:$C$201,[1]data!AF$2:AF$201)*1000000)</f>
        <v>67541.930655450211</v>
      </c>
      <c r="Z91">
        <f>[4]data!Z91*1000000000/(_xlfn.XLOOKUP($B91,[1]data!$C$2:$C$201,[1]data!AG$2:AG$201)*1000000)</f>
        <v>72825.878848583903</v>
      </c>
      <c r="AA91">
        <f>[4]data!AA91*1000000000/(_xlfn.XLOOKUP($B91,[1]data!$C$2:$C$201,[1]data!AH$2:AH$201)*1000000)</f>
        <v>78618.904959743842</v>
      </c>
      <c r="AB91">
        <f>[4]data!AB91*1000000000/(_xlfn.XLOOKUP($B91,[1]data!$C$2:$C$201,[1]data!AI$2:AI$201)*1000000)</f>
        <v>84971.007461806046</v>
      </c>
      <c r="AC91">
        <f>[4]data!AC91*1000000000/(_xlfn.XLOOKUP($B91,[1]data!$C$2:$C$201,[1]data!AJ$2:AJ$201)*1000000)</f>
        <v>91868.148557072825</v>
      </c>
    </row>
    <row r="92" spans="1:29" x14ac:dyDescent="0.25">
      <c r="A92" t="s">
        <v>232</v>
      </c>
      <c r="B92" t="s">
        <v>125</v>
      </c>
      <c r="C92" t="s">
        <v>233</v>
      </c>
      <c r="D92" t="s">
        <v>234</v>
      </c>
      <c r="E92">
        <f>[4]data!E92*1000000000/(_xlfn.XLOOKUP($B92,[1]data!$C$2:$C$201,[1]data!L$2:L$201)*1000000)</f>
        <v>3558.4768698248472</v>
      </c>
      <c r="F92">
        <f>[4]data!F92*1000000000/(_xlfn.XLOOKUP($B92,[1]data!$C$2:$C$201,[1]data!M$2:M$201)*1000000)</f>
        <v>3479.0179051551736</v>
      </c>
      <c r="G92">
        <f>[4]data!G92*1000000000/(_xlfn.XLOOKUP($B92,[1]data!$C$2:$C$201,[1]data!N$2:N$201)*1000000)</f>
        <v>3815.1700673729761</v>
      </c>
      <c r="H92">
        <f>[4]data!H92*1000000000/(_xlfn.XLOOKUP($B92,[1]data!$C$2:$C$201,[1]data!O$2:O$201)*1000000)</f>
        <v>3509.165069010161</v>
      </c>
      <c r="I92">
        <f>[4]data!I92*1000000000/(_xlfn.XLOOKUP($B92,[1]data!$C$2:$C$201,[1]data!P$2:P$201)*1000000)</f>
        <v>3391.0338852052178</v>
      </c>
      <c r="J92">
        <f>[4]data!J92*1000000000/(_xlfn.XLOOKUP($B92,[1]data!$C$2:$C$201,[1]data!Q$2:Q$201)*1000000)</f>
        <v>3471.2211855411233</v>
      </c>
      <c r="K92">
        <f>[4]data!K92*1000000000/(_xlfn.XLOOKUP($B92,[1]data!$C$2:$C$201,[1]data!R$2:R$201)*1000000)</f>
        <v>3788.4142694104767</v>
      </c>
      <c r="L92">
        <f>[4]data!L92*1000000000/(_xlfn.XLOOKUP($B92,[1]data!$C$2:$C$201,[1]data!S$2:S$201)*1000000)</f>
        <v>4210.2454080603129</v>
      </c>
      <c r="M92">
        <f>[4]data!M92*1000000000/(_xlfn.XLOOKUP($B92,[1]data!$C$2:$C$201,[1]data!T$2:T$201)*1000000)</f>
        <v>4544.2871829375918</v>
      </c>
      <c r="N92">
        <f>[4]data!N92*1000000000/(_xlfn.XLOOKUP($B92,[1]data!$C$2:$C$201,[1]data!U$2:U$201)*1000000)</f>
        <v>5402.4493531920216</v>
      </c>
      <c r="O92">
        <f>[4]data!O92*1000000000/(_xlfn.XLOOKUP($B92,[1]data!$C$2:$C$201,[1]data!V$2:V$201)*1000000)</f>
        <v>6393.9940289186106</v>
      </c>
      <c r="P92">
        <f>[4]data!P92*1000000000/(_xlfn.XLOOKUP($B92,[1]data!$C$2:$C$201,[1]data!W$2:W$201)*1000000)</f>
        <v>7518.416064670243</v>
      </c>
      <c r="Q92">
        <f>[4]data!Q92*1000000000/(_xlfn.XLOOKUP($B92,[1]data!$C$2:$C$201,[1]data!X$2:X$201)*1000000)</f>
        <v>8785.3354935805182</v>
      </c>
      <c r="R92">
        <f>[4]data!R92*1000000000/(_xlfn.XLOOKUP($B92,[1]data!$C$2:$C$201,[1]data!Y$2:Y$201)*1000000)</f>
        <v>10281.557552570403</v>
      </c>
      <c r="S92">
        <f>[4]data!S92*1000000000/(_xlfn.XLOOKUP($B92,[1]data!$C$2:$C$201,[1]data!Z$2:Z$201)*1000000)</f>
        <v>12037.940233671961</v>
      </c>
      <c r="T92">
        <f>[4]data!T92*1000000000/(_xlfn.XLOOKUP($B92,[1]data!$C$2:$C$201,[1]data!AA$2:AA$201)*1000000)</f>
        <v>14107.125374205574</v>
      </c>
      <c r="U92">
        <f>[4]data!U92*1000000000/(_xlfn.XLOOKUP($B92,[1]data!$C$2:$C$201,[1]data!AB$2:AB$201)*1000000)</f>
        <v>16498.860309105388</v>
      </c>
      <c r="V92">
        <f>[4]data!V92*1000000000/(_xlfn.XLOOKUP($B92,[1]data!$C$2:$C$201,[1]data!AC$2:AC$201)*1000000)</f>
        <v>19286.686933880428</v>
      </c>
      <c r="W92">
        <f>[4]data!W92*1000000000/(_xlfn.XLOOKUP($B92,[1]data!$C$2:$C$201,[1]data!AD$2:AD$201)*1000000)</f>
        <v>22447.743180281479</v>
      </c>
      <c r="X92">
        <f>[4]data!X92*1000000000/(_xlfn.XLOOKUP($B92,[1]data!$C$2:$C$201,[1]data!AE$2:AE$201)*1000000)</f>
        <v>26009.318703489462</v>
      </c>
      <c r="Y92">
        <f>[4]data!Y92*1000000000/(_xlfn.XLOOKUP($B92,[1]data!$C$2:$C$201,[1]data!AF$2:AF$201)*1000000)</f>
        <v>29945.734294475922</v>
      </c>
      <c r="Z92">
        <f>[4]data!Z92*1000000000/(_xlfn.XLOOKUP($B92,[1]data!$C$2:$C$201,[1]data!AG$2:AG$201)*1000000)</f>
        <v>34261.498574536468</v>
      </c>
      <c r="AA92">
        <f>[4]data!AA92*1000000000/(_xlfn.XLOOKUP($B92,[1]data!$C$2:$C$201,[1]data!AH$2:AH$201)*1000000)</f>
        <v>38983.83748594689</v>
      </c>
      <c r="AB92">
        <f>[4]data!AB92*1000000000/(_xlfn.XLOOKUP($B92,[1]data!$C$2:$C$201,[1]data!AI$2:AI$201)*1000000)</f>
        <v>44197.50372937561</v>
      </c>
      <c r="AC92">
        <f>[4]data!AC92*1000000000/(_xlfn.XLOOKUP($B92,[1]data!$C$2:$C$201,[1]data!AJ$2:AJ$201)*1000000)</f>
        <v>49962.959503147118</v>
      </c>
    </row>
    <row r="93" spans="1:29" x14ac:dyDescent="0.25">
      <c r="A93" t="s">
        <v>232</v>
      </c>
      <c r="B93" t="s">
        <v>126</v>
      </c>
      <c r="C93" t="s">
        <v>233</v>
      </c>
      <c r="D93" t="s">
        <v>234</v>
      </c>
      <c r="E93" t="e">
        <f>[4]data!E93*1000000000/(_xlfn.XLOOKUP($B93,[1]data!$C$2:$C$201,[1]data!L$2:L$201)*1000000)</f>
        <v>#VALUE!</v>
      </c>
      <c r="F93" t="e">
        <f>[4]data!F93*1000000000/(_xlfn.XLOOKUP($B93,[1]data!$C$2:$C$201,[1]data!M$2:M$201)*1000000)</f>
        <v>#VALUE!</v>
      </c>
      <c r="G93">
        <f>[4]data!G93*1000000000/(_xlfn.XLOOKUP($B93,[1]data!$C$2:$C$201,[1]data!N$2:N$201)*1000000)</f>
        <v>5190.2200811693665</v>
      </c>
      <c r="H93">
        <f>[4]data!H93*1000000000/(_xlfn.XLOOKUP($B93,[1]data!$C$2:$C$201,[1]data!O$2:O$201)*1000000)</f>
        <v>2535.8424922837289</v>
      </c>
      <c r="I93">
        <f>[4]data!I93*1000000000/(_xlfn.XLOOKUP($B93,[1]data!$C$2:$C$201,[1]data!P$2:P$201)*1000000)</f>
        <v>3094.5555238832103</v>
      </c>
      <c r="J93">
        <f>[4]data!J93*1000000000/(_xlfn.XLOOKUP($B93,[1]data!$C$2:$C$201,[1]data!Q$2:Q$201)*1000000)</f>
        <v>3542.0367316019738</v>
      </c>
      <c r="K93">
        <f>[4]data!K93*1000000000/(_xlfn.XLOOKUP($B93,[1]data!$C$2:$C$201,[1]data!R$2:R$201)*1000000)</f>
        <v>4137.4071505152915</v>
      </c>
      <c r="L93">
        <f>[4]data!L93*1000000000/(_xlfn.XLOOKUP($B93,[1]data!$C$2:$C$201,[1]data!S$2:S$201)*1000000)</f>
        <v>4881.3143444470206</v>
      </c>
      <c r="M93">
        <f>[4]data!M93*1000000000/(_xlfn.XLOOKUP($B93,[1]data!$C$2:$C$201,[1]data!T$2:T$201)*1000000)</f>
        <v>4932.4007392582917</v>
      </c>
      <c r="N93">
        <f>[4]data!N93*1000000000/(_xlfn.XLOOKUP($B93,[1]data!$C$2:$C$201,[1]data!U$2:U$201)*1000000)</f>
        <v>5726.0938784676619</v>
      </c>
      <c r="O93">
        <f>[4]data!O93*1000000000/(_xlfn.XLOOKUP($B93,[1]data!$C$2:$C$201,[1]data!V$2:V$201)*1000000)</f>
        <v>6524.3827346357066</v>
      </c>
      <c r="P93">
        <f>[4]data!P93*1000000000/(_xlfn.XLOOKUP($B93,[1]data!$C$2:$C$201,[1]data!W$2:W$201)*1000000)</f>
        <v>7497.813919720631</v>
      </c>
      <c r="Q93">
        <f>[4]data!Q93*1000000000/(_xlfn.XLOOKUP($B93,[1]data!$C$2:$C$201,[1]data!X$2:X$201)*1000000)</f>
        <v>8542.9802257642768</v>
      </c>
      <c r="R93">
        <f>[4]data!R93*1000000000/(_xlfn.XLOOKUP($B93,[1]data!$C$2:$C$201,[1]data!Y$2:Y$201)*1000000)</f>
        <v>9669.3400381247557</v>
      </c>
      <c r="S93">
        <f>[4]data!S93*1000000000/(_xlfn.XLOOKUP($B93,[1]data!$C$2:$C$201,[1]data!Z$2:Z$201)*1000000)</f>
        <v>10973.224129539281</v>
      </c>
      <c r="T93">
        <f>[4]data!T93*1000000000/(_xlfn.XLOOKUP($B93,[1]data!$C$2:$C$201,[1]data!AA$2:AA$201)*1000000)</f>
        <v>12532.073467569873</v>
      </c>
      <c r="U93">
        <f>[4]data!U93*1000000000/(_xlfn.XLOOKUP($B93,[1]data!$C$2:$C$201,[1]data!AB$2:AB$201)*1000000)</f>
        <v>14386.802730855685</v>
      </c>
      <c r="V93">
        <f>[4]data!V93*1000000000/(_xlfn.XLOOKUP($B93,[1]data!$C$2:$C$201,[1]data!AC$2:AC$201)*1000000)</f>
        <v>16555.918867262339</v>
      </c>
      <c r="W93">
        <f>[4]data!W93*1000000000/(_xlfn.XLOOKUP($B93,[1]data!$C$2:$C$201,[1]data!AD$2:AD$201)*1000000)</f>
        <v>18995.327725487528</v>
      </c>
      <c r="X93">
        <f>[4]data!X93*1000000000/(_xlfn.XLOOKUP($B93,[1]data!$C$2:$C$201,[1]data!AE$2:AE$201)*1000000)</f>
        <v>21683.558155304589</v>
      </c>
      <c r="Y93">
        <f>[4]data!Y93*1000000000/(_xlfn.XLOOKUP($B93,[1]data!$C$2:$C$201,[1]data!AF$2:AF$201)*1000000)</f>
        <v>24633.686464775605</v>
      </c>
      <c r="Z93">
        <f>[4]data!Z93*1000000000/(_xlfn.XLOOKUP($B93,[1]data!$C$2:$C$201,[1]data!AG$2:AG$201)*1000000)</f>
        <v>27889.073066274465</v>
      </c>
      <c r="AA93">
        <f>[4]data!AA93*1000000000/(_xlfn.XLOOKUP($B93,[1]data!$C$2:$C$201,[1]data!AH$2:AH$201)*1000000)</f>
        <v>31520.904971226966</v>
      </c>
      <c r="AB93">
        <f>[4]data!AB93*1000000000/(_xlfn.XLOOKUP($B93,[1]data!$C$2:$C$201,[1]data!AI$2:AI$201)*1000000)</f>
        <v>35529.037231207607</v>
      </c>
      <c r="AC93">
        <f>[4]data!AC93*1000000000/(_xlfn.XLOOKUP($B93,[1]data!$C$2:$C$201,[1]data!AJ$2:AJ$201)*1000000)</f>
        <v>39912.91583087766</v>
      </c>
    </row>
    <row r="94" spans="1:29" x14ac:dyDescent="0.25">
      <c r="A94" t="s">
        <v>232</v>
      </c>
      <c r="B94" t="s">
        <v>127</v>
      </c>
      <c r="C94" t="s">
        <v>233</v>
      </c>
      <c r="D94" t="s">
        <v>234</v>
      </c>
      <c r="E94" t="e">
        <f>[4]data!E94*1000000000/(_xlfn.XLOOKUP($B94,[1]data!$C$2:$C$201,[1]data!L$2:L$201)*1000000)</f>
        <v>#VALUE!</v>
      </c>
      <c r="F94" t="e">
        <f>[4]data!F94*1000000000/(_xlfn.XLOOKUP($B94,[1]data!$C$2:$C$201,[1]data!M$2:M$201)*1000000)</f>
        <v>#VALUE!</v>
      </c>
      <c r="G94">
        <f>[4]data!G94*1000000000/(_xlfn.XLOOKUP($B94,[1]data!$C$2:$C$201,[1]data!N$2:N$201)*1000000)</f>
        <v>1049.3837827395994</v>
      </c>
      <c r="H94">
        <f>[4]data!H94*1000000000/(_xlfn.XLOOKUP($B94,[1]data!$C$2:$C$201,[1]data!O$2:O$201)*1000000)</f>
        <v>1168.1335200448329</v>
      </c>
      <c r="I94">
        <f>[4]data!I94*1000000000/(_xlfn.XLOOKUP($B94,[1]data!$C$2:$C$201,[1]data!P$2:P$201)*1000000)</f>
        <v>1493.8552304125192</v>
      </c>
      <c r="J94">
        <f>[4]data!J94*1000000000/(_xlfn.XLOOKUP($B94,[1]data!$C$2:$C$201,[1]data!Q$2:Q$201)*1000000)</f>
        <v>2143.37572176513</v>
      </c>
      <c r="K94">
        <f>[4]data!K94*1000000000/(_xlfn.XLOOKUP($B94,[1]data!$C$2:$C$201,[1]data!R$2:R$201)*1000000)</f>
        <v>2726.8674925583064</v>
      </c>
      <c r="L94">
        <f>[4]data!L94*1000000000/(_xlfn.XLOOKUP($B94,[1]data!$C$2:$C$201,[1]data!S$2:S$201)*1000000)</f>
        <v>3591.2400314155316</v>
      </c>
      <c r="M94">
        <f>[4]data!M94*1000000000/(_xlfn.XLOOKUP($B94,[1]data!$C$2:$C$201,[1]data!T$2:T$201)*1000000)</f>
        <v>4302.5788780048051</v>
      </c>
      <c r="N94">
        <f>[4]data!N94*1000000000/(_xlfn.XLOOKUP($B94,[1]data!$C$2:$C$201,[1]data!U$2:U$201)*1000000)</f>
        <v>5241.9159757067573</v>
      </c>
      <c r="O94">
        <f>[4]data!O94*1000000000/(_xlfn.XLOOKUP($B94,[1]data!$C$2:$C$201,[1]data!V$2:V$201)*1000000)</f>
        <v>6780.5458253665456</v>
      </c>
      <c r="P94">
        <f>[4]data!P94*1000000000/(_xlfn.XLOOKUP($B94,[1]data!$C$2:$C$201,[1]data!W$2:W$201)*1000000)</f>
        <v>8679.0095919322612</v>
      </c>
      <c r="Q94">
        <f>[4]data!Q94*1000000000/(_xlfn.XLOOKUP($B94,[1]data!$C$2:$C$201,[1]data!X$2:X$201)*1000000)</f>
        <v>10918.447125866016</v>
      </c>
      <c r="R94">
        <f>[4]data!R94*1000000000/(_xlfn.XLOOKUP($B94,[1]data!$C$2:$C$201,[1]data!Y$2:Y$201)*1000000)</f>
        <v>13633.506957321017</v>
      </c>
      <c r="S94">
        <f>[4]data!S94*1000000000/(_xlfn.XLOOKUP($B94,[1]data!$C$2:$C$201,[1]data!Z$2:Z$201)*1000000)</f>
        <v>16911.06488224757</v>
      </c>
      <c r="T94">
        <f>[4]data!T94*1000000000/(_xlfn.XLOOKUP($B94,[1]data!$C$2:$C$201,[1]data!AA$2:AA$201)*1000000)</f>
        <v>20750.82291394706</v>
      </c>
      <c r="U94">
        <f>[4]data!U94*1000000000/(_xlfn.XLOOKUP($B94,[1]data!$C$2:$C$201,[1]data!AB$2:AB$201)*1000000)</f>
        <v>25390.277742117756</v>
      </c>
      <c r="V94">
        <f>[4]data!V94*1000000000/(_xlfn.XLOOKUP($B94,[1]data!$C$2:$C$201,[1]data!AC$2:AC$201)*1000000)</f>
        <v>30821.547980069707</v>
      </c>
      <c r="W94">
        <f>[4]data!W94*1000000000/(_xlfn.XLOOKUP($B94,[1]data!$C$2:$C$201,[1]data!AD$2:AD$201)*1000000)</f>
        <v>36863.167731347596</v>
      </c>
      <c r="X94">
        <f>[4]data!X94*1000000000/(_xlfn.XLOOKUP($B94,[1]data!$C$2:$C$201,[1]data!AE$2:AE$201)*1000000)</f>
        <v>43484.884341287623</v>
      </c>
      <c r="Y94">
        <f>[4]data!Y94*1000000000/(_xlfn.XLOOKUP($B94,[1]data!$C$2:$C$201,[1]data!AF$2:AF$201)*1000000)</f>
        <v>50656.03024132811</v>
      </c>
      <c r="Z94">
        <f>[4]data!Z94*1000000000/(_xlfn.XLOOKUP($B94,[1]data!$C$2:$C$201,[1]data!AG$2:AG$201)*1000000)</f>
        <v>58382.134811418269</v>
      </c>
      <c r="AA94">
        <f>[4]data!AA94*1000000000/(_xlfn.XLOOKUP($B94,[1]data!$C$2:$C$201,[1]data!AH$2:AH$201)*1000000)</f>
        <v>66673.95208785971</v>
      </c>
      <c r="AB94">
        <f>[4]data!AB94*1000000000/(_xlfn.XLOOKUP($B94,[1]data!$C$2:$C$201,[1]data!AI$2:AI$201)*1000000)</f>
        <v>75580.545417632442</v>
      </c>
      <c r="AC94">
        <f>[4]data!AC94*1000000000/(_xlfn.XLOOKUP($B94,[1]data!$C$2:$C$201,[1]data!AJ$2:AJ$201)*1000000)</f>
        <v>85127.690726105226</v>
      </c>
    </row>
    <row r="95" spans="1:29" x14ac:dyDescent="0.25">
      <c r="A95" t="s">
        <v>232</v>
      </c>
      <c r="B95" t="s">
        <v>128</v>
      </c>
      <c r="C95" t="s">
        <v>233</v>
      </c>
      <c r="D95" t="s">
        <v>234</v>
      </c>
      <c r="E95">
        <f>[4]data!E95*1000000000/(_xlfn.XLOOKUP($B95,[1]data!$C$2:$C$201,[1]data!L$2:L$201)*1000000)</f>
        <v>2248.1423737809323</v>
      </c>
      <c r="F95">
        <f>[4]data!F95*1000000000/(_xlfn.XLOOKUP($B95,[1]data!$C$2:$C$201,[1]data!M$2:M$201)*1000000)</f>
        <v>1962.8927862242501</v>
      </c>
      <c r="G95">
        <f>[4]data!G95*1000000000/(_xlfn.XLOOKUP($B95,[1]data!$C$2:$C$201,[1]data!N$2:N$201)*1000000)</f>
        <v>1856.4277833095616</v>
      </c>
      <c r="H95">
        <f>[4]data!H95*1000000000/(_xlfn.XLOOKUP($B95,[1]data!$C$2:$C$201,[1]data!O$2:O$201)*1000000)</f>
        <v>1766.298499709342</v>
      </c>
      <c r="I95">
        <f>[4]data!I95*1000000000/(_xlfn.XLOOKUP($B95,[1]data!$C$2:$C$201,[1]data!P$2:P$201)*1000000)</f>
        <v>1869.6511535446934</v>
      </c>
      <c r="J95">
        <f>[4]data!J95*1000000000/(_xlfn.XLOOKUP($B95,[1]data!$C$2:$C$201,[1]data!Q$2:Q$201)*1000000)</f>
        <v>1817.8292181069955</v>
      </c>
      <c r="K95">
        <f>[4]data!K95*1000000000/(_xlfn.XLOOKUP($B95,[1]data!$C$2:$C$201,[1]data!R$2:R$201)*1000000)</f>
        <v>1651.074128409505</v>
      </c>
      <c r="L95">
        <f>[4]data!L95*1000000000/(_xlfn.XLOOKUP($B95,[1]data!$C$2:$C$201,[1]data!S$2:S$201)*1000000)</f>
        <v>1849.5877045287743</v>
      </c>
      <c r="M95">
        <f>[4]data!M95*1000000000/(_xlfn.XLOOKUP($B95,[1]data!$C$2:$C$201,[1]data!T$2:T$201)*1000000)</f>
        <v>1719.8103115170427</v>
      </c>
      <c r="N95">
        <f>[4]data!N95*1000000000/(_xlfn.XLOOKUP($B95,[1]data!$C$2:$C$201,[1]data!U$2:U$201)*1000000)</f>
        <v>1858.587268812779</v>
      </c>
      <c r="O95">
        <f>[4]data!O95*1000000000/(_xlfn.XLOOKUP($B95,[1]data!$C$2:$C$201,[1]data!V$2:V$201)*1000000)</f>
        <v>1991.6499574257832</v>
      </c>
      <c r="P95">
        <f>[4]data!P95*1000000000/(_xlfn.XLOOKUP($B95,[1]data!$C$2:$C$201,[1]data!W$2:W$201)*1000000)</f>
        <v>2434.1137733123364</v>
      </c>
      <c r="Q95">
        <f>[4]data!Q95*1000000000/(_xlfn.XLOOKUP($B95,[1]data!$C$2:$C$201,[1]data!X$2:X$201)*1000000)</f>
        <v>3102.2797940349742</v>
      </c>
      <c r="R95">
        <f>[4]data!R95*1000000000/(_xlfn.XLOOKUP($B95,[1]data!$C$2:$C$201,[1]data!Y$2:Y$201)*1000000)</f>
        <v>4034.7612883212323</v>
      </c>
      <c r="S95">
        <f>[4]data!S95*1000000000/(_xlfn.XLOOKUP($B95,[1]data!$C$2:$C$201,[1]data!Z$2:Z$201)*1000000)</f>
        <v>5328.3775607226207</v>
      </c>
      <c r="T95">
        <f>[4]data!T95*1000000000/(_xlfn.XLOOKUP($B95,[1]data!$C$2:$C$201,[1]data!AA$2:AA$201)*1000000)</f>
        <v>7148.6514575269512</v>
      </c>
      <c r="U95">
        <f>[4]data!U95*1000000000/(_xlfn.XLOOKUP($B95,[1]data!$C$2:$C$201,[1]data!AB$2:AB$201)*1000000)</f>
        <v>9747.2512255241381</v>
      </c>
      <c r="V95">
        <f>[4]data!V95*1000000000/(_xlfn.XLOOKUP($B95,[1]data!$C$2:$C$201,[1]data!AC$2:AC$201)*1000000)</f>
        <v>13379.483848237362</v>
      </c>
      <c r="W95">
        <f>[4]data!W95*1000000000/(_xlfn.XLOOKUP($B95,[1]data!$C$2:$C$201,[1]data!AD$2:AD$201)*1000000)</f>
        <v>18261.476333067774</v>
      </c>
      <c r="X95">
        <f>[4]data!X95*1000000000/(_xlfn.XLOOKUP($B95,[1]data!$C$2:$C$201,[1]data!AE$2:AE$201)*1000000)</f>
        <v>24599.785790789003</v>
      </c>
      <c r="Y95">
        <f>[4]data!Y95*1000000000/(_xlfn.XLOOKUP($B95,[1]data!$C$2:$C$201,[1]data!AF$2:AF$201)*1000000)</f>
        <v>32582.75742631414</v>
      </c>
      <c r="Z95">
        <f>[4]data!Z95*1000000000/(_xlfn.XLOOKUP($B95,[1]data!$C$2:$C$201,[1]data!AG$2:AG$201)*1000000)</f>
        <v>42515.359077021494</v>
      </c>
      <c r="AA95">
        <f>[4]data!AA95*1000000000/(_xlfn.XLOOKUP($B95,[1]data!$C$2:$C$201,[1]data!AH$2:AH$201)*1000000)</f>
        <v>54828.182035369231</v>
      </c>
      <c r="AB95">
        <f>[4]data!AB95*1000000000/(_xlfn.XLOOKUP($B95,[1]data!$C$2:$C$201,[1]data!AI$2:AI$201)*1000000)</f>
        <v>69874.533435265548</v>
      </c>
      <c r="AC95">
        <f>[4]data!AC95*1000000000/(_xlfn.XLOOKUP($B95,[1]data!$C$2:$C$201,[1]data!AJ$2:AJ$201)*1000000)</f>
        <v>87869.368572944062</v>
      </c>
    </row>
    <row r="96" spans="1:29" x14ac:dyDescent="0.25">
      <c r="A96" t="s">
        <v>232</v>
      </c>
      <c r="B96" t="s">
        <v>129</v>
      </c>
      <c r="C96" t="s">
        <v>233</v>
      </c>
      <c r="D96" t="s">
        <v>234</v>
      </c>
      <c r="E96">
        <f>[4]data!E96*1000000000/(_xlfn.XLOOKUP($B96,[1]data!$C$2:$C$201,[1]data!L$2:L$201)*1000000)</f>
        <v>5506.7035626742072</v>
      </c>
      <c r="F96">
        <f>[4]data!F96*1000000000/(_xlfn.XLOOKUP($B96,[1]data!$C$2:$C$201,[1]data!M$2:M$201)*1000000)</f>
        <v>8011.6567279935425</v>
      </c>
      <c r="G96">
        <f>[4]data!G96*1000000000/(_xlfn.XLOOKUP($B96,[1]data!$C$2:$C$201,[1]data!N$2:N$201)*1000000)</f>
        <v>12371.317372191806</v>
      </c>
      <c r="H96">
        <f>[4]data!H96*1000000000/(_xlfn.XLOOKUP($B96,[1]data!$C$2:$C$201,[1]data!O$2:O$201)*1000000)</f>
        <v>18044.93248987331</v>
      </c>
      <c r="I96">
        <f>[4]data!I96*1000000000/(_xlfn.XLOOKUP($B96,[1]data!$C$2:$C$201,[1]data!P$2:P$201)*1000000)</f>
        <v>22587.743583194009</v>
      </c>
      <c r="J96">
        <f>[4]data!J96*1000000000/(_xlfn.XLOOKUP($B96,[1]data!$C$2:$C$201,[1]data!Q$2:Q$201)*1000000)</f>
        <v>28173.992889188798</v>
      </c>
      <c r="K96">
        <f>[4]data!K96*1000000000/(_xlfn.XLOOKUP($B96,[1]data!$C$2:$C$201,[1]data!R$2:R$201)*1000000)</f>
        <v>34172.112325876726</v>
      </c>
      <c r="L96">
        <f>[4]data!L96*1000000000/(_xlfn.XLOOKUP($B96,[1]data!$C$2:$C$201,[1]data!S$2:S$201)*1000000)</f>
        <v>38071.710154568093</v>
      </c>
      <c r="M96">
        <f>[4]data!M96*1000000000/(_xlfn.XLOOKUP($B96,[1]data!$C$2:$C$201,[1]data!T$2:T$201)*1000000)</f>
        <v>41367.673821604621</v>
      </c>
      <c r="N96">
        <f>[4]data!N96*1000000000/(_xlfn.XLOOKUP($B96,[1]data!$C$2:$C$201,[1]data!U$2:U$201)*1000000)</f>
        <v>47196.084213540693</v>
      </c>
      <c r="O96">
        <f>[4]data!O96*1000000000/(_xlfn.XLOOKUP($B96,[1]data!$C$2:$C$201,[1]data!V$2:V$201)*1000000)</f>
        <v>52374.063611897735</v>
      </c>
      <c r="P96">
        <f>[4]data!P96*1000000000/(_xlfn.XLOOKUP($B96,[1]data!$C$2:$C$201,[1]data!W$2:W$201)*1000000)</f>
        <v>56609.574676409626</v>
      </c>
      <c r="Q96">
        <f>[4]data!Q96*1000000000/(_xlfn.XLOOKUP($B96,[1]data!$C$2:$C$201,[1]data!X$2:X$201)*1000000)</f>
        <v>60317.279359395761</v>
      </c>
      <c r="R96">
        <f>[4]data!R96*1000000000/(_xlfn.XLOOKUP($B96,[1]data!$C$2:$C$201,[1]data!Y$2:Y$201)*1000000)</f>
        <v>63827.377277243344</v>
      </c>
      <c r="S96">
        <f>[4]data!S96*1000000000/(_xlfn.XLOOKUP($B96,[1]data!$C$2:$C$201,[1]data!Z$2:Z$201)*1000000)</f>
        <v>67154.13123672732</v>
      </c>
      <c r="T96">
        <f>[4]data!T96*1000000000/(_xlfn.XLOOKUP($B96,[1]data!$C$2:$C$201,[1]data!AA$2:AA$201)*1000000)</f>
        <v>70563.498284145157</v>
      </c>
      <c r="U96">
        <f>[4]data!U96*1000000000/(_xlfn.XLOOKUP($B96,[1]data!$C$2:$C$201,[1]data!AB$2:AB$201)*1000000)</f>
        <v>74093.939544189649</v>
      </c>
      <c r="V96">
        <f>[4]data!V96*1000000000/(_xlfn.XLOOKUP($B96,[1]data!$C$2:$C$201,[1]data!AC$2:AC$201)*1000000)</f>
        <v>77807.992848041453</v>
      </c>
      <c r="W96">
        <f>[4]data!W96*1000000000/(_xlfn.XLOOKUP($B96,[1]data!$C$2:$C$201,[1]data!AD$2:AD$201)*1000000)</f>
        <v>81362.772377907677</v>
      </c>
      <c r="X96">
        <f>[4]data!X96*1000000000/(_xlfn.XLOOKUP($B96,[1]data!$C$2:$C$201,[1]data!AE$2:AE$201)*1000000)</f>
        <v>84627.900212586406</v>
      </c>
      <c r="Y96">
        <f>[4]data!Y96*1000000000/(_xlfn.XLOOKUP($B96,[1]data!$C$2:$C$201,[1]data!AF$2:AF$201)*1000000)</f>
        <v>87567.692433191638</v>
      </c>
      <c r="Z96">
        <f>[4]data!Z96*1000000000/(_xlfn.XLOOKUP($B96,[1]data!$C$2:$C$201,[1]data!AG$2:AG$201)*1000000)</f>
        <v>90207.271878890839</v>
      </c>
      <c r="AA96">
        <f>[4]data!AA96*1000000000/(_xlfn.XLOOKUP($B96,[1]data!$C$2:$C$201,[1]data!AH$2:AH$201)*1000000)</f>
        <v>92689.247783824496</v>
      </c>
      <c r="AB96">
        <f>[4]data!AB96*1000000000/(_xlfn.XLOOKUP($B96,[1]data!$C$2:$C$201,[1]data!AI$2:AI$201)*1000000)</f>
        <v>95098.517338810139</v>
      </c>
      <c r="AC96">
        <f>[4]data!AC96*1000000000/(_xlfn.XLOOKUP($B96,[1]data!$C$2:$C$201,[1]data!AJ$2:AJ$201)*1000000)</f>
        <v>97281.481382923215</v>
      </c>
    </row>
    <row r="97" spans="1:29" x14ac:dyDescent="0.25">
      <c r="A97" t="s">
        <v>232</v>
      </c>
      <c r="B97" t="s">
        <v>130</v>
      </c>
      <c r="C97" t="s">
        <v>233</v>
      </c>
      <c r="D97" t="s">
        <v>234</v>
      </c>
      <c r="E97">
        <f>[4]data!E97*1000000000/(_xlfn.XLOOKUP($B97,[1]data!$C$2:$C$201,[1]data!L$2:L$201)*1000000)</f>
        <v>57308.789917041475</v>
      </c>
      <c r="F97">
        <f>[4]data!F97*1000000000/(_xlfn.XLOOKUP($B97,[1]data!$C$2:$C$201,[1]data!M$2:M$201)*1000000)</f>
        <v>35053.736349647981</v>
      </c>
      <c r="G97">
        <f>[4]data!G97*1000000000/(_xlfn.XLOOKUP($B97,[1]data!$C$2:$C$201,[1]data!N$2:N$201)*1000000)</f>
        <v>28251.625718450483</v>
      </c>
      <c r="H97">
        <f>[4]data!H97*1000000000/(_xlfn.XLOOKUP($B97,[1]data!$C$2:$C$201,[1]data!O$2:O$201)*1000000)</f>
        <v>62543.813061013447</v>
      </c>
      <c r="I97">
        <f>[4]data!I97*1000000000/(_xlfn.XLOOKUP($B97,[1]data!$C$2:$C$201,[1]data!P$2:P$201)*1000000)</f>
        <v>58989.758678736835</v>
      </c>
      <c r="J97">
        <f>[4]data!J97*1000000000/(_xlfn.XLOOKUP($B97,[1]data!$C$2:$C$201,[1]data!Q$2:Q$201)*1000000)</f>
        <v>76223.761780951725</v>
      </c>
      <c r="K97">
        <f>[4]data!K97*1000000000/(_xlfn.XLOOKUP($B97,[1]data!$C$2:$C$201,[1]data!R$2:R$201)*1000000)</f>
        <v>61351.588550483641</v>
      </c>
      <c r="L97">
        <f>[4]data!L97*1000000000/(_xlfn.XLOOKUP($B97,[1]data!$C$2:$C$201,[1]data!S$2:S$201)*1000000)</f>
        <v>56076.214101667152</v>
      </c>
      <c r="M97">
        <f>[4]data!M97*1000000000/(_xlfn.XLOOKUP($B97,[1]data!$C$2:$C$201,[1]data!T$2:T$201)*1000000)</f>
        <v>42861.57720918252</v>
      </c>
      <c r="N97">
        <f>[4]data!N97*1000000000/(_xlfn.XLOOKUP($B97,[1]data!$C$2:$C$201,[1]data!U$2:U$201)*1000000)</f>
        <v>47720.982720748318</v>
      </c>
      <c r="O97">
        <f>[4]data!O97*1000000000/(_xlfn.XLOOKUP($B97,[1]data!$C$2:$C$201,[1]data!V$2:V$201)*1000000)</f>
        <v>51466.668224205889</v>
      </c>
      <c r="P97">
        <f>[4]data!P97*1000000000/(_xlfn.XLOOKUP($B97,[1]data!$C$2:$C$201,[1]data!W$2:W$201)*1000000)</f>
        <v>56160.13895914553</v>
      </c>
      <c r="Q97">
        <f>[4]data!Q97*1000000000/(_xlfn.XLOOKUP($B97,[1]data!$C$2:$C$201,[1]data!X$2:X$201)*1000000)</f>
        <v>61088.658910391445</v>
      </c>
      <c r="R97">
        <f>[4]data!R97*1000000000/(_xlfn.XLOOKUP($B97,[1]data!$C$2:$C$201,[1]data!Y$2:Y$201)*1000000)</f>
        <v>65642.093301102752</v>
      </c>
      <c r="S97">
        <f>[4]data!S97*1000000000/(_xlfn.XLOOKUP($B97,[1]data!$C$2:$C$201,[1]data!Z$2:Z$201)*1000000)</f>
        <v>70379.26040779239</v>
      </c>
      <c r="T97">
        <f>[4]data!T97*1000000000/(_xlfn.XLOOKUP($B97,[1]data!$C$2:$C$201,[1]data!AA$2:AA$201)*1000000)</f>
        <v>75406.909848885145</v>
      </c>
      <c r="U97">
        <f>[4]data!U97*1000000000/(_xlfn.XLOOKUP($B97,[1]data!$C$2:$C$201,[1]data!AB$2:AB$201)*1000000)</f>
        <v>80775.429998689506</v>
      </c>
      <c r="V97">
        <f>[4]data!V97*1000000000/(_xlfn.XLOOKUP($B97,[1]data!$C$2:$C$201,[1]data!AC$2:AC$201)*1000000)</f>
        <v>86075.269420455486</v>
      </c>
      <c r="W97">
        <f>[4]data!W97*1000000000/(_xlfn.XLOOKUP($B97,[1]data!$C$2:$C$201,[1]data!AD$2:AD$201)*1000000)</f>
        <v>90731.317659100867</v>
      </c>
      <c r="X97">
        <f>[4]data!X97*1000000000/(_xlfn.XLOOKUP($B97,[1]data!$C$2:$C$201,[1]data!AE$2:AE$201)*1000000)</f>
        <v>95343.325969010577</v>
      </c>
      <c r="Y97">
        <f>[4]data!Y97*1000000000/(_xlfn.XLOOKUP($B97,[1]data!$C$2:$C$201,[1]data!AF$2:AF$201)*1000000)</f>
        <v>99943.004405920379</v>
      </c>
      <c r="Z97">
        <f>[4]data!Z97*1000000000/(_xlfn.XLOOKUP($B97,[1]data!$C$2:$C$201,[1]data!AG$2:AG$201)*1000000)</f>
        <v>104735.06853511561</v>
      </c>
      <c r="AA97">
        <f>[4]data!AA97*1000000000/(_xlfn.XLOOKUP($B97,[1]data!$C$2:$C$201,[1]data!AH$2:AH$201)*1000000)</f>
        <v>109980.63249571</v>
      </c>
      <c r="AB97">
        <f>[4]data!AB97*1000000000/(_xlfn.XLOOKUP($B97,[1]data!$C$2:$C$201,[1]data!AI$2:AI$201)*1000000)</f>
        <v>115837.25689578972</v>
      </c>
      <c r="AC97">
        <f>[4]data!AC97*1000000000/(_xlfn.XLOOKUP($B97,[1]data!$C$2:$C$201,[1]data!AJ$2:AJ$201)*1000000)</f>
        <v>122347.37954655875</v>
      </c>
    </row>
    <row r="98" spans="1:29" x14ac:dyDescent="0.25">
      <c r="A98" t="s">
        <v>232</v>
      </c>
      <c r="B98" t="s">
        <v>131</v>
      </c>
      <c r="C98" t="s">
        <v>233</v>
      </c>
      <c r="D98" t="s">
        <v>234</v>
      </c>
      <c r="E98">
        <f>[4]data!E98*1000000000/(_xlfn.XLOOKUP($B98,[1]data!$C$2:$C$201,[1]data!L$2:L$201)*1000000)</f>
        <v>1501.6989541503021</v>
      </c>
      <c r="F98">
        <f>[4]data!F98*1000000000/(_xlfn.XLOOKUP($B98,[1]data!$C$2:$C$201,[1]data!M$2:M$201)*1000000)</f>
        <v>1918.9698824456698</v>
      </c>
      <c r="G98">
        <f>[4]data!G98*1000000000/(_xlfn.XLOOKUP($B98,[1]data!$C$2:$C$201,[1]data!N$2:N$201)*1000000)</f>
        <v>1983.5129453988561</v>
      </c>
      <c r="H98">
        <f>[4]data!H98*1000000000/(_xlfn.XLOOKUP($B98,[1]data!$C$2:$C$201,[1]data!O$2:O$201)*1000000)</f>
        <v>2363.7150149596237</v>
      </c>
      <c r="I98">
        <f>[4]data!I98*1000000000/(_xlfn.XLOOKUP($B98,[1]data!$C$2:$C$201,[1]data!P$2:P$201)*1000000)</f>
        <v>2818.9317335633641</v>
      </c>
      <c r="J98">
        <f>[4]data!J98*1000000000/(_xlfn.XLOOKUP($B98,[1]data!$C$2:$C$201,[1]data!Q$2:Q$201)*1000000)</f>
        <v>3561.0914797738292</v>
      </c>
      <c r="K98">
        <f>[4]data!K98*1000000000/(_xlfn.XLOOKUP($B98,[1]data!$C$2:$C$201,[1]data!R$2:R$201)*1000000)</f>
        <v>4841.1243451508226</v>
      </c>
      <c r="L98">
        <f>[4]data!L98*1000000000/(_xlfn.XLOOKUP($B98,[1]data!$C$2:$C$201,[1]data!S$2:S$201)*1000000)</f>
        <v>6548.3896491131973</v>
      </c>
      <c r="M98">
        <f>[4]data!M98*1000000000/(_xlfn.XLOOKUP($B98,[1]data!$C$2:$C$201,[1]data!T$2:T$201)*1000000)</f>
        <v>7689.2924499931105</v>
      </c>
      <c r="N98">
        <f>[4]data!N98*1000000000/(_xlfn.XLOOKUP($B98,[1]data!$C$2:$C$201,[1]data!U$2:U$201)*1000000)</f>
        <v>8450.9169144114931</v>
      </c>
      <c r="O98">
        <f>[4]data!O98*1000000000/(_xlfn.XLOOKUP($B98,[1]data!$C$2:$C$201,[1]data!V$2:V$201)*1000000)</f>
        <v>9977.5624025900852</v>
      </c>
      <c r="P98">
        <f>[4]data!P98*1000000000/(_xlfn.XLOOKUP($B98,[1]data!$C$2:$C$201,[1]data!W$2:W$201)*1000000)</f>
        <v>11882.165301515177</v>
      </c>
      <c r="Q98">
        <f>[4]data!Q98*1000000000/(_xlfn.XLOOKUP($B98,[1]data!$C$2:$C$201,[1]data!X$2:X$201)*1000000)</f>
        <v>13990.377755107691</v>
      </c>
      <c r="R98">
        <f>[4]data!R98*1000000000/(_xlfn.XLOOKUP($B98,[1]data!$C$2:$C$201,[1]data!Y$2:Y$201)*1000000)</f>
        <v>16426.862281397829</v>
      </c>
      <c r="S98">
        <f>[4]data!S98*1000000000/(_xlfn.XLOOKUP($B98,[1]data!$C$2:$C$201,[1]data!Z$2:Z$201)*1000000)</f>
        <v>19275.732118265809</v>
      </c>
      <c r="T98">
        <f>[4]data!T98*1000000000/(_xlfn.XLOOKUP($B98,[1]data!$C$2:$C$201,[1]data!AA$2:AA$201)*1000000)</f>
        <v>22561.252522377868</v>
      </c>
      <c r="U98">
        <f>[4]data!U98*1000000000/(_xlfn.XLOOKUP($B98,[1]data!$C$2:$C$201,[1]data!AB$2:AB$201)*1000000)</f>
        <v>26310.836887369205</v>
      </c>
      <c r="V98">
        <f>[4]data!V98*1000000000/(_xlfn.XLOOKUP($B98,[1]data!$C$2:$C$201,[1]data!AC$2:AC$201)*1000000)</f>
        <v>30571.515044835021</v>
      </c>
      <c r="W98">
        <f>[4]data!W98*1000000000/(_xlfn.XLOOKUP($B98,[1]data!$C$2:$C$201,[1]data!AD$2:AD$201)*1000000)</f>
        <v>35202.222554601205</v>
      </c>
      <c r="X98">
        <f>[4]data!X98*1000000000/(_xlfn.XLOOKUP($B98,[1]data!$C$2:$C$201,[1]data!AE$2:AE$201)*1000000)</f>
        <v>40238.071706128809</v>
      </c>
      <c r="Y98">
        <f>[4]data!Y98*1000000000/(_xlfn.XLOOKUP($B98,[1]data!$C$2:$C$201,[1]data!AF$2:AF$201)*1000000)</f>
        <v>45595.775810503117</v>
      </c>
      <c r="Z98">
        <f>[4]data!Z98*1000000000/(_xlfn.XLOOKUP($B98,[1]data!$C$2:$C$201,[1]data!AG$2:AG$201)*1000000)</f>
        <v>51313.845664223962</v>
      </c>
      <c r="AA98">
        <f>[4]data!AA98*1000000000/(_xlfn.XLOOKUP($B98,[1]data!$C$2:$C$201,[1]data!AH$2:AH$201)*1000000)</f>
        <v>57403.639346737502</v>
      </c>
      <c r="AB98">
        <f>[4]data!AB98*1000000000/(_xlfn.XLOOKUP($B98,[1]data!$C$2:$C$201,[1]data!AI$2:AI$201)*1000000)</f>
        <v>63899.551076011077</v>
      </c>
      <c r="AC98">
        <f>[4]data!AC98*1000000000/(_xlfn.XLOOKUP($B98,[1]data!$C$2:$C$201,[1]data!AJ$2:AJ$201)*1000000)</f>
        <v>70819.763026302797</v>
      </c>
    </row>
    <row r="99" spans="1:29" x14ac:dyDescent="0.25">
      <c r="A99" t="s">
        <v>232</v>
      </c>
      <c r="B99" t="s">
        <v>132</v>
      </c>
      <c r="C99" t="s">
        <v>233</v>
      </c>
      <c r="D99" t="s">
        <v>234</v>
      </c>
      <c r="E99">
        <f>[4]data!E99*1000000000/(_xlfn.XLOOKUP($B99,[1]data!$C$2:$C$201,[1]data!L$2:L$201)*1000000)</f>
        <v>16522.097461067289</v>
      </c>
      <c r="F99">
        <f>[4]data!F99*1000000000/(_xlfn.XLOOKUP($B99,[1]data!$C$2:$C$201,[1]data!M$2:M$201)*1000000)</f>
        <v>21233.612904598966</v>
      </c>
      <c r="G99">
        <f>[4]data!G99*1000000000/(_xlfn.XLOOKUP($B99,[1]data!$C$2:$C$201,[1]data!N$2:N$201)*1000000)</f>
        <v>7448.4763848283519</v>
      </c>
      <c r="H99">
        <f>[4]data!H99*1000000000/(_xlfn.XLOOKUP($B99,[1]data!$C$2:$C$201,[1]data!O$2:O$201)*1000000)</f>
        <v>12021.026911571022</v>
      </c>
      <c r="I99">
        <f>[4]data!I99*1000000000/(_xlfn.XLOOKUP($B99,[1]data!$C$2:$C$201,[1]data!P$2:P$201)*1000000)</f>
        <v>13141.897598766578</v>
      </c>
      <c r="J99">
        <f>[4]data!J99*1000000000/(_xlfn.XLOOKUP($B99,[1]data!$C$2:$C$201,[1]data!Q$2:Q$201)*1000000)</f>
        <v>14450.357378977891</v>
      </c>
      <c r="K99">
        <f>[4]data!K99*1000000000/(_xlfn.XLOOKUP($B99,[1]data!$C$2:$C$201,[1]data!R$2:R$201)*1000000)</f>
        <v>19268.033575071546</v>
      </c>
      <c r="L99">
        <f>[4]data!L99*1000000000/(_xlfn.XLOOKUP($B99,[1]data!$C$2:$C$201,[1]data!S$2:S$201)*1000000)</f>
        <v>16417.505160237994</v>
      </c>
      <c r="M99">
        <f>[4]data!M99*1000000000/(_xlfn.XLOOKUP($B99,[1]data!$C$2:$C$201,[1]data!T$2:T$201)*1000000)</f>
        <v>12928.182985490632</v>
      </c>
      <c r="N99">
        <f>[4]data!N99*1000000000/(_xlfn.XLOOKUP($B99,[1]data!$C$2:$C$201,[1]data!U$2:U$201)*1000000)</f>
        <v>11753.036075973856</v>
      </c>
      <c r="O99">
        <f>[4]data!O99*1000000000/(_xlfn.XLOOKUP($B99,[1]data!$C$2:$C$201,[1]data!V$2:V$201)*1000000)</f>
        <v>12588.875195810399</v>
      </c>
      <c r="P99">
        <f>[4]data!P99*1000000000/(_xlfn.XLOOKUP($B99,[1]data!$C$2:$C$201,[1]data!W$2:W$201)*1000000)</f>
        <v>13620.337482775478</v>
      </c>
      <c r="Q99">
        <f>[4]data!Q99*1000000000/(_xlfn.XLOOKUP($B99,[1]data!$C$2:$C$201,[1]data!X$2:X$201)*1000000)</f>
        <v>15005.006159434075</v>
      </c>
      <c r="R99">
        <f>[4]data!R99*1000000000/(_xlfn.XLOOKUP($B99,[1]data!$C$2:$C$201,[1]data!Y$2:Y$201)*1000000)</f>
        <v>16811.741416957211</v>
      </c>
      <c r="S99">
        <f>[4]data!S99*1000000000/(_xlfn.XLOOKUP($B99,[1]data!$C$2:$C$201,[1]data!Z$2:Z$201)*1000000)</f>
        <v>19050.039098529698</v>
      </c>
      <c r="T99">
        <f>[4]data!T99*1000000000/(_xlfn.XLOOKUP($B99,[1]data!$C$2:$C$201,[1]data!AA$2:AA$201)*1000000)</f>
        <v>21720.695312040159</v>
      </c>
      <c r="U99">
        <f>[4]data!U99*1000000000/(_xlfn.XLOOKUP($B99,[1]data!$C$2:$C$201,[1]data!AB$2:AB$201)*1000000)</f>
        <v>24770.82593583249</v>
      </c>
      <c r="V99">
        <f>[4]data!V99*1000000000/(_xlfn.XLOOKUP($B99,[1]data!$C$2:$C$201,[1]data!AC$2:AC$201)*1000000)</f>
        <v>28165.937771373487</v>
      </c>
      <c r="W99">
        <f>[4]data!W99*1000000000/(_xlfn.XLOOKUP($B99,[1]data!$C$2:$C$201,[1]data!AD$2:AD$201)*1000000)</f>
        <v>31819.032062296006</v>
      </c>
      <c r="X99">
        <f>[4]data!X99*1000000000/(_xlfn.XLOOKUP($B99,[1]data!$C$2:$C$201,[1]data!AE$2:AE$201)*1000000)</f>
        <v>35724.735845397983</v>
      </c>
      <c r="Y99">
        <f>[4]data!Y99*1000000000/(_xlfn.XLOOKUP($B99,[1]data!$C$2:$C$201,[1]data!AF$2:AF$201)*1000000)</f>
        <v>39887.94483619785</v>
      </c>
      <c r="Z99">
        <f>[4]data!Z99*1000000000/(_xlfn.XLOOKUP($B99,[1]data!$C$2:$C$201,[1]data!AG$2:AG$201)*1000000)</f>
        <v>44393.971347994637</v>
      </c>
      <c r="AA99">
        <f>[4]data!AA99*1000000000/(_xlfn.XLOOKUP($B99,[1]data!$C$2:$C$201,[1]data!AH$2:AH$201)*1000000)</f>
        <v>49254.55925705337</v>
      </c>
      <c r="AB99">
        <f>[4]data!AB99*1000000000/(_xlfn.XLOOKUP($B99,[1]data!$C$2:$C$201,[1]data!AI$2:AI$201)*1000000)</f>
        <v>54420.116145727188</v>
      </c>
      <c r="AC99">
        <f>[4]data!AC99*1000000000/(_xlfn.XLOOKUP($B99,[1]data!$C$2:$C$201,[1]data!AJ$2:AJ$201)*1000000)</f>
        <v>59895.532668498556</v>
      </c>
    </row>
    <row r="100" spans="1:29" x14ac:dyDescent="0.25">
      <c r="A100" t="s">
        <v>232</v>
      </c>
      <c r="B100" t="s">
        <v>133</v>
      </c>
      <c r="C100" t="s">
        <v>233</v>
      </c>
      <c r="D100" t="s">
        <v>234</v>
      </c>
      <c r="E100" t="e">
        <f>[4]data!E100*1000000000/(_xlfn.XLOOKUP($B100,[1]data!$C$2:$C$201,[1]data!L$2:L$201)*1000000)</f>
        <v>#VALUE!</v>
      </c>
      <c r="F100" t="e">
        <f>[4]data!F100*1000000000/(_xlfn.XLOOKUP($B100,[1]data!$C$2:$C$201,[1]data!M$2:M$201)*1000000)</f>
        <v>#VALUE!</v>
      </c>
      <c r="G100" t="e">
        <f>[4]data!G100*1000000000/(_xlfn.XLOOKUP($B100,[1]data!$C$2:$C$201,[1]data!N$2:N$201)*1000000)</f>
        <v>#VALUE!</v>
      </c>
      <c r="H100" t="e">
        <f>[4]data!H100*1000000000/(_xlfn.XLOOKUP($B100,[1]data!$C$2:$C$201,[1]data!O$2:O$201)*1000000)</f>
        <v>#VALUE!</v>
      </c>
      <c r="I100">
        <f>[4]data!I100*1000000000/(_xlfn.XLOOKUP($B100,[1]data!$C$2:$C$201,[1]data!P$2:P$201)*1000000)</f>
        <v>1601.0099630352688</v>
      </c>
      <c r="J100">
        <f>[4]data!J100*1000000000/(_xlfn.XLOOKUP($B100,[1]data!$C$2:$C$201,[1]data!Q$2:Q$201)*1000000)</f>
        <v>1210.2777244625827</v>
      </c>
      <c r="K100">
        <f>[4]data!K100*1000000000/(_xlfn.XLOOKUP($B100,[1]data!$C$2:$C$201,[1]data!R$2:R$201)*1000000)</f>
        <v>1409.2154464926859</v>
      </c>
      <c r="L100">
        <f>[4]data!L100*1000000000/(_xlfn.XLOOKUP($B100,[1]data!$C$2:$C$201,[1]data!S$2:S$201)*1000000)</f>
        <v>1566.2137079720292</v>
      </c>
      <c r="M100">
        <f>[4]data!M100*1000000000/(_xlfn.XLOOKUP($B100,[1]data!$C$2:$C$201,[1]data!T$2:T$201)*1000000)</f>
        <v>1370.4598916289547</v>
      </c>
      <c r="N100">
        <f>[4]data!N100*1000000000/(_xlfn.XLOOKUP($B100,[1]data!$C$2:$C$201,[1]data!U$2:U$201)*1000000)</f>
        <v>1572.9493552210292</v>
      </c>
      <c r="O100">
        <f>[4]data!O100*1000000000/(_xlfn.XLOOKUP($B100,[1]data!$C$2:$C$201,[1]data!V$2:V$201)*1000000)</f>
        <v>1925.3978135619434</v>
      </c>
      <c r="P100">
        <f>[4]data!P100*1000000000/(_xlfn.XLOOKUP($B100,[1]data!$C$2:$C$201,[1]data!W$2:W$201)*1000000)</f>
        <v>2297.3636130983587</v>
      </c>
      <c r="Q100">
        <f>[4]data!Q100*1000000000/(_xlfn.XLOOKUP($B100,[1]data!$C$2:$C$201,[1]data!X$2:X$201)*1000000)</f>
        <v>2729.3830574732578</v>
      </c>
      <c r="R100">
        <f>[4]data!R100*1000000000/(_xlfn.XLOOKUP($B100,[1]data!$C$2:$C$201,[1]data!Y$2:Y$201)*1000000)</f>
        <v>3265.1953339423835</v>
      </c>
      <c r="S100">
        <f>[4]data!S100*1000000000/(_xlfn.XLOOKUP($B100,[1]data!$C$2:$C$201,[1]data!Z$2:Z$201)*1000000)</f>
        <v>3937.8573618291493</v>
      </c>
      <c r="T100">
        <f>[4]data!T100*1000000000/(_xlfn.XLOOKUP($B100,[1]data!$C$2:$C$201,[1]data!AA$2:AA$201)*1000000)</f>
        <v>4773.4678918810068</v>
      </c>
      <c r="U100">
        <f>[4]data!U100*1000000000/(_xlfn.XLOOKUP($B100,[1]data!$C$2:$C$201,[1]data!AB$2:AB$201)*1000000)</f>
        <v>5805.1035705519171</v>
      </c>
      <c r="V100">
        <f>[4]data!V100*1000000000/(_xlfn.XLOOKUP($B100,[1]data!$C$2:$C$201,[1]data!AC$2:AC$201)*1000000)</f>
        <v>7055.5097006857113</v>
      </c>
      <c r="W100">
        <f>[4]data!W100*1000000000/(_xlfn.XLOOKUP($B100,[1]data!$C$2:$C$201,[1]data!AD$2:AD$201)*1000000)</f>
        <v>8565.2430276324631</v>
      </c>
      <c r="X100">
        <f>[4]data!X100*1000000000/(_xlfn.XLOOKUP($B100,[1]data!$C$2:$C$201,[1]data!AE$2:AE$201)*1000000)</f>
        <v>10378.279885983622</v>
      </c>
      <c r="Y100">
        <f>[4]data!Y100*1000000000/(_xlfn.XLOOKUP($B100,[1]data!$C$2:$C$201,[1]data!AF$2:AF$201)*1000000)</f>
        <v>12530.986280818834</v>
      </c>
      <c r="Z100">
        <f>[4]data!Z100*1000000000/(_xlfn.XLOOKUP($B100,[1]data!$C$2:$C$201,[1]data!AG$2:AG$201)*1000000)</f>
        <v>15035.811776611557</v>
      </c>
      <c r="AA100">
        <f>[4]data!AA100*1000000000/(_xlfn.XLOOKUP($B100,[1]data!$C$2:$C$201,[1]data!AH$2:AH$201)*1000000)</f>
        <v>17928.955661956064</v>
      </c>
      <c r="AB100">
        <f>[4]data!AB100*1000000000/(_xlfn.XLOOKUP($B100,[1]data!$C$2:$C$201,[1]data!AI$2:AI$201)*1000000)</f>
        <v>21241.455097285423</v>
      </c>
      <c r="AC100">
        <f>[4]data!AC100*1000000000/(_xlfn.XLOOKUP($B100,[1]data!$C$2:$C$201,[1]data!AJ$2:AJ$201)*1000000)</f>
        <v>25021.581523145334</v>
      </c>
    </row>
    <row r="101" spans="1:29" x14ac:dyDescent="0.25">
      <c r="A101" t="s">
        <v>232</v>
      </c>
      <c r="B101" t="s">
        <v>134</v>
      </c>
      <c r="C101" t="s">
        <v>233</v>
      </c>
      <c r="D101" t="s">
        <v>234</v>
      </c>
      <c r="E101">
        <f>[4]data!E101*1000000000/(_xlfn.XLOOKUP($B101,[1]data!$C$2:$C$201,[1]data!L$2:L$201)*1000000)</f>
        <v>79996.012383763751</v>
      </c>
      <c r="F101">
        <f>[4]data!F101*1000000000/(_xlfn.XLOOKUP($B101,[1]data!$C$2:$C$201,[1]data!M$2:M$201)*1000000)</f>
        <v>45487.959718521743</v>
      </c>
      <c r="G101">
        <f>[4]data!G101*1000000000/(_xlfn.XLOOKUP($B101,[1]data!$C$2:$C$201,[1]data!N$2:N$201)*1000000)</f>
        <v>35648.840055727225</v>
      </c>
      <c r="H101">
        <f>[4]data!H101*1000000000/(_xlfn.XLOOKUP($B101,[1]data!$C$2:$C$201,[1]data!O$2:O$201)*1000000)</f>
        <v>29649.129430353896</v>
      </c>
      <c r="I101">
        <f>[4]data!I101*1000000000/(_xlfn.XLOOKUP($B101,[1]data!$C$2:$C$201,[1]data!P$2:P$201)*1000000)</f>
        <v>27873.259307078148</v>
      </c>
      <c r="J101">
        <f>[4]data!J101*1000000000/(_xlfn.XLOOKUP($B101,[1]data!$C$2:$C$201,[1]data!Q$2:Q$201)*1000000)</f>
        <v>33124.75463626811</v>
      </c>
      <c r="K101">
        <f>[4]data!K101*1000000000/(_xlfn.XLOOKUP($B101,[1]data!$C$2:$C$201,[1]data!R$2:R$201)*1000000)</f>
        <v>31719.393809699824</v>
      </c>
      <c r="L101">
        <f>[4]data!L101*1000000000/(_xlfn.XLOOKUP($B101,[1]data!$C$2:$C$201,[1]data!S$2:S$201)*1000000)</f>
        <v>19249.042200442709</v>
      </c>
      <c r="M101">
        <f>[4]data!M101*1000000000/(_xlfn.XLOOKUP($B101,[1]data!$C$2:$C$201,[1]data!T$2:T$201)*1000000)</f>
        <v>15794.265595082894</v>
      </c>
      <c r="N101">
        <f>[4]data!N101*1000000000/(_xlfn.XLOOKUP($B101,[1]data!$C$2:$C$201,[1]data!U$2:U$201)*1000000)</f>
        <v>22227.328089847113</v>
      </c>
      <c r="O101">
        <f>[4]data!O101*1000000000/(_xlfn.XLOOKUP($B101,[1]data!$C$2:$C$201,[1]data!V$2:V$201)*1000000)</f>
        <v>23980.283280376741</v>
      </c>
      <c r="P101">
        <f>[4]data!P101*1000000000/(_xlfn.XLOOKUP($B101,[1]data!$C$2:$C$201,[1]data!W$2:W$201)*1000000)</f>
        <v>24407.054840230347</v>
      </c>
      <c r="Q101">
        <f>[4]data!Q101*1000000000/(_xlfn.XLOOKUP($B101,[1]data!$C$2:$C$201,[1]data!X$2:X$201)*1000000)</f>
        <v>26589.707660542248</v>
      </c>
      <c r="R101">
        <f>[4]data!R101*1000000000/(_xlfn.XLOOKUP($B101,[1]data!$C$2:$C$201,[1]data!Y$2:Y$201)*1000000)</f>
        <v>30364.849216012633</v>
      </c>
      <c r="S101">
        <f>[4]data!S101*1000000000/(_xlfn.XLOOKUP($B101,[1]data!$C$2:$C$201,[1]data!Z$2:Z$201)*1000000)</f>
        <v>35579.305478213624</v>
      </c>
      <c r="T101">
        <f>[4]data!T101*1000000000/(_xlfn.XLOOKUP($B101,[1]data!$C$2:$C$201,[1]data!AA$2:AA$201)*1000000)</f>
        <v>42132.516516018775</v>
      </c>
      <c r="U101">
        <f>[4]data!U101*1000000000/(_xlfn.XLOOKUP($B101,[1]data!$C$2:$C$201,[1]data!AB$2:AB$201)*1000000)</f>
        <v>49759.03287886591</v>
      </c>
      <c r="V101">
        <f>[4]data!V101*1000000000/(_xlfn.XLOOKUP($B101,[1]data!$C$2:$C$201,[1]data!AC$2:AC$201)*1000000)</f>
        <v>58157.502912870026</v>
      </c>
      <c r="W101">
        <f>[4]data!W101*1000000000/(_xlfn.XLOOKUP($B101,[1]data!$C$2:$C$201,[1]data!AD$2:AD$201)*1000000)</f>
        <v>67030.264632655366</v>
      </c>
      <c r="X101">
        <f>[4]data!X101*1000000000/(_xlfn.XLOOKUP($B101,[1]data!$C$2:$C$201,[1]data!AE$2:AE$201)*1000000)</f>
        <v>76395.780613610797</v>
      </c>
      <c r="Y101">
        <f>[4]data!Y101*1000000000/(_xlfn.XLOOKUP($B101,[1]data!$C$2:$C$201,[1]data!AF$2:AF$201)*1000000)</f>
        <v>86383.212391881025</v>
      </c>
      <c r="Z101">
        <f>[4]data!Z101*1000000000/(_xlfn.XLOOKUP($B101,[1]data!$C$2:$C$201,[1]data!AG$2:AG$201)*1000000)</f>
        <v>97108.802139429637</v>
      </c>
      <c r="AA101">
        <f>[4]data!AA101*1000000000/(_xlfn.XLOOKUP($B101,[1]data!$C$2:$C$201,[1]data!AH$2:AH$201)*1000000)</f>
        <v>108661.44930887445</v>
      </c>
      <c r="AB101">
        <f>[4]data!AB101*1000000000/(_xlfn.XLOOKUP($B101,[1]data!$C$2:$C$201,[1]data!AI$2:AI$201)*1000000)</f>
        <v>120997.05127885265</v>
      </c>
      <c r="AC101">
        <f>[4]data!AC101*1000000000/(_xlfn.XLOOKUP($B101,[1]data!$C$2:$C$201,[1]data!AJ$2:AJ$201)*1000000)</f>
        <v>134093.27496980433</v>
      </c>
    </row>
    <row r="102" spans="1:29" x14ac:dyDescent="0.25">
      <c r="A102" t="s">
        <v>232</v>
      </c>
      <c r="B102" t="s">
        <v>135</v>
      </c>
      <c r="C102" t="s">
        <v>233</v>
      </c>
      <c r="D102" t="s">
        <v>234</v>
      </c>
      <c r="E102">
        <f>[4]data!E102*1000000000/(_xlfn.XLOOKUP($B102,[1]data!$C$2:$C$201,[1]data!L$2:L$201)*1000000)</f>
        <v>6030.712418571843</v>
      </c>
      <c r="F102">
        <f>[4]data!F102*1000000000/(_xlfn.XLOOKUP($B102,[1]data!$C$2:$C$201,[1]data!M$2:M$201)*1000000)</f>
        <v>7495.387208710772</v>
      </c>
      <c r="G102">
        <f>[4]data!G102*1000000000/(_xlfn.XLOOKUP($B102,[1]data!$C$2:$C$201,[1]data!N$2:N$201)*1000000)</f>
        <v>11323.281778431845</v>
      </c>
      <c r="H102">
        <f>[4]data!H102*1000000000/(_xlfn.XLOOKUP($B102,[1]data!$C$2:$C$201,[1]data!O$2:O$201)*1000000)</f>
        <v>11903.246886118061</v>
      </c>
      <c r="I102">
        <f>[4]data!I102*1000000000/(_xlfn.XLOOKUP($B102,[1]data!$C$2:$C$201,[1]data!P$2:P$201)*1000000)</f>
        <v>12658.270846962911</v>
      </c>
      <c r="J102">
        <f>[4]data!J102*1000000000/(_xlfn.XLOOKUP($B102,[1]data!$C$2:$C$201,[1]data!Q$2:Q$201)*1000000)</f>
        <v>13187.606549818296</v>
      </c>
      <c r="K102">
        <f>[4]data!K102*1000000000/(_xlfn.XLOOKUP($B102,[1]data!$C$2:$C$201,[1]data!R$2:R$201)*1000000)</f>
        <v>14334.378780937614</v>
      </c>
      <c r="L102">
        <f>[4]data!L102*1000000000/(_xlfn.XLOOKUP($B102,[1]data!$C$2:$C$201,[1]data!S$2:S$201)*1000000)</f>
        <v>14379.876152155923</v>
      </c>
      <c r="M102">
        <f>[4]data!M102*1000000000/(_xlfn.XLOOKUP($B102,[1]data!$C$2:$C$201,[1]data!T$2:T$201)*1000000)</f>
        <v>11855.822220234966</v>
      </c>
      <c r="N102">
        <f>[4]data!N102*1000000000/(_xlfn.XLOOKUP($B102,[1]data!$C$2:$C$201,[1]data!U$2:U$201)*1000000)</f>
        <v>16320.354462028643</v>
      </c>
      <c r="O102">
        <f>[4]data!O102*1000000000/(_xlfn.XLOOKUP($B102,[1]data!$C$2:$C$201,[1]data!V$2:V$201)*1000000)</f>
        <v>17384.082969312942</v>
      </c>
      <c r="P102">
        <f>[4]data!P102*1000000000/(_xlfn.XLOOKUP($B102,[1]data!$C$2:$C$201,[1]data!W$2:W$201)*1000000)</f>
        <v>18733.408311736293</v>
      </c>
      <c r="Q102">
        <f>[4]data!Q102*1000000000/(_xlfn.XLOOKUP($B102,[1]data!$C$2:$C$201,[1]data!X$2:X$201)*1000000)</f>
        <v>20627.271393882107</v>
      </c>
      <c r="R102">
        <f>[4]data!R102*1000000000/(_xlfn.XLOOKUP($B102,[1]data!$C$2:$C$201,[1]data!Y$2:Y$201)*1000000)</f>
        <v>23043.186321874971</v>
      </c>
      <c r="S102">
        <f>[4]data!S102*1000000000/(_xlfn.XLOOKUP($B102,[1]data!$C$2:$C$201,[1]data!Z$2:Z$201)*1000000)</f>
        <v>25941.672174487769</v>
      </c>
      <c r="T102">
        <f>[4]data!T102*1000000000/(_xlfn.XLOOKUP($B102,[1]data!$C$2:$C$201,[1]data!AA$2:AA$201)*1000000)</f>
        <v>29309.868105649271</v>
      </c>
      <c r="U102">
        <f>[4]data!U102*1000000000/(_xlfn.XLOOKUP($B102,[1]data!$C$2:$C$201,[1]data!AB$2:AB$201)*1000000)</f>
        <v>33197.769129824876</v>
      </c>
      <c r="V102">
        <f>[4]data!V102*1000000000/(_xlfn.XLOOKUP($B102,[1]data!$C$2:$C$201,[1]data!AC$2:AC$201)*1000000)</f>
        <v>37697.201530098653</v>
      </c>
      <c r="W102">
        <f>[4]data!W102*1000000000/(_xlfn.XLOOKUP($B102,[1]data!$C$2:$C$201,[1]data!AD$2:AD$201)*1000000)</f>
        <v>42764.685521861822</v>
      </c>
      <c r="X102">
        <f>[4]data!X102*1000000000/(_xlfn.XLOOKUP($B102,[1]data!$C$2:$C$201,[1]data!AE$2:AE$201)*1000000)</f>
        <v>48371.857246555053</v>
      </c>
      <c r="Y102">
        <f>[4]data!Y102*1000000000/(_xlfn.XLOOKUP($B102,[1]data!$C$2:$C$201,[1]data!AF$2:AF$201)*1000000)</f>
        <v>54469.970967424466</v>
      </c>
      <c r="Z102">
        <f>[4]data!Z102*1000000000/(_xlfn.XLOOKUP($B102,[1]data!$C$2:$C$201,[1]data!AG$2:AG$201)*1000000)</f>
        <v>61050.166843622035</v>
      </c>
      <c r="AA102">
        <f>[4]data!AA102*1000000000/(_xlfn.XLOOKUP($B102,[1]data!$C$2:$C$201,[1]data!AH$2:AH$201)*1000000)</f>
        <v>68110.384630383065</v>
      </c>
      <c r="AB102">
        <f>[4]data!AB102*1000000000/(_xlfn.XLOOKUP($B102,[1]data!$C$2:$C$201,[1]data!AI$2:AI$201)*1000000)</f>
        <v>75649.454778704297</v>
      </c>
      <c r="AC102">
        <f>[4]data!AC102*1000000000/(_xlfn.XLOOKUP($B102,[1]data!$C$2:$C$201,[1]data!AJ$2:AJ$201)*1000000)</f>
        <v>83676.326281334274</v>
      </c>
    </row>
    <row r="103" spans="1:29" x14ac:dyDescent="0.25">
      <c r="A103" t="s">
        <v>232</v>
      </c>
      <c r="B103" t="s">
        <v>136</v>
      </c>
      <c r="C103" t="s">
        <v>233</v>
      </c>
      <c r="D103" t="s">
        <v>234</v>
      </c>
      <c r="E103">
        <f>[4]data!E103*1000000000/(_xlfn.XLOOKUP($B103,[1]data!$C$2:$C$201,[1]data!L$2:L$201)*1000000)</f>
        <v>2892.083114178854</v>
      </c>
      <c r="F103">
        <f>[4]data!F103*1000000000/(_xlfn.XLOOKUP($B103,[1]data!$C$2:$C$201,[1]data!M$2:M$201)*1000000)</f>
        <v>3439.5703271636685</v>
      </c>
      <c r="G103">
        <f>[4]data!G103*1000000000/(_xlfn.XLOOKUP($B103,[1]data!$C$2:$C$201,[1]data!N$2:N$201)*1000000)</f>
        <v>3792.506108911919</v>
      </c>
      <c r="H103">
        <f>[4]data!H103*1000000000/(_xlfn.XLOOKUP($B103,[1]data!$C$2:$C$201,[1]data!O$2:O$201)*1000000)</f>
        <v>4734.9845850186921</v>
      </c>
      <c r="I103">
        <f>[4]data!I103*1000000000/(_xlfn.XLOOKUP($B103,[1]data!$C$2:$C$201,[1]data!P$2:P$201)*1000000)</f>
        <v>6210.593411552949</v>
      </c>
      <c r="J103">
        <f>[4]data!J103*1000000000/(_xlfn.XLOOKUP($B103,[1]data!$C$2:$C$201,[1]data!Q$2:Q$201)*1000000)</f>
        <v>7169.8479373874834</v>
      </c>
      <c r="K103">
        <f>[4]data!K103*1000000000/(_xlfn.XLOOKUP($B103,[1]data!$C$2:$C$201,[1]data!R$2:R$201)*1000000)</f>
        <v>9296.2147633419754</v>
      </c>
      <c r="L103">
        <f>[4]data!L103*1000000000/(_xlfn.XLOOKUP($B103,[1]data!$C$2:$C$201,[1]data!S$2:S$201)*1000000)</f>
        <v>12233.41861908475</v>
      </c>
      <c r="M103">
        <f>[4]data!M103*1000000000/(_xlfn.XLOOKUP($B103,[1]data!$C$2:$C$201,[1]data!T$2:T$201)*1000000)</f>
        <v>13080.151885624779</v>
      </c>
      <c r="N103">
        <f>[4]data!N103*1000000000/(_xlfn.XLOOKUP($B103,[1]data!$C$2:$C$201,[1]data!U$2:U$201)*1000000)</f>
        <v>12304.388214910914</v>
      </c>
      <c r="O103">
        <f>[4]data!O103*1000000000/(_xlfn.XLOOKUP($B103,[1]data!$C$2:$C$201,[1]data!V$2:V$201)*1000000)</f>
        <v>14164.455070438857</v>
      </c>
      <c r="P103">
        <f>[4]data!P103*1000000000/(_xlfn.XLOOKUP($B103,[1]data!$C$2:$C$201,[1]data!W$2:W$201)*1000000)</f>
        <v>16242.087281078026</v>
      </c>
      <c r="Q103">
        <f>[4]data!Q103*1000000000/(_xlfn.XLOOKUP($B103,[1]data!$C$2:$C$201,[1]data!X$2:X$201)*1000000)</f>
        <v>18446.775206998733</v>
      </c>
      <c r="R103">
        <f>[4]data!R103*1000000000/(_xlfn.XLOOKUP($B103,[1]data!$C$2:$C$201,[1]data!Y$2:Y$201)*1000000)</f>
        <v>20857.682810497459</v>
      </c>
      <c r="S103">
        <f>[4]data!S103*1000000000/(_xlfn.XLOOKUP($B103,[1]data!$C$2:$C$201,[1]data!Z$2:Z$201)*1000000)</f>
        <v>23554.608657616882</v>
      </c>
      <c r="T103">
        <f>[4]data!T103*1000000000/(_xlfn.XLOOKUP($B103,[1]data!$C$2:$C$201,[1]data!AA$2:AA$201)*1000000)</f>
        <v>26626.444797553449</v>
      </c>
      <c r="U103">
        <f>[4]data!U103*1000000000/(_xlfn.XLOOKUP($B103,[1]data!$C$2:$C$201,[1]data!AB$2:AB$201)*1000000)</f>
        <v>30073.941333497507</v>
      </c>
      <c r="V103">
        <f>[4]data!V103*1000000000/(_xlfn.XLOOKUP($B103,[1]data!$C$2:$C$201,[1]data!AC$2:AC$201)*1000000)</f>
        <v>33871.592298416705</v>
      </c>
      <c r="W103">
        <f>[4]data!W103*1000000000/(_xlfn.XLOOKUP($B103,[1]data!$C$2:$C$201,[1]data!AD$2:AD$201)*1000000)</f>
        <v>37976.377075402866</v>
      </c>
      <c r="X103">
        <f>[4]data!X103*1000000000/(_xlfn.XLOOKUP($B103,[1]data!$C$2:$C$201,[1]data!AE$2:AE$201)*1000000)</f>
        <v>42422.897255114563</v>
      </c>
      <c r="Y103">
        <f>[4]data!Y103*1000000000/(_xlfn.XLOOKUP($B103,[1]data!$C$2:$C$201,[1]data!AF$2:AF$201)*1000000)</f>
        <v>47226.061008605866</v>
      </c>
      <c r="Z103">
        <f>[4]data!Z103*1000000000/(_xlfn.XLOOKUP($B103,[1]data!$C$2:$C$201,[1]data!AG$2:AG$201)*1000000)</f>
        <v>52391.282351113026</v>
      </c>
      <c r="AA103">
        <f>[4]data!AA103*1000000000/(_xlfn.XLOOKUP($B103,[1]data!$C$2:$C$201,[1]data!AH$2:AH$201)*1000000)</f>
        <v>57893.710615784432</v>
      </c>
      <c r="AB103">
        <f>[4]data!AB103*1000000000/(_xlfn.XLOOKUP($B103,[1]data!$C$2:$C$201,[1]data!AI$2:AI$201)*1000000)</f>
        <v>63712.561191419518</v>
      </c>
      <c r="AC103">
        <f>[4]data!AC103*1000000000/(_xlfn.XLOOKUP($B103,[1]data!$C$2:$C$201,[1]data!AJ$2:AJ$201)*1000000)</f>
        <v>69855.120923983326</v>
      </c>
    </row>
    <row r="104" spans="1:29" x14ac:dyDescent="0.25">
      <c r="A104" t="s">
        <v>232</v>
      </c>
      <c r="B104" t="s">
        <v>137</v>
      </c>
      <c r="C104" t="s">
        <v>233</v>
      </c>
      <c r="D104" t="s">
        <v>234</v>
      </c>
      <c r="E104">
        <f>[4]data!E104*1000000000/(_xlfn.XLOOKUP($B104,[1]data!$C$2:$C$201,[1]data!L$2:L$201)*1000000)</f>
        <v>1079.5000180108786</v>
      </c>
      <c r="F104">
        <f>[4]data!F104*1000000000/(_xlfn.XLOOKUP($B104,[1]data!$C$2:$C$201,[1]data!M$2:M$201)*1000000)</f>
        <v>1136.2011932557725</v>
      </c>
      <c r="G104">
        <f>[4]data!G104*1000000000/(_xlfn.XLOOKUP($B104,[1]data!$C$2:$C$201,[1]data!N$2:N$201)*1000000)</f>
        <v>1317.3593265595289</v>
      </c>
      <c r="H104">
        <f>[4]data!H104*1000000000/(_xlfn.XLOOKUP($B104,[1]data!$C$2:$C$201,[1]data!O$2:O$201)*1000000)</f>
        <v>1586.585316385127</v>
      </c>
      <c r="I104">
        <f>[4]data!I104*1000000000/(_xlfn.XLOOKUP($B104,[1]data!$C$2:$C$201,[1]data!P$2:P$201)*1000000)</f>
        <v>1765.7071594819192</v>
      </c>
      <c r="J104">
        <f>[4]data!J104*1000000000/(_xlfn.XLOOKUP($B104,[1]data!$C$2:$C$201,[1]data!Q$2:Q$201)*1000000)</f>
        <v>2071.0881331286855</v>
      </c>
      <c r="K104">
        <f>[4]data!K104*1000000000/(_xlfn.XLOOKUP($B104,[1]data!$C$2:$C$201,[1]data!R$2:R$201)*1000000)</f>
        <v>2418.2234240079688</v>
      </c>
      <c r="L104">
        <f>[4]data!L104*1000000000/(_xlfn.XLOOKUP($B104,[1]data!$C$2:$C$201,[1]data!S$2:S$201)*1000000)</f>
        <v>2741.9840326335898</v>
      </c>
      <c r="M104">
        <f>[4]data!M104*1000000000/(_xlfn.XLOOKUP($B104,[1]data!$C$2:$C$201,[1]data!T$2:T$201)*1000000)</f>
        <v>2375.8351922929232</v>
      </c>
      <c r="N104">
        <f>[4]data!N104*1000000000/(_xlfn.XLOOKUP($B104,[1]data!$C$2:$C$201,[1]data!U$2:U$201)*1000000)</f>
        <v>2522.2978315042205</v>
      </c>
      <c r="O104">
        <f>[4]data!O104*1000000000/(_xlfn.XLOOKUP($B104,[1]data!$C$2:$C$201,[1]data!V$2:V$201)*1000000)</f>
        <v>2710.9751444668318</v>
      </c>
      <c r="P104">
        <f>[4]data!P104*1000000000/(_xlfn.XLOOKUP($B104,[1]data!$C$2:$C$201,[1]data!W$2:W$201)*1000000)</f>
        <v>3125.2985161965794</v>
      </c>
      <c r="Q104">
        <f>[4]data!Q104*1000000000/(_xlfn.XLOOKUP($B104,[1]data!$C$2:$C$201,[1]data!X$2:X$201)*1000000)</f>
        <v>3613.783402357365</v>
      </c>
      <c r="R104">
        <f>[4]data!R104*1000000000/(_xlfn.XLOOKUP($B104,[1]data!$C$2:$C$201,[1]data!Y$2:Y$201)*1000000)</f>
        <v>4183.22978318267</v>
      </c>
      <c r="S104">
        <f>[4]data!S104*1000000000/(_xlfn.XLOOKUP($B104,[1]data!$C$2:$C$201,[1]data!Z$2:Z$201)*1000000)</f>
        <v>4859.5866516518927</v>
      </c>
      <c r="T104">
        <f>[4]data!T104*1000000000/(_xlfn.XLOOKUP($B104,[1]data!$C$2:$C$201,[1]data!AA$2:AA$201)*1000000)</f>
        <v>5679.6863948666642</v>
      </c>
      <c r="U104">
        <f>[4]data!U104*1000000000/(_xlfn.XLOOKUP($B104,[1]data!$C$2:$C$201,[1]data!AB$2:AB$201)*1000000)</f>
        <v>6678.2160664984331</v>
      </c>
      <c r="V104">
        <f>[4]data!V104*1000000000/(_xlfn.XLOOKUP($B104,[1]data!$C$2:$C$201,[1]data!AC$2:AC$201)*1000000)</f>
        <v>7896.2941751082544</v>
      </c>
      <c r="W104">
        <f>[4]data!W104*1000000000/(_xlfn.XLOOKUP($B104,[1]data!$C$2:$C$201,[1]data!AD$2:AD$201)*1000000)</f>
        <v>9335.5288068902464</v>
      </c>
      <c r="X104">
        <f>[4]data!X104*1000000000/(_xlfn.XLOOKUP($B104,[1]data!$C$2:$C$201,[1]data!AE$2:AE$201)*1000000)</f>
        <v>11001.641658051607</v>
      </c>
      <c r="Y104">
        <f>[4]data!Y104*1000000000/(_xlfn.XLOOKUP($B104,[1]data!$C$2:$C$201,[1]data!AF$2:AF$201)*1000000)</f>
        <v>12900.24143001455</v>
      </c>
      <c r="Z104">
        <f>[4]data!Z104*1000000000/(_xlfn.XLOOKUP($B104,[1]data!$C$2:$C$201,[1]data!AG$2:AG$201)*1000000)</f>
        <v>15068.7461498224</v>
      </c>
      <c r="AA104">
        <f>[4]data!AA104*1000000000/(_xlfn.XLOOKUP($B104,[1]data!$C$2:$C$201,[1]data!AH$2:AH$201)*1000000)</f>
        <v>17551.074652337429</v>
      </c>
      <c r="AB104">
        <f>[4]data!AB104*1000000000/(_xlfn.XLOOKUP($B104,[1]data!$C$2:$C$201,[1]data!AI$2:AI$201)*1000000)</f>
        <v>20389.418768999632</v>
      </c>
      <c r="AC104">
        <f>[4]data!AC104*1000000000/(_xlfn.XLOOKUP($B104,[1]data!$C$2:$C$201,[1]data!AJ$2:AJ$201)*1000000)</f>
        <v>23618.442765145424</v>
      </c>
    </row>
    <row r="105" spans="1:29" x14ac:dyDescent="0.25">
      <c r="A105" t="s">
        <v>232</v>
      </c>
      <c r="B105" t="s">
        <v>138</v>
      </c>
      <c r="C105" t="s">
        <v>233</v>
      </c>
      <c r="D105" t="s">
        <v>234</v>
      </c>
      <c r="E105" t="e">
        <f>[4]data!E105*1000000000/(_xlfn.XLOOKUP($B105,[1]data!$C$2:$C$201,[1]data!L$2:L$201)*1000000)</f>
        <v>#VALUE!</v>
      </c>
      <c r="F105" t="e">
        <f>[4]data!F105*1000000000/(_xlfn.XLOOKUP($B105,[1]data!$C$2:$C$201,[1]data!M$2:M$201)*1000000)</f>
        <v>#VALUE!</v>
      </c>
      <c r="G105" t="e">
        <f>[4]data!G105*1000000000/(_xlfn.XLOOKUP($B105,[1]data!$C$2:$C$201,[1]data!N$2:N$201)*1000000)</f>
        <v>#VALUE!</v>
      </c>
      <c r="H105">
        <f>[4]data!H105*1000000000/(_xlfn.XLOOKUP($B105,[1]data!$C$2:$C$201,[1]data!O$2:O$201)*1000000)</f>
        <v>10271.224834178489</v>
      </c>
      <c r="I105">
        <f>[4]data!I105*1000000000/(_xlfn.XLOOKUP($B105,[1]data!$C$2:$C$201,[1]data!P$2:P$201)*1000000)</f>
        <v>12560.573958208081</v>
      </c>
      <c r="J105">
        <f>[4]data!J105*1000000000/(_xlfn.XLOOKUP($B105,[1]data!$C$2:$C$201,[1]data!Q$2:Q$201)*1000000)</f>
        <v>19299.833408557421</v>
      </c>
      <c r="K105">
        <f>[4]data!K105*1000000000/(_xlfn.XLOOKUP($B105,[1]data!$C$2:$C$201,[1]data!R$2:R$201)*1000000)</f>
        <v>22010.016119603471</v>
      </c>
      <c r="L105">
        <f>[4]data!L105*1000000000/(_xlfn.XLOOKUP($B105,[1]data!$C$2:$C$201,[1]data!S$2:S$201)*1000000)</f>
        <v>28115.939985760768</v>
      </c>
      <c r="M105">
        <f>[4]data!M105*1000000000/(_xlfn.XLOOKUP($B105,[1]data!$C$2:$C$201,[1]data!T$2:T$201)*1000000)</f>
        <v>34360.848858670011</v>
      </c>
      <c r="N105">
        <f>[4]data!N105*1000000000/(_xlfn.XLOOKUP($B105,[1]data!$C$2:$C$201,[1]data!U$2:U$201)*1000000)</f>
        <v>40644.123659589386</v>
      </c>
      <c r="O105">
        <f>[4]data!O105*1000000000/(_xlfn.XLOOKUP($B105,[1]data!$C$2:$C$201,[1]data!V$2:V$201)*1000000)</f>
        <v>48708.6758471461</v>
      </c>
      <c r="P105">
        <f>[4]data!P105*1000000000/(_xlfn.XLOOKUP($B105,[1]data!$C$2:$C$201,[1]data!W$2:W$201)*1000000)</f>
        <v>54320.752194934299</v>
      </c>
      <c r="Q105">
        <f>[4]data!Q105*1000000000/(_xlfn.XLOOKUP($B105,[1]data!$C$2:$C$201,[1]data!X$2:X$201)*1000000)</f>
        <v>58858.863233336509</v>
      </c>
      <c r="R105">
        <f>[4]data!R105*1000000000/(_xlfn.XLOOKUP($B105,[1]data!$C$2:$C$201,[1]data!Y$2:Y$201)*1000000)</f>
        <v>62654.176473730688</v>
      </c>
      <c r="S105">
        <f>[4]data!S105*1000000000/(_xlfn.XLOOKUP($B105,[1]data!$C$2:$C$201,[1]data!Z$2:Z$201)*1000000)</f>
        <v>65609.510371115262</v>
      </c>
      <c r="T105">
        <f>[4]data!T105*1000000000/(_xlfn.XLOOKUP($B105,[1]data!$C$2:$C$201,[1]data!AA$2:AA$201)*1000000)</f>
        <v>68318.191629221197</v>
      </c>
      <c r="U105">
        <f>[4]data!U105*1000000000/(_xlfn.XLOOKUP($B105,[1]data!$C$2:$C$201,[1]data!AB$2:AB$201)*1000000)</f>
        <v>71041.714414922986</v>
      </c>
      <c r="V105">
        <f>[4]data!V105*1000000000/(_xlfn.XLOOKUP($B105,[1]data!$C$2:$C$201,[1]data!AC$2:AC$201)*1000000)</f>
        <v>73768.85892835306</v>
      </c>
      <c r="W105">
        <f>[4]data!W105*1000000000/(_xlfn.XLOOKUP($B105,[1]data!$C$2:$C$201,[1]data!AD$2:AD$201)*1000000)</f>
        <v>76410.574531839346</v>
      </c>
      <c r="X105">
        <f>[4]data!X105*1000000000/(_xlfn.XLOOKUP($B105,[1]data!$C$2:$C$201,[1]data!AE$2:AE$201)*1000000)</f>
        <v>78738.621772415427</v>
      </c>
      <c r="Y105">
        <f>[4]data!Y105*1000000000/(_xlfn.XLOOKUP($B105,[1]data!$C$2:$C$201,[1]data!AF$2:AF$201)*1000000)</f>
        <v>80740.032648499211</v>
      </c>
      <c r="Z105">
        <f>[4]data!Z105*1000000000/(_xlfn.XLOOKUP($B105,[1]data!$C$2:$C$201,[1]data!AG$2:AG$201)*1000000)</f>
        <v>82515.890367324479</v>
      </c>
      <c r="AA105">
        <f>[4]data!AA105*1000000000/(_xlfn.XLOOKUP($B105,[1]data!$C$2:$C$201,[1]data!AH$2:AH$201)*1000000)</f>
        <v>84182.903595504366</v>
      </c>
      <c r="AB105">
        <f>[4]data!AB105*1000000000/(_xlfn.XLOOKUP($B105,[1]data!$C$2:$C$201,[1]data!AI$2:AI$201)*1000000)</f>
        <v>85797.523762510929</v>
      </c>
      <c r="AC105">
        <f>[4]data!AC105*1000000000/(_xlfn.XLOOKUP($B105,[1]data!$C$2:$C$201,[1]data!AJ$2:AJ$201)*1000000)</f>
        <v>87338.958185184485</v>
      </c>
    </row>
    <row r="106" spans="1:29" x14ac:dyDescent="0.25">
      <c r="A106" t="s">
        <v>232</v>
      </c>
      <c r="B106" t="s">
        <v>139</v>
      </c>
      <c r="C106" t="s">
        <v>233</v>
      </c>
      <c r="D106" t="s">
        <v>234</v>
      </c>
      <c r="E106">
        <f>[4]data!E106*1000000000/(_xlfn.XLOOKUP($B106,[1]data!$C$2:$C$201,[1]data!L$2:L$201)*1000000)</f>
        <v>46065.049914538373</v>
      </c>
      <c r="F106">
        <f>[4]data!F106*1000000000/(_xlfn.XLOOKUP($B106,[1]data!$C$2:$C$201,[1]data!M$2:M$201)*1000000)</f>
        <v>51709.192666417075</v>
      </c>
      <c r="G106">
        <f>[4]data!G106*1000000000/(_xlfn.XLOOKUP($B106,[1]data!$C$2:$C$201,[1]data!N$2:N$201)*1000000)</f>
        <v>71641.94473340972</v>
      </c>
      <c r="H106">
        <f>[4]data!H106*1000000000/(_xlfn.XLOOKUP($B106,[1]data!$C$2:$C$201,[1]data!O$2:O$201)*1000000)</f>
        <v>81383.3966702412</v>
      </c>
      <c r="I106">
        <f>[4]data!I106*1000000000/(_xlfn.XLOOKUP($B106,[1]data!$C$2:$C$201,[1]data!P$2:P$201)*1000000)</f>
        <v>95695.066435158966</v>
      </c>
      <c r="J106">
        <f>[4]data!J106*1000000000/(_xlfn.XLOOKUP($B106,[1]data!$C$2:$C$201,[1]data!Q$2:Q$201)*1000000)</f>
        <v>104824.17031690347</v>
      </c>
      <c r="K106">
        <f>[4]data!K106*1000000000/(_xlfn.XLOOKUP($B106,[1]data!$C$2:$C$201,[1]data!R$2:R$201)*1000000)</f>
        <v>110263.15003434989</v>
      </c>
      <c r="L106">
        <f>[4]data!L106*1000000000/(_xlfn.XLOOKUP($B106,[1]data!$C$2:$C$201,[1]data!S$2:S$201)*1000000)</f>
        <v>109414.8233843179</v>
      </c>
      <c r="M106">
        <f>[4]data!M106*1000000000/(_xlfn.XLOOKUP($B106,[1]data!$C$2:$C$201,[1]data!T$2:T$201)*1000000)</f>
        <v>108052.10902260442</v>
      </c>
      <c r="N106">
        <f>[4]data!N106*1000000000/(_xlfn.XLOOKUP($B106,[1]data!$C$2:$C$201,[1]data!U$2:U$201)*1000000)</f>
        <v>116046.64329720086</v>
      </c>
      <c r="O106">
        <f>[4]data!O106*1000000000/(_xlfn.XLOOKUP($B106,[1]data!$C$2:$C$201,[1]data!V$2:V$201)*1000000)</f>
        <v>129085.28162511541</v>
      </c>
      <c r="P106">
        <f>[4]data!P106*1000000000/(_xlfn.XLOOKUP($B106,[1]data!$C$2:$C$201,[1]data!W$2:W$201)*1000000)</f>
        <v>135306.51266802379</v>
      </c>
      <c r="Q106">
        <f>[4]data!Q106*1000000000/(_xlfn.XLOOKUP($B106,[1]data!$C$2:$C$201,[1]data!X$2:X$201)*1000000)</f>
        <v>138481.47781285705</v>
      </c>
      <c r="R106">
        <f>[4]data!R106*1000000000/(_xlfn.XLOOKUP($B106,[1]data!$C$2:$C$201,[1]data!Y$2:Y$201)*1000000)</f>
        <v>139016.90437955514</v>
      </c>
      <c r="S106">
        <f>[4]data!S106*1000000000/(_xlfn.XLOOKUP($B106,[1]data!$C$2:$C$201,[1]data!Z$2:Z$201)*1000000)</f>
        <v>138573.50646882268</v>
      </c>
      <c r="T106">
        <f>[4]data!T106*1000000000/(_xlfn.XLOOKUP($B106,[1]data!$C$2:$C$201,[1]data!AA$2:AA$201)*1000000)</f>
        <v>138201.11818205239</v>
      </c>
      <c r="U106">
        <f>[4]data!U106*1000000000/(_xlfn.XLOOKUP($B106,[1]data!$C$2:$C$201,[1]data!AB$2:AB$201)*1000000)</f>
        <v>138343.62294454972</v>
      </c>
      <c r="V106">
        <f>[4]data!V106*1000000000/(_xlfn.XLOOKUP($B106,[1]data!$C$2:$C$201,[1]data!AC$2:AC$201)*1000000)</f>
        <v>139362.25003918761</v>
      </c>
      <c r="W106">
        <f>[4]data!W106*1000000000/(_xlfn.XLOOKUP($B106,[1]data!$C$2:$C$201,[1]data!AD$2:AD$201)*1000000)</f>
        <v>140651.19877590696</v>
      </c>
      <c r="X106">
        <f>[4]data!X106*1000000000/(_xlfn.XLOOKUP($B106,[1]data!$C$2:$C$201,[1]data!AE$2:AE$201)*1000000)</f>
        <v>141968.53364430589</v>
      </c>
      <c r="Y106">
        <f>[4]data!Y106*1000000000/(_xlfn.XLOOKUP($B106,[1]data!$C$2:$C$201,[1]data!AF$2:AF$201)*1000000)</f>
        <v>143198.1286115158</v>
      </c>
      <c r="Z106">
        <f>[4]data!Z106*1000000000/(_xlfn.XLOOKUP($B106,[1]data!$C$2:$C$201,[1]data!AG$2:AG$201)*1000000)</f>
        <v>144448.57809291425</v>
      </c>
      <c r="AA106">
        <f>[4]data!AA106*1000000000/(_xlfn.XLOOKUP($B106,[1]data!$C$2:$C$201,[1]data!AH$2:AH$201)*1000000)</f>
        <v>145870.95250512936</v>
      </c>
      <c r="AB106">
        <f>[4]data!AB106*1000000000/(_xlfn.XLOOKUP($B106,[1]data!$C$2:$C$201,[1]data!AI$2:AI$201)*1000000)</f>
        <v>147541.85826630966</v>
      </c>
      <c r="AC106">
        <f>[4]data!AC106*1000000000/(_xlfn.XLOOKUP($B106,[1]data!$C$2:$C$201,[1]data!AJ$2:AJ$201)*1000000)</f>
        <v>149396.45279474874</v>
      </c>
    </row>
    <row r="107" spans="1:29" x14ac:dyDescent="0.25">
      <c r="A107" t="s">
        <v>232</v>
      </c>
      <c r="B107" t="s">
        <v>140</v>
      </c>
      <c r="C107" t="s">
        <v>233</v>
      </c>
      <c r="D107" t="s">
        <v>234</v>
      </c>
      <c r="E107" t="e">
        <f>[4]data!E107*1000000000/(_xlfn.XLOOKUP($B107,[1]data!$C$2:$C$201,[1]data!L$2:L$201)*1000000)</f>
        <v>#VALUE!</v>
      </c>
      <c r="F107" t="e">
        <f>[4]data!F107*1000000000/(_xlfn.XLOOKUP($B107,[1]data!$C$2:$C$201,[1]data!M$2:M$201)*1000000)</f>
        <v>#VALUE!</v>
      </c>
      <c r="G107" t="e">
        <f>[4]data!G107*1000000000/(_xlfn.XLOOKUP($B107,[1]data!$C$2:$C$201,[1]data!N$2:N$201)*1000000)</f>
        <v>#VALUE!</v>
      </c>
      <c r="H107">
        <f>[4]data!H107*1000000000/(_xlfn.XLOOKUP($B107,[1]data!$C$2:$C$201,[1]data!O$2:O$201)*1000000)</f>
        <v>9215.2114092909687</v>
      </c>
      <c r="I107">
        <f>[4]data!I107*1000000000/(_xlfn.XLOOKUP($B107,[1]data!$C$2:$C$201,[1]data!P$2:P$201)*1000000)</f>
        <v>11972.748338075364</v>
      </c>
      <c r="J107">
        <f>[4]data!J107*1000000000/(_xlfn.XLOOKUP($B107,[1]data!$C$2:$C$201,[1]data!Q$2:Q$201)*1000000)</f>
        <v>18988.512946066359</v>
      </c>
      <c r="K107">
        <f>[4]data!K107*1000000000/(_xlfn.XLOOKUP($B107,[1]data!$C$2:$C$201,[1]data!R$2:R$201)*1000000)</f>
        <v>19700.38813698975</v>
      </c>
      <c r="L107">
        <f>[4]data!L107*1000000000/(_xlfn.XLOOKUP($B107,[1]data!$C$2:$C$201,[1]data!S$2:S$201)*1000000)</f>
        <v>24675.958682608398</v>
      </c>
      <c r="M107">
        <f>[4]data!M107*1000000000/(_xlfn.XLOOKUP($B107,[1]data!$C$2:$C$201,[1]data!T$2:T$201)*1000000)</f>
        <v>27637.618947998704</v>
      </c>
      <c r="N107">
        <f>[4]data!N107*1000000000/(_xlfn.XLOOKUP($B107,[1]data!$C$2:$C$201,[1]data!U$2:U$201)*1000000)</f>
        <v>33107.497667853291</v>
      </c>
      <c r="O107">
        <f>[4]data!O107*1000000000/(_xlfn.XLOOKUP($B107,[1]data!$C$2:$C$201,[1]data!V$2:V$201)*1000000)</f>
        <v>38327.196455016398</v>
      </c>
      <c r="P107">
        <f>[4]data!P107*1000000000/(_xlfn.XLOOKUP($B107,[1]data!$C$2:$C$201,[1]data!W$2:W$201)*1000000)</f>
        <v>43043.131218627597</v>
      </c>
      <c r="Q107">
        <f>[4]data!Q107*1000000000/(_xlfn.XLOOKUP($B107,[1]data!$C$2:$C$201,[1]data!X$2:X$201)*1000000)</f>
        <v>47161.486026424718</v>
      </c>
      <c r="R107">
        <f>[4]data!R107*1000000000/(_xlfn.XLOOKUP($B107,[1]data!$C$2:$C$201,[1]data!Y$2:Y$201)*1000000)</f>
        <v>50564.649586282525</v>
      </c>
      <c r="S107">
        <f>[4]data!S107*1000000000/(_xlfn.XLOOKUP($B107,[1]data!$C$2:$C$201,[1]data!Z$2:Z$201)*1000000)</f>
        <v>53901.752246354707</v>
      </c>
      <c r="T107">
        <f>[4]data!T107*1000000000/(_xlfn.XLOOKUP($B107,[1]data!$C$2:$C$201,[1]data!AA$2:AA$201)*1000000)</f>
        <v>57176.294856309723</v>
      </c>
      <c r="U107">
        <f>[4]data!U107*1000000000/(_xlfn.XLOOKUP($B107,[1]data!$C$2:$C$201,[1]data!AB$2:AB$201)*1000000)</f>
        <v>60761.03363430834</v>
      </c>
      <c r="V107">
        <f>[4]data!V107*1000000000/(_xlfn.XLOOKUP($B107,[1]data!$C$2:$C$201,[1]data!AC$2:AC$201)*1000000)</f>
        <v>64671.905787471936</v>
      </c>
      <c r="W107">
        <f>[4]data!W107*1000000000/(_xlfn.XLOOKUP($B107,[1]data!$C$2:$C$201,[1]data!AD$2:AD$201)*1000000)</f>
        <v>68694.710719481576</v>
      </c>
      <c r="X107">
        <f>[4]data!X107*1000000000/(_xlfn.XLOOKUP($B107,[1]data!$C$2:$C$201,[1]data!AE$2:AE$201)*1000000)</f>
        <v>72663.831369917287</v>
      </c>
      <c r="Y107">
        <f>[4]data!Y107*1000000000/(_xlfn.XLOOKUP($B107,[1]data!$C$2:$C$201,[1]data!AF$2:AF$201)*1000000)</f>
        <v>76578.711296016554</v>
      </c>
      <c r="Z107">
        <f>[4]data!Z107*1000000000/(_xlfn.XLOOKUP($B107,[1]data!$C$2:$C$201,[1]data!AG$2:AG$201)*1000000)</f>
        <v>80516.00275681309</v>
      </c>
      <c r="AA107">
        <f>[4]data!AA107*1000000000/(_xlfn.XLOOKUP($B107,[1]data!$C$2:$C$201,[1]data!AH$2:AH$201)*1000000)</f>
        <v>84572.031519402866</v>
      </c>
      <c r="AB107">
        <f>[4]data!AB107*1000000000/(_xlfn.XLOOKUP($B107,[1]data!$C$2:$C$201,[1]data!AI$2:AI$201)*1000000)</f>
        <v>88796.859986455675</v>
      </c>
      <c r="AC107">
        <f>[4]data!AC107*1000000000/(_xlfn.XLOOKUP($B107,[1]data!$C$2:$C$201,[1]data!AJ$2:AJ$201)*1000000)</f>
        <v>93182.061222973207</v>
      </c>
    </row>
    <row r="108" spans="1:29" x14ac:dyDescent="0.25">
      <c r="A108" t="s">
        <v>232</v>
      </c>
      <c r="B108" t="s">
        <v>141</v>
      </c>
      <c r="C108" t="s">
        <v>233</v>
      </c>
      <c r="D108" t="s">
        <v>234</v>
      </c>
      <c r="E108" t="e">
        <f>[4]data!E108*1000000000/(_xlfn.XLOOKUP($B108,[1]data!$C$2:$C$201,[1]data!L$2:L$201)*1000000)</f>
        <v>#VALUE!</v>
      </c>
      <c r="F108" t="e">
        <f>[4]data!F108*1000000000/(_xlfn.XLOOKUP($B108,[1]data!$C$2:$C$201,[1]data!M$2:M$201)*1000000)</f>
        <v>#VALUE!</v>
      </c>
      <c r="G108">
        <f>[4]data!G108*1000000000/(_xlfn.XLOOKUP($B108,[1]data!$C$2:$C$201,[1]data!N$2:N$201)*1000000)</f>
        <v>48776.585842602501</v>
      </c>
      <c r="H108">
        <f>[4]data!H108*1000000000/(_xlfn.XLOOKUP($B108,[1]data!$C$2:$C$201,[1]data!O$2:O$201)*1000000)</f>
        <v>56800.694582359436</v>
      </c>
      <c r="I108">
        <f>[4]data!I108*1000000000/(_xlfn.XLOOKUP($B108,[1]data!$C$2:$C$201,[1]data!P$2:P$201)*1000000)</f>
        <v>50902.832676876147</v>
      </c>
      <c r="J108">
        <f>[4]data!J108*1000000000/(_xlfn.XLOOKUP($B108,[1]data!$C$2:$C$201,[1]data!Q$2:Q$201)*1000000)</f>
        <v>77526.122646265037</v>
      </c>
      <c r="K108">
        <f>[4]data!K108*1000000000/(_xlfn.XLOOKUP($B108,[1]data!$C$2:$C$201,[1]data!R$2:R$201)*1000000)</f>
        <v>115538.14410500195</v>
      </c>
      <c r="L108">
        <f>[4]data!L108*1000000000/(_xlfn.XLOOKUP($B108,[1]data!$C$2:$C$201,[1]data!S$2:S$201)*1000000)</f>
        <v>117932.8863904413</v>
      </c>
      <c r="M108">
        <f>[4]data!M108*1000000000/(_xlfn.XLOOKUP($B108,[1]data!$C$2:$C$201,[1]data!T$2:T$201)*1000000)</f>
        <v>55674.856011116128</v>
      </c>
      <c r="N108">
        <f>[4]data!N108*1000000000/(_xlfn.XLOOKUP($B108,[1]data!$C$2:$C$201,[1]data!U$2:U$201)*1000000)</f>
        <v>118440.58608960205</v>
      </c>
      <c r="O108">
        <f>[4]data!O108*1000000000/(_xlfn.XLOOKUP($B108,[1]data!$C$2:$C$201,[1]data!V$2:V$201)*1000000)</f>
        <v>139243.98834438258</v>
      </c>
      <c r="P108">
        <f>[4]data!P108*1000000000/(_xlfn.XLOOKUP($B108,[1]data!$C$2:$C$201,[1]data!W$2:W$201)*1000000)</f>
        <v>159838.43434547092</v>
      </c>
      <c r="Q108">
        <f>[4]data!Q108*1000000000/(_xlfn.XLOOKUP($B108,[1]data!$C$2:$C$201,[1]data!X$2:X$201)*1000000)</f>
        <v>178860.94571663669</v>
      </c>
      <c r="R108">
        <f>[4]data!R108*1000000000/(_xlfn.XLOOKUP($B108,[1]data!$C$2:$C$201,[1]data!Y$2:Y$201)*1000000)</f>
        <v>195157.5715927993</v>
      </c>
      <c r="S108">
        <f>[4]data!S108*1000000000/(_xlfn.XLOOKUP($B108,[1]data!$C$2:$C$201,[1]data!Z$2:Z$201)*1000000)</f>
        <v>207661.38424135928</v>
      </c>
      <c r="T108">
        <f>[4]data!T108*1000000000/(_xlfn.XLOOKUP($B108,[1]data!$C$2:$C$201,[1]data!AA$2:AA$201)*1000000)</f>
        <v>217806.98094840741</v>
      </c>
      <c r="U108">
        <f>[4]data!U108*1000000000/(_xlfn.XLOOKUP($B108,[1]data!$C$2:$C$201,[1]data!AB$2:AB$201)*1000000)</f>
        <v>226739.82707911936</v>
      </c>
      <c r="V108">
        <f>[4]data!V108*1000000000/(_xlfn.XLOOKUP($B108,[1]data!$C$2:$C$201,[1]data!AC$2:AC$201)*1000000)</f>
        <v>235396.05481472373</v>
      </c>
      <c r="W108">
        <f>[4]data!W108*1000000000/(_xlfn.XLOOKUP($B108,[1]data!$C$2:$C$201,[1]data!AD$2:AD$201)*1000000)</f>
        <v>241863.98649556775</v>
      </c>
      <c r="X108">
        <f>[4]data!X108*1000000000/(_xlfn.XLOOKUP($B108,[1]data!$C$2:$C$201,[1]data!AE$2:AE$201)*1000000)</f>
        <v>246005.02325118741</v>
      </c>
      <c r="Y108">
        <f>[4]data!Y108*1000000000/(_xlfn.XLOOKUP($B108,[1]data!$C$2:$C$201,[1]data!AF$2:AF$201)*1000000)</f>
        <v>247995.32558133668</v>
      </c>
      <c r="Z108">
        <f>[4]data!Z108*1000000000/(_xlfn.XLOOKUP($B108,[1]data!$C$2:$C$201,[1]data!AG$2:AG$201)*1000000)</f>
        <v>248593.59469193331</v>
      </c>
      <c r="AA108">
        <f>[4]data!AA108*1000000000/(_xlfn.XLOOKUP($B108,[1]data!$C$2:$C$201,[1]data!AH$2:AH$201)*1000000)</f>
        <v>248347.25908276203</v>
      </c>
      <c r="AB108">
        <f>[4]data!AB108*1000000000/(_xlfn.XLOOKUP($B108,[1]data!$C$2:$C$201,[1]data!AI$2:AI$201)*1000000)</f>
        <v>247380.59113286939</v>
      </c>
      <c r="AC108">
        <f>[4]data!AC108*1000000000/(_xlfn.XLOOKUP($B108,[1]data!$C$2:$C$201,[1]data!AJ$2:AJ$201)*1000000)</f>
        <v>245696.43858445107</v>
      </c>
    </row>
    <row r="109" spans="1:29" x14ac:dyDescent="0.25">
      <c r="A109" t="s">
        <v>232</v>
      </c>
      <c r="B109" t="s">
        <v>142</v>
      </c>
      <c r="C109" t="s">
        <v>233</v>
      </c>
      <c r="D109" t="s">
        <v>234</v>
      </c>
      <c r="E109">
        <f>[4]data!E109*1000000000/(_xlfn.XLOOKUP($B109,[1]data!$C$2:$C$201,[1]data!L$2:L$201)*1000000)</f>
        <v>3671.0924715649521</v>
      </c>
      <c r="F109">
        <f>[4]data!F109*1000000000/(_xlfn.XLOOKUP($B109,[1]data!$C$2:$C$201,[1]data!M$2:M$201)*1000000)</f>
        <v>3796.1801626435472</v>
      </c>
      <c r="G109">
        <f>[4]data!G109*1000000000/(_xlfn.XLOOKUP($B109,[1]data!$C$2:$C$201,[1]data!N$2:N$201)*1000000)</f>
        <v>4270.2469916837408</v>
      </c>
      <c r="H109">
        <f>[4]data!H109*1000000000/(_xlfn.XLOOKUP($B109,[1]data!$C$2:$C$201,[1]data!O$2:O$201)*1000000)</f>
        <v>4253.9504147484222</v>
      </c>
      <c r="I109">
        <f>[4]data!I109*1000000000/(_xlfn.XLOOKUP($B109,[1]data!$C$2:$C$201,[1]data!P$2:P$201)*1000000)</f>
        <v>4853.6938213283538</v>
      </c>
      <c r="J109">
        <f>[4]data!J109*1000000000/(_xlfn.XLOOKUP($B109,[1]data!$C$2:$C$201,[1]data!Q$2:Q$201)*1000000)</f>
        <v>5806.9685607542442</v>
      </c>
      <c r="K109">
        <f>[4]data!K109*1000000000/(_xlfn.XLOOKUP($B109,[1]data!$C$2:$C$201,[1]data!R$2:R$201)*1000000)</f>
        <v>6905.8341628615653</v>
      </c>
      <c r="L109">
        <f>[4]data!L109*1000000000/(_xlfn.XLOOKUP($B109,[1]data!$C$2:$C$201,[1]data!S$2:S$201)*1000000)</f>
        <v>7844.8238645674101</v>
      </c>
      <c r="M109">
        <f>[4]data!M109*1000000000/(_xlfn.XLOOKUP($B109,[1]data!$C$2:$C$201,[1]data!T$2:T$201)*1000000)</f>
        <v>7703.0673569489372</v>
      </c>
      <c r="N109">
        <f>[4]data!N109*1000000000/(_xlfn.XLOOKUP($B109,[1]data!$C$2:$C$201,[1]data!U$2:U$201)*1000000)</f>
        <v>8761.9464193775184</v>
      </c>
      <c r="O109">
        <f>[4]data!O109*1000000000/(_xlfn.XLOOKUP($B109,[1]data!$C$2:$C$201,[1]data!V$2:V$201)*1000000)</f>
        <v>9950.020827152015</v>
      </c>
      <c r="P109">
        <f>[4]data!P109*1000000000/(_xlfn.XLOOKUP($B109,[1]data!$C$2:$C$201,[1]data!W$2:W$201)*1000000)</f>
        <v>11465.804264723587</v>
      </c>
      <c r="Q109">
        <f>[4]data!Q109*1000000000/(_xlfn.XLOOKUP($B109,[1]data!$C$2:$C$201,[1]data!X$2:X$201)*1000000)</f>
        <v>13208.834002289232</v>
      </c>
      <c r="R109">
        <f>[4]data!R109*1000000000/(_xlfn.XLOOKUP($B109,[1]data!$C$2:$C$201,[1]data!Y$2:Y$201)*1000000)</f>
        <v>15259.486217455486</v>
      </c>
      <c r="S109">
        <f>[4]data!S109*1000000000/(_xlfn.XLOOKUP($B109,[1]data!$C$2:$C$201,[1]data!Z$2:Z$201)*1000000)</f>
        <v>17726.29304702051</v>
      </c>
      <c r="T109">
        <f>[4]data!T109*1000000000/(_xlfn.XLOOKUP($B109,[1]data!$C$2:$C$201,[1]data!AA$2:AA$201)*1000000)</f>
        <v>20699.21182080884</v>
      </c>
      <c r="U109">
        <f>[4]data!U109*1000000000/(_xlfn.XLOOKUP($B109,[1]data!$C$2:$C$201,[1]data!AB$2:AB$201)*1000000)</f>
        <v>24266.956462398612</v>
      </c>
      <c r="V109">
        <f>[4]data!V109*1000000000/(_xlfn.XLOOKUP($B109,[1]data!$C$2:$C$201,[1]data!AC$2:AC$201)*1000000)</f>
        <v>28438.099403794309</v>
      </c>
      <c r="W109">
        <f>[4]data!W109*1000000000/(_xlfn.XLOOKUP($B109,[1]data!$C$2:$C$201,[1]data!AD$2:AD$201)*1000000)</f>
        <v>33109.94710915113</v>
      </c>
      <c r="X109">
        <f>[4]data!X109*1000000000/(_xlfn.XLOOKUP($B109,[1]data!$C$2:$C$201,[1]data!AE$2:AE$201)*1000000)</f>
        <v>38330.302242612699</v>
      </c>
      <c r="Y109">
        <f>[4]data!Y109*1000000000/(_xlfn.XLOOKUP($B109,[1]data!$C$2:$C$201,[1]data!AF$2:AF$201)*1000000)</f>
        <v>44187.563426643581</v>
      </c>
      <c r="Z109">
        <f>[4]data!Z109*1000000000/(_xlfn.XLOOKUP($B109,[1]data!$C$2:$C$201,[1]data!AG$2:AG$201)*1000000)</f>
        <v>50665.11484473016</v>
      </c>
      <c r="AA109">
        <f>[4]data!AA109*1000000000/(_xlfn.XLOOKUP($B109,[1]data!$C$2:$C$201,[1]data!AH$2:AH$201)*1000000)</f>
        <v>57828.873861709268</v>
      </c>
      <c r="AB109">
        <f>[4]data!AB109*1000000000/(_xlfn.XLOOKUP($B109,[1]data!$C$2:$C$201,[1]data!AI$2:AI$201)*1000000)</f>
        <v>65731.28782246109</v>
      </c>
      <c r="AC109">
        <f>[4]data!AC109*1000000000/(_xlfn.XLOOKUP($B109,[1]data!$C$2:$C$201,[1]data!AJ$2:AJ$201)*1000000)</f>
        <v>74437.604904865846</v>
      </c>
    </row>
    <row r="110" spans="1:29" x14ac:dyDescent="0.25">
      <c r="A110" t="s">
        <v>232</v>
      </c>
      <c r="B110" t="s">
        <v>143</v>
      </c>
      <c r="C110" t="s">
        <v>233</v>
      </c>
      <c r="D110" t="s">
        <v>234</v>
      </c>
      <c r="E110" t="e">
        <f>[4]data!E110*1000000000/(_xlfn.XLOOKUP($B110,[1]data!$C$2:$C$201,[1]data!L$2:L$201)*1000000)</f>
        <v>#VALUE!</v>
      </c>
      <c r="F110" t="e">
        <f>[4]data!F110*1000000000/(_xlfn.XLOOKUP($B110,[1]data!$C$2:$C$201,[1]data!M$2:M$201)*1000000)</f>
        <v>#VALUE!</v>
      </c>
      <c r="G110" t="e">
        <f>[4]data!G110*1000000000/(_xlfn.XLOOKUP($B110,[1]data!$C$2:$C$201,[1]data!N$2:N$201)*1000000)</f>
        <v>#VALUE!</v>
      </c>
      <c r="H110">
        <f>[4]data!H110*1000000000/(_xlfn.XLOOKUP($B110,[1]data!$C$2:$C$201,[1]data!O$2:O$201)*1000000)</f>
        <v>3718.6176534423771</v>
      </c>
      <c r="I110">
        <f>[4]data!I110*1000000000/(_xlfn.XLOOKUP($B110,[1]data!$C$2:$C$201,[1]data!P$2:P$201)*1000000)</f>
        <v>3429.6034789879741</v>
      </c>
      <c r="J110">
        <f>[4]data!J110*1000000000/(_xlfn.XLOOKUP($B110,[1]data!$C$2:$C$201,[1]data!Q$2:Q$201)*1000000)</f>
        <v>5127.2856497539369</v>
      </c>
      <c r="K110">
        <f>[4]data!K110*1000000000/(_xlfn.XLOOKUP($B110,[1]data!$C$2:$C$201,[1]data!R$2:R$201)*1000000)</f>
        <v>6504.851966739514</v>
      </c>
      <c r="L110">
        <f>[4]data!L110*1000000000/(_xlfn.XLOOKUP($B110,[1]data!$C$2:$C$201,[1]data!S$2:S$201)*1000000)</f>
        <v>8781.9201615572019</v>
      </c>
      <c r="M110">
        <f>[4]data!M110*1000000000/(_xlfn.XLOOKUP($B110,[1]data!$C$2:$C$201,[1]data!T$2:T$201)*1000000)</f>
        <v>10092.593849090572</v>
      </c>
      <c r="N110">
        <f>[4]data!N110*1000000000/(_xlfn.XLOOKUP($B110,[1]data!$C$2:$C$201,[1]data!U$2:U$201)*1000000)</f>
        <v>12363.037626223437</v>
      </c>
      <c r="O110">
        <f>[4]data!O110*1000000000/(_xlfn.XLOOKUP($B110,[1]data!$C$2:$C$201,[1]data!V$2:V$201)*1000000)</f>
        <v>16449.875274917857</v>
      </c>
      <c r="P110">
        <f>[4]data!P110*1000000000/(_xlfn.XLOOKUP($B110,[1]data!$C$2:$C$201,[1]data!W$2:W$201)*1000000)</f>
        <v>20953.549145951136</v>
      </c>
      <c r="Q110">
        <f>[4]data!Q110*1000000000/(_xlfn.XLOOKUP($B110,[1]data!$C$2:$C$201,[1]data!X$2:X$201)*1000000)</f>
        <v>25098.16471107164</v>
      </c>
      <c r="R110">
        <f>[4]data!R110*1000000000/(_xlfn.XLOOKUP($B110,[1]data!$C$2:$C$201,[1]data!Y$2:Y$201)*1000000)</f>
        <v>28778.174787836877</v>
      </c>
      <c r="S110">
        <f>[4]data!S110*1000000000/(_xlfn.XLOOKUP($B110,[1]data!$C$2:$C$201,[1]data!Z$2:Z$201)*1000000)</f>
        <v>32105.914187245526</v>
      </c>
      <c r="T110">
        <f>[4]data!T110*1000000000/(_xlfn.XLOOKUP($B110,[1]data!$C$2:$C$201,[1]data!AA$2:AA$201)*1000000)</f>
        <v>35351.479321409679</v>
      </c>
      <c r="U110">
        <f>[4]data!U110*1000000000/(_xlfn.XLOOKUP($B110,[1]data!$C$2:$C$201,[1]data!AB$2:AB$201)*1000000)</f>
        <v>38697.646433740047</v>
      </c>
      <c r="V110">
        <f>[4]data!V110*1000000000/(_xlfn.XLOOKUP($B110,[1]data!$C$2:$C$201,[1]data!AC$2:AC$201)*1000000)</f>
        <v>42189.74135228974</v>
      </c>
      <c r="W110">
        <f>[4]data!W110*1000000000/(_xlfn.XLOOKUP($B110,[1]data!$C$2:$C$201,[1]data!AD$2:AD$201)*1000000)</f>
        <v>45608.682961029735</v>
      </c>
      <c r="X110">
        <f>[4]data!X110*1000000000/(_xlfn.XLOOKUP($B110,[1]data!$C$2:$C$201,[1]data!AE$2:AE$201)*1000000)</f>
        <v>48859.505695715045</v>
      </c>
      <c r="Y110">
        <f>[4]data!Y110*1000000000/(_xlfn.XLOOKUP($B110,[1]data!$C$2:$C$201,[1]data!AF$2:AF$201)*1000000)</f>
        <v>51975.14227984257</v>
      </c>
      <c r="Z110">
        <f>[4]data!Z110*1000000000/(_xlfn.XLOOKUP($B110,[1]data!$C$2:$C$201,[1]data!AG$2:AG$201)*1000000)</f>
        <v>55086.636175458734</v>
      </c>
      <c r="AA110">
        <f>[4]data!AA110*1000000000/(_xlfn.XLOOKUP($B110,[1]data!$C$2:$C$201,[1]data!AH$2:AH$201)*1000000)</f>
        <v>58310.67147999131</v>
      </c>
      <c r="AB110">
        <f>[4]data!AB110*1000000000/(_xlfn.XLOOKUP($B110,[1]data!$C$2:$C$201,[1]data!AI$2:AI$201)*1000000)</f>
        <v>61704.180099317236</v>
      </c>
      <c r="AC110">
        <f>[4]data!AC110*1000000000/(_xlfn.XLOOKUP($B110,[1]data!$C$2:$C$201,[1]data!AJ$2:AJ$201)*1000000)</f>
        <v>65260.576826898847</v>
      </c>
    </row>
    <row r="111" spans="1:29" x14ac:dyDescent="0.25">
      <c r="A111" t="s">
        <v>232</v>
      </c>
      <c r="B111" t="s">
        <v>144</v>
      </c>
      <c r="C111" t="s">
        <v>233</v>
      </c>
      <c r="D111" t="s">
        <v>234</v>
      </c>
      <c r="E111">
        <f>[4]data!E111*1000000000/(_xlfn.XLOOKUP($B111,[1]data!$C$2:$C$201,[1]data!L$2:L$201)*1000000)</f>
        <v>2316.0402389299857</v>
      </c>
      <c r="F111">
        <f>[4]data!F111*1000000000/(_xlfn.XLOOKUP($B111,[1]data!$C$2:$C$201,[1]data!M$2:M$201)*1000000)</f>
        <v>1848.7285387299983</v>
      </c>
      <c r="G111">
        <f>[4]data!G111*1000000000/(_xlfn.XLOOKUP($B111,[1]data!$C$2:$C$201,[1]data!N$2:N$201)*1000000)</f>
        <v>1836.1801411373769</v>
      </c>
      <c r="H111">
        <f>[4]data!H111*1000000000/(_xlfn.XLOOKUP($B111,[1]data!$C$2:$C$201,[1]data!O$2:O$201)*1000000)</f>
        <v>1549.1708257628477</v>
      </c>
      <c r="I111">
        <f>[4]data!I111*1000000000/(_xlfn.XLOOKUP($B111,[1]data!$C$2:$C$201,[1]data!P$2:P$201)*1000000)</f>
        <v>1593.590403209882</v>
      </c>
      <c r="J111">
        <f>[4]data!J111*1000000000/(_xlfn.XLOOKUP($B111,[1]data!$C$2:$C$201,[1]data!Q$2:Q$201)*1000000)</f>
        <v>1544.6502270400872</v>
      </c>
      <c r="K111">
        <f>[4]data!K111*1000000000/(_xlfn.XLOOKUP($B111,[1]data!$C$2:$C$201,[1]data!R$2:R$201)*1000000)</f>
        <v>1533.7447511414252</v>
      </c>
      <c r="L111">
        <f>[4]data!L111*1000000000/(_xlfn.XLOOKUP($B111,[1]data!$C$2:$C$201,[1]data!S$2:S$201)*1000000)</f>
        <v>1528.0572814498244</v>
      </c>
      <c r="M111">
        <f>[4]data!M111*1000000000/(_xlfn.XLOOKUP($B111,[1]data!$C$2:$C$201,[1]data!T$2:T$201)*1000000)</f>
        <v>1454.0518823238701</v>
      </c>
      <c r="N111">
        <f>[4]data!N111*1000000000/(_xlfn.XLOOKUP($B111,[1]data!$C$2:$C$201,[1]data!U$2:U$201)*1000000)</f>
        <v>1622.333098265746</v>
      </c>
      <c r="O111">
        <f>[4]data!O111*1000000000/(_xlfn.XLOOKUP($B111,[1]data!$C$2:$C$201,[1]data!V$2:V$201)*1000000)</f>
        <v>1840.9839364238576</v>
      </c>
      <c r="P111">
        <f>[4]data!P111*1000000000/(_xlfn.XLOOKUP($B111,[1]data!$C$2:$C$201,[1]data!W$2:W$201)*1000000)</f>
        <v>2175.6834404464307</v>
      </c>
      <c r="Q111">
        <f>[4]data!Q111*1000000000/(_xlfn.XLOOKUP($B111,[1]data!$C$2:$C$201,[1]data!X$2:X$201)*1000000)</f>
        <v>2594.7128727333925</v>
      </c>
      <c r="R111">
        <f>[4]data!R111*1000000000/(_xlfn.XLOOKUP($B111,[1]data!$C$2:$C$201,[1]data!Y$2:Y$201)*1000000)</f>
        <v>3127.2971803336955</v>
      </c>
      <c r="S111">
        <f>[4]data!S111*1000000000/(_xlfn.XLOOKUP($B111,[1]data!$C$2:$C$201,[1]data!Z$2:Z$201)*1000000)</f>
        <v>3802.6337617710228</v>
      </c>
      <c r="T111">
        <f>[4]data!T111*1000000000/(_xlfn.XLOOKUP($B111,[1]data!$C$2:$C$201,[1]data!AA$2:AA$201)*1000000)</f>
        <v>4651.8188255817722</v>
      </c>
      <c r="U111">
        <f>[4]data!U111*1000000000/(_xlfn.XLOOKUP($B111,[1]data!$C$2:$C$201,[1]data!AB$2:AB$201)*1000000)</f>
        <v>5708.2326967267318</v>
      </c>
      <c r="V111">
        <f>[4]data!V111*1000000000/(_xlfn.XLOOKUP($B111,[1]data!$C$2:$C$201,[1]data!AC$2:AC$201)*1000000)</f>
        <v>7020.2334155876279</v>
      </c>
      <c r="W111">
        <f>[4]data!W111*1000000000/(_xlfn.XLOOKUP($B111,[1]data!$C$2:$C$201,[1]data!AD$2:AD$201)*1000000)</f>
        <v>8616.4939885801377</v>
      </c>
      <c r="X111">
        <f>[4]data!X111*1000000000/(_xlfn.XLOOKUP($B111,[1]data!$C$2:$C$201,[1]data!AE$2:AE$201)*1000000)</f>
        <v>10541.323470669169</v>
      </c>
      <c r="Y111">
        <f>[4]data!Y111*1000000000/(_xlfn.XLOOKUP($B111,[1]data!$C$2:$C$201,[1]data!AF$2:AF$201)*1000000)</f>
        <v>12801.300809054143</v>
      </c>
      <c r="Z111">
        <f>[4]data!Z111*1000000000/(_xlfn.XLOOKUP($B111,[1]data!$C$2:$C$201,[1]data!AG$2:AG$201)*1000000)</f>
        <v>15417.312730536465</v>
      </c>
      <c r="AA111">
        <f>[4]data!AA111*1000000000/(_xlfn.XLOOKUP($B111,[1]data!$C$2:$C$201,[1]data!AH$2:AH$201)*1000000)</f>
        <v>18431.929627944275</v>
      </c>
      <c r="AB111">
        <f>[4]data!AB111*1000000000/(_xlfn.XLOOKUP($B111,[1]data!$C$2:$C$201,[1]data!AI$2:AI$201)*1000000)</f>
        <v>21897.462324879059</v>
      </c>
      <c r="AC111">
        <f>[4]data!AC111*1000000000/(_xlfn.XLOOKUP($B111,[1]data!$C$2:$C$201,[1]data!AJ$2:AJ$201)*1000000)</f>
        <v>25877.800364365699</v>
      </c>
    </row>
    <row r="112" spans="1:29" x14ac:dyDescent="0.25">
      <c r="A112" t="s">
        <v>232</v>
      </c>
      <c r="B112" t="s">
        <v>145</v>
      </c>
      <c r="C112" t="s">
        <v>233</v>
      </c>
      <c r="D112" t="s">
        <v>234</v>
      </c>
      <c r="E112">
        <f>[4]data!E112*1000000000/(_xlfn.XLOOKUP($B112,[1]data!$C$2:$C$201,[1]data!L$2:L$201)*1000000)</f>
        <v>4360.9531896042527</v>
      </c>
      <c r="F112">
        <f>[4]data!F112*1000000000/(_xlfn.XLOOKUP($B112,[1]data!$C$2:$C$201,[1]data!M$2:M$201)*1000000)</f>
        <v>6127.5198999256927</v>
      </c>
      <c r="G112">
        <f>[4]data!G112*1000000000/(_xlfn.XLOOKUP($B112,[1]data!$C$2:$C$201,[1]data!N$2:N$201)*1000000)</f>
        <v>6980.5668638144243</v>
      </c>
      <c r="H112">
        <f>[4]data!H112*1000000000/(_xlfn.XLOOKUP($B112,[1]data!$C$2:$C$201,[1]data!O$2:O$201)*1000000)</f>
        <v>8381.7716718963602</v>
      </c>
      <c r="I112">
        <f>[4]data!I112*1000000000/(_xlfn.XLOOKUP($B112,[1]data!$C$2:$C$201,[1]data!P$2:P$201)*1000000)</f>
        <v>11344.326658814289</v>
      </c>
      <c r="J112">
        <f>[4]data!J112*1000000000/(_xlfn.XLOOKUP($B112,[1]data!$C$2:$C$201,[1]data!Q$2:Q$201)*1000000)</f>
        <v>13228.99327272548</v>
      </c>
      <c r="K112">
        <f>[4]data!K112*1000000000/(_xlfn.XLOOKUP($B112,[1]data!$C$2:$C$201,[1]data!R$2:R$201)*1000000)</f>
        <v>16787.964438338575</v>
      </c>
      <c r="L112">
        <f>[4]data!L112*1000000000/(_xlfn.XLOOKUP($B112,[1]data!$C$2:$C$201,[1]data!S$2:S$201)*1000000)</f>
        <v>18450.650353276873</v>
      </c>
      <c r="M112">
        <f>[4]data!M112*1000000000/(_xlfn.XLOOKUP($B112,[1]data!$C$2:$C$201,[1]data!T$2:T$201)*1000000)</f>
        <v>13512.716268563519</v>
      </c>
      <c r="N112">
        <f>[4]data!N112*1000000000/(_xlfn.XLOOKUP($B112,[1]data!$C$2:$C$201,[1]data!U$2:U$201)*1000000)</f>
        <v>24564.34487539679</v>
      </c>
      <c r="O112">
        <f>[4]data!O112*1000000000/(_xlfn.XLOOKUP($B112,[1]data!$C$2:$C$201,[1]data!V$2:V$201)*1000000)</f>
        <v>29954.194792671165</v>
      </c>
      <c r="P112">
        <f>[4]data!P112*1000000000/(_xlfn.XLOOKUP($B112,[1]data!$C$2:$C$201,[1]data!W$2:W$201)*1000000)</f>
        <v>35122.563085146503</v>
      </c>
      <c r="Q112">
        <f>[4]data!Q112*1000000000/(_xlfn.XLOOKUP($B112,[1]data!$C$2:$C$201,[1]data!X$2:X$201)*1000000)</f>
        <v>39898.006839246373</v>
      </c>
      <c r="R112">
        <f>[4]data!R112*1000000000/(_xlfn.XLOOKUP($B112,[1]data!$C$2:$C$201,[1]data!Y$2:Y$201)*1000000)</f>
        <v>44124.948749025665</v>
      </c>
      <c r="S112">
        <f>[4]data!S112*1000000000/(_xlfn.XLOOKUP($B112,[1]data!$C$2:$C$201,[1]data!Z$2:Z$201)*1000000)</f>
        <v>47899.305505338147</v>
      </c>
      <c r="T112">
        <f>[4]data!T112*1000000000/(_xlfn.XLOOKUP($B112,[1]data!$C$2:$C$201,[1]data!AA$2:AA$201)*1000000)</f>
        <v>51583.697708226988</v>
      </c>
      <c r="U112">
        <f>[4]data!U112*1000000000/(_xlfn.XLOOKUP($B112,[1]data!$C$2:$C$201,[1]data!AB$2:AB$201)*1000000)</f>
        <v>55508.168052831184</v>
      </c>
      <c r="V112">
        <f>[4]data!V112*1000000000/(_xlfn.XLOOKUP($B112,[1]data!$C$2:$C$201,[1]data!AC$2:AC$201)*1000000)</f>
        <v>59779.916797813799</v>
      </c>
      <c r="W112">
        <f>[4]data!W112*1000000000/(_xlfn.XLOOKUP($B112,[1]data!$C$2:$C$201,[1]data!AD$2:AD$201)*1000000)</f>
        <v>63697.126612797671</v>
      </c>
      <c r="X112">
        <f>[4]data!X112*1000000000/(_xlfn.XLOOKUP($B112,[1]data!$C$2:$C$201,[1]data!AE$2:AE$201)*1000000)</f>
        <v>67353.166968373058</v>
      </c>
      <c r="Y112">
        <f>[4]data!Y112*1000000000/(_xlfn.XLOOKUP($B112,[1]data!$C$2:$C$201,[1]data!AF$2:AF$201)*1000000)</f>
        <v>70701.612041105545</v>
      </c>
      <c r="Z112">
        <f>[4]data!Z112*1000000000/(_xlfn.XLOOKUP($B112,[1]data!$C$2:$C$201,[1]data!AG$2:AG$201)*1000000)</f>
        <v>73958.452854372299</v>
      </c>
      <c r="AA112">
        <f>[4]data!AA112*1000000000/(_xlfn.XLOOKUP($B112,[1]data!$C$2:$C$201,[1]data!AH$2:AH$201)*1000000)</f>
        <v>77242.715989739692</v>
      </c>
      <c r="AB112">
        <f>[4]data!AB112*1000000000/(_xlfn.XLOOKUP($B112,[1]data!$C$2:$C$201,[1]data!AI$2:AI$201)*1000000)</f>
        <v>80631.809731203102</v>
      </c>
      <c r="AC112">
        <f>[4]data!AC112*1000000000/(_xlfn.XLOOKUP($B112,[1]data!$C$2:$C$201,[1]data!AJ$2:AJ$201)*1000000)</f>
        <v>84006.94117234461</v>
      </c>
    </row>
    <row r="113" spans="1:29" x14ac:dyDescent="0.25">
      <c r="A113" t="s">
        <v>232</v>
      </c>
      <c r="B113" t="s">
        <v>146</v>
      </c>
      <c r="C113" t="s">
        <v>233</v>
      </c>
      <c r="D113" t="s">
        <v>234</v>
      </c>
      <c r="E113">
        <f>[4]data!E113*1000000000/(_xlfn.XLOOKUP($B113,[1]data!$C$2:$C$201,[1]data!L$2:L$201)*1000000)</f>
        <v>16733.111697243101</v>
      </c>
      <c r="F113">
        <f>[4]data!F113*1000000000/(_xlfn.XLOOKUP($B113,[1]data!$C$2:$C$201,[1]data!M$2:M$201)*1000000)</f>
        <v>16610.105560616405</v>
      </c>
      <c r="G113">
        <f>[4]data!G113*1000000000/(_xlfn.XLOOKUP($B113,[1]data!$C$2:$C$201,[1]data!N$2:N$201)*1000000)</f>
        <v>16649.032929775287</v>
      </c>
      <c r="H113">
        <f>[4]data!H113*1000000000/(_xlfn.XLOOKUP($B113,[1]data!$C$2:$C$201,[1]data!O$2:O$201)*1000000)</f>
        <v>16325.69702758176</v>
      </c>
      <c r="I113">
        <f>[4]data!I113*1000000000/(_xlfn.XLOOKUP($B113,[1]data!$C$2:$C$201,[1]data!P$2:P$201)*1000000)</f>
        <v>18517.97657145212</v>
      </c>
      <c r="J113">
        <f>[4]data!J113*1000000000/(_xlfn.XLOOKUP($B113,[1]data!$C$2:$C$201,[1]data!Q$2:Q$201)*1000000)</f>
        <v>18251.073782028299</v>
      </c>
      <c r="K113">
        <f>[4]data!K113*1000000000/(_xlfn.XLOOKUP($B113,[1]data!$C$2:$C$201,[1]data!R$2:R$201)*1000000)</f>
        <v>18168.904692170112</v>
      </c>
      <c r="L113">
        <f>[4]data!L113*1000000000/(_xlfn.XLOOKUP($B113,[1]data!$C$2:$C$201,[1]data!S$2:S$201)*1000000)</f>
        <v>19325.06482276482</v>
      </c>
      <c r="M113">
        <f>[4]data!M113*1000000000/(_xlfn.XLOOKUP($B113,[1]data!$C$2:$C$201,[1]data!T$2:T$201)*1000000)</f>
        <v>17701.869169116355</v>
      </c>
      <c r="N113">
        <f>[4]data!N113*1000000000/(_xlfn.XLOOKUP($B113,[1]data!$C$2:$C$201,[1]data!U$2:U$201)*1000000)</f>
        <v>20284.942336633165</v>
      </c>
      <c r="O113">
        <f>[4]data!O113*1000000000/(_xlfn.XLOOKUP($B113,[1]data!$C$2:$C$201,[1]data!V$2:V$201)*1000000)</f>
        <v>22301.075894702892</v>
      </c>
      <c r="P113">
        <f>[4]data!P113*1000000000/(_xlfn.XLOOKUP($B113,[1]data!$C$2:$C$201,[1]data!W$2:W$201)*1000000)</f>
        <v>24690.097444437492</v>
      </c>
      <c r="Q113">
        <f>[4]data!Q113*1000000000/(_xlfn.XLOOKUP($B113,[1]data!$C$2:$C$201,[1]data!X$2:X$201)*1000000)</f>
        <v>27408.098466794654</v>
      </c>
      <c r="R113">
        <f>[4]data!R113*1000000000/(_xlfn.XLOOKUP($B113,[1]data!$C$2:$C$201,[1]data!Y$2:Y$201)*1000000)</f>
        <v>30493.066606650838</v>
      </c>
      <c r="S113">
        <f>[4]data!S113*1000000000/(_xlfn.XLOOKUP($B113,[1]data!$C$2:$C$201,[1]data!Z$2:Z$201)*1000000)</f>
        <v>33905.174681212891</v>
      </c>
      <c r="T113">
        <f>[4]data!T113*1000000000/(_xlfn.XLOOKUP($B113,[1]data!$C$2:$C$201,[1]data!AA$2:AA$201)*1000000)</f>
        <v>37554.672216153529</v>
      </c>
      <c r="U113">
        <f>[4]data!U113*1000000000/(_xlfn.XLOOKUP($B113,[1]data!$C$2:$C$201,[1]data!AB$2:AB$201)*1000000)</f>
        <v>41335.342369049133</v>
      </c>
      <c r="V113">
        <f>[4]data!V113*1000000000/(_xlfn.XLOOKUP($B113,[1]data!$C$2:$C$201,[1]data!AC$2:AC$201)*1000000)</f>
        <v>45275.716446104489</v>
      </c>
      <c r="W113">
        <f>[4]data!W113*1000000000/(_xlfn.XLOOKUP($B113,[1]data!$C$2:$C$201,[1]data!AD$2:AD$201)*1000000)</f>
        <v>49364.591482193558</v>
      </c>
      <c r="X113">
        <f>[4]data!X113*1000000000/(_xlfn.XLOOKUP($B113,[1]data!$C$2:$C$201,[1]data!AE$2:AE$201)*1000000)</f>
        <v>53533.720437315773</v>
      </c>
      <c r="Y113">
        <f>[4]data!Y113*1000000000/(_xlfn.XLOOKUP($B113,[1]data!$C$2:$C$201,[1]data!AF$2:AF$201)*1000000)</f>
        <v>57688.114613782738</v>
      </c>
      <c r="Z113">
        <f>[4]data!Z113*1000000000/(_xlfn.XLOOKUP($B113,[1]data!$C$2:$C$201,[1]data!AG$2:AG$201)*1000000)</f>
        <v>61786.401446903525</v>
      </c>
      <c r="AA113">
        <f>[4]data!AA113*1000000000/(_xlfn.XLOOKUP($B113,[1]data!$C$2:$C$201,[1]data!AH$2:AH$201)*1000000)</f>
        <v>65787.739792597058</v>
      </c>
      <c r="AB113">
        <f>[4]data!AB113*1000000000/(_xlfn.XLOOKUP($B113,[1]data!$C$2:$C$201,[1]data!AI$2:AI$201)*1000000)</f>
        <v>69631.115727391909</v>
      </c>
      <c r="AC113">
        <f>[4]data!AC113*1000000000/(_xlfn.XLOOKUP($B113,[1]data!$C$2:$C$201,[1]data!AJ$2:AJ$201)*1000000)</f>
        <v>73320.521929310067</v>
      </c>
    </row>
    <row r="114" spans="1:29" x14ac:dyDescent="0.25">
      <c r="A114" t="s">
        <v>232</v>
      </c>
      <c r="B114" t="s">
        <v>147</v>
      </c>
      <c r="C114" t="s">
        <v>233</v>
      </c>
      <c r="D114" t="s">
        <v>234</v>
      </c>
      <c r="E114" t="e">
        <f>[4]data!E114*1000000000/(_xlfn.XLOOKUP($B114,[1]data!$C$2:$C$201,[1]data!L$2:L$201)*1000000)</f>
        <v>#VALUE!</v>
      </c>
      <c r="F114" t="e">
        <f>[4]data!F114*1000000000/(_xlfn.XLOOKUP($B114,[1]data!$C$2:$C$201,[1]data!M$2:M$201)*1000000)</f>
        <v>#VALUE!</v>
      </c>
      <c r="G114">
        <f>[4]data!G114*1000000000/(_xlfn.XLOOKUP($B114,[1]data!$C$2:$C$201,[1]data!N$2:N$201)*1000000)</f>
        <v>11118.497346095313</v>
      </c>
      <c r="H114">
        <f>[4]data!H114*1000000000/(_xlfn.XLOOKUP($B114,[1]data!$C$2:$C$201,[1]data!O$2:O$201)*1000000)</f>
        <v>9015.1481852541765</v>
      </c>
      <c r="I114">
        <f>[4]data!I114*1000000000/(_xlfn.XLOOKUP($B114,[1]data!$C$2:$C$201,[1]data!P$2:P$201)*1000000)</f>
        <v>10164.644257396825</v>
      </c>
      <c r="J114">
        <f>[4]data!J114*1000000000/(_xlfn.XLOOKUP($B114,[1]data!$C$2:$C$201,[1]data!Q$2:Q$201)*1000000)</f>
        <v>10951.836352766877</v>
      </c>
      <c r="K114">
        <f>[4]data!K114*1000000000/(_xlfn.XLOOKUP($B114,[1]data!$C$2:$C$201,[1]data!R$2:R$201)*1000000)</f>
        <v>13226.761210462731</v>
      </c>
      <c r="L114">
        <f>[4]data!L114*1000000000/(_xlfn.XLOOKUP($B114,[1]data!$C$2:$C$201,[1]data!S$2:S$201)*1000000)</f>
        <v>14819.10068894811</v>
      </c>
      <c r="M114">
        <f>[4]data!M114*1000000000/(_xlfn.XLOOKUP($B114,[1]data!$C$2:$C$201,[1]data!T$2:T$201)*1000000)</f>
        <v>15644.083847596956</v>
      </c>
      <c r="N114">
        <f>[4]data!N114*1000000000/(_xlfn.XLOOKUP($B114,[1]data!$C$2:$C$201,[1]data!U$2:U$201)*1000000)</f>
        <v>18344.844437826672</v>
      </c>
      <c r="O114">
        <f>[4]data!O114*1000000000/(_xlfn.XLOOKUP($B114,[1]data!$C$2:$C$201,[1]data!V$2:V$201)*1000000)</f>
        <v>21676.025531700372</v>
      </c>
      <c r="P114">
        <f>[4]data!P114*1000000000/(_xlfn.XLOOKUP($B114,[1]data!$C$2:$C$201,[1]data!W$2:W$201)*1000000)</f>
        <v>24742.429567571224</v>
      </c>
      <c r="Q114">
        <f>[4]data!Q114*1000000000/(_xlfn.XLOOKUP($B114,[1]data!$C$2:$C$201,[1]data!X$2:X$201)*1000000)</f>
        <v>27885.897822364484</v>
      </c>
      <c r="R114">
        <f>[4]data!R114*1000000000/(_xlfn.XLOOKUP($B114,[1]data!$C$2:$C$201,[1]data!Y$2:Y$201)*1000000)</f>
        <v>31232.09307704628</v>
      </c>
      <c r="S114">
        <f>[4]data!S114*1000000000/(_xlfn.XLOOKUP($B114,[1]data!$C$2:$C$201,[1]data!Z$2:Z$201)*1000000)</f>
        <v>34802.002267696866</v>
      </c>
      <c r="T114">
        <f>[4]data!T114*1000000000/(_xlfn.XLOOKUP($B114,[1]data!$C$2:$C$201,[1]data!AA$2:AA$201)*1000000)</f>
        <v>38635.625268671291</v>
      </c>
      <c r="U114">
        <f>[4]data!U114*1000000000/(_xlfn.XLOOKUP($B114,[1]data!$C$2:$C$201,[1]data!AB$2:AB$201)*1000000)</f>
        <v>42708.362067884591</v>
      </c>
      <c r="V114">
        <f>[4]data!V114*1000000000/(_xlfn.XLOOKUP($B114,[1]data!$C$2:$C$201,[1]data!AC$2:AC$201)*1000000)</f>
        <v>47502.002000474175</v>
      </c>
      <c r="W114">
        <f>[4]data!W114*1000000000/(_xlfn.XLOOKUP($B114,[1]data!$C$2:$C$201,[1]data!AD$2:AD$201)*1000000)</f>
        <v>53203.733831315454</v>
      </c>
      <c r="X114">
        <f>[4]data!X114*1000000000/(_xlfn.XLOOKUP($B114,[1]data!$C$2:$C$201,[1]data!AE$2:AE$201)*1000000)</f>
        <v>59542.803392593698</v>
      </c>
      <c r="Y114">
        <f>[4]data!Y114*1000000000/(_xlfn.XLOOKUP($B114,[1]data!$C$2:$C$201,[1]data!AF$2:AF$201)*1000000)</f>
        <v>66287.552446347487</v>
      </c>
      <c r="Z114">
        <f>[4]data!Z114*1000000000/(_xlfn.XLOOKUP($B114,[1]data!$C$2:$C$201,[1]data!AG$2:AG$201)*1000000)</f>
        <v>73291.074860905923</v>
      </c>
      <c r="AA114">
        <f>[4]data!AA114*1000000000/(_xlfn.XLOOKUP($B114,[1]data!$C$2:$C$201,[1]data!AH$2:AH$201)*1000000)</f>
        <v>80516.951751732602</v>
      </c>
      <c r="AB114">
        <f>[4]data!AB114*1000000000/(_xlfn.XLOOKUP($B114,[1]data!$C$2:$C$201,[1]data!AI$2:AI$201)*1000000)</f>
        <v>87963.418373304943</v>
      </c>
      <c r="AC114">
        <f>[4]data!AC114*1000000000/(_xlfn.XLOOKUP($B114,[1]data!$C$2:$C$201,[1]data!AJ$2:AJ$201)*1000000)</f>
        <v>95691.430204745149</v>
      </c>
    </row>
    <row r="115" spans="1:29" x14ac:dyDescent="0.25">
      <c r="A115" t="s">
        <v>232</v>
      </c>
      <c r="B115" t="s">
        <v>148</v>
      </c>
      <c r="C115" t="s">
        <v>233</v>
      </c>
      <c r="D115" t="s">
        <v>234</v>
      </c>
      <c r="E115">
        <f>[4]data!E115*1000000000/(_xlfn.XLOOKUP($B115,[1]data!$C$2:$C$201,[1]data!L$2:L$201)*1000000)</f>
        <v>1396.6765411324245</v>
      </c>
      <c r="F115">
        <f>[4]data!F115*1000000000/(_xlfn.XLOOKUP($B115,[1]data!$C$2:$C$201,[1]data!M$2:M$201)*1000000)</f>
        <v>1157.1932297100013</v>
      </c>
      <c r="G115">
        <f>[4]data!G115*1000000000/(_xlfn.XLOOKUP($B115,[1]data!$C$2:$C$201,[1]data!N$2:N$201)*1000000)</f>
        <v>1395.1526344088568</v>
      </c>
      <c r="H115">
        <f>[4]data!H115*1000000000/(_xlfn.XLOOKUP($B115,[1]data!$C$2:$C$201,[1]data!O$2:O$201)*1000000)</f>
        <v>1477.1254572662515</v>
      </c>
      <c r="I115">
        <f>[4]data!I115*1000000000/(_xlfn.XLOOKUP($B115,[1]data!$C$2:$C$201,[1]data!P$2:P$201)*1000000)</f>
        <v>1609.1462392564636</v>
      </c>
      <c r="J115">
        <f>[4]data!J115*1000000000/(_xlfn.XLOOKUP($B115,[1]data!$C$2:$C$201,[1]data!Q$2:Q$201)*1000000)</f>
        <v>1930.4810808688319</v>
      </c>
      <c r="K115">
        <f>[4]data!K115*1000000000/(_xlfn.XLOOKUP($B115,[1]data!$C$2:$C$201,[1]data!R$2:R$201)*1000000)</f>
        <v>2051.4728644821707</v>
      </c>
      <c r="L115">
        <f>[4]data!L115*1000000000/(_xlfn.XLOOKUP($B115,[1]data!$C$2:$C$201,[1]data!S$2:S$201)*1000000)</f>
        <v>2093.0142680123795</v>
      </c>
      <c r="M115">
        <f>[4]data!M115*1000000000/(_xlfn.XLOOKUP($B115,[1]data!$C$2:$C$201,[1]data!T$2:T$201)*1000000)</f>
        <v>2158.0920336080476</v>
      </c>
      <c r="N115">
        <f>[4]data!N115*1000000000/(_xlfn.XLOOKUP($B115,[1]data!$C$2:$C$201,[1]data!U$2:U$201)*1000000)</f>
        <v>2280.4173561034909</v>
      </c>
      <c r="O115">
        <f>[4]data!O115*1000000000/(_xlfn.XLOOKUP($B115,[1]data!$C$2:$C$201,[1]data!V$2:V$201)*1000000)</f>
        <v>2573.9327837209294</v>
      </c>
      <c r="P115">
        <f>[4]data!P115*1000000000/(_xlfn.XLOOKUP($B115,[1]data!$C$2:$C$201,[1]data!W$2:W$201)*1000000)</f>
        <v>3089.0730388461384</v>
      </c>
      <c r="Q115">
        <f>[4]data!Q115*1000000000/(_xlfn.XLOOKUP($B115,[1]data!$C$2:$C$201,[1]data!X$2:X$201)*1000000)</f>
        <v>3743.1385466853908</v>
      </c>
      <c r="R115">
        <f>[4]data!R115*1000000000/(_xlfn.XLOOKUP($B115,[1]data!$C$2:$C$201,[1]data!Y$2:Y$201)*1000000)</f>
        <v>4571.6631657667185</v>
      </c>
      <c r="S115">
        <f>[4]data!S115*1000000000/(_xlfn.XLOOKUP($B115,[1]data!$C$2:$C$201,[1]data!Z$2:Z$201)*1000000)</f>
        <v>5602.8141658397954</v>
      </c>
      <c r="T115">
        <f>[4]data!T115*1000000000/(_xlfn.XLOOKUP($B115,[1]data!$C$2:$C$201,[1]data!AA$2:AA$201)*1000000)</f>
        <v>6851.2939022926012</v>
      </c>
      <c r="U115">
        <f>[4]data!U115*1000000000/(_xlfn.XLOOKUP($B115,[1]data!$C$2:$C$201,[1]data!AB$2:AB$201)*1000000)</f>
        <v>8342.4979038819602</v>
      </c>
      <c r="V115">
        <f>[4]data!V115*1000000000/(_xlfn.XLOOKUP($B115,[1]data!$C$2:$C$201,[1]data!AC$2:AC$201)*1000000)</f>
        <v>10091.330648579547</v>
      </c>
      <c r="W115">
        <f>[4]data!W115*1000000000/(_xlfn.XLOOKUP($B115,[1]data!$C$2:$C$201,[1]data!AD$2:AD$201)*1000000)</f>
        <v>12124.436189771995</v>
      </c>
      <c r="X115">
        <f>[4]data!X115*1000000000/(_xlfn.XLOOKUP($B115,[1]data!$C$2:$C$201,[1]data!AE$2:AE$201)*1000000)</f>
        <v>14479.371611372273</v>
      </c>
      <c r="Y115">
        <f>[4]data!Y115*1000000000/(_xlfn.XLOOKUP($B115,[1]data!$C$2:$C$201,[1]data!AF$2:AF$201)*1000000)</f>
        <v>17163.790918859166</v>
      </c>
      <c r="Z115">
        <f>[4]data!Z115*1000000000/(_xlfn.XLOOKUP($B115,[1]data!$C$2:$C$201,[1]data!AG$2:AG$201)*1000000)</f>
        <v>20236.518480577681</v>
      </c>
      <c r="AA115">
        <f>[4]data!AA115*1000000000/(_xlfn.XLOOKUP($B115,[1]data!$C$2:$C$201,[1]data!AH$2:AH$201)*1000000)</f>
        <v>23732.11896539478</v>
      </c>
      <c r="AB115">
        <f>[4]data!AB115*1000000000/(_xlfn.XLOOKUP($B115,[1]data!$C$2:$C$201,[1]data!AI$2:AI$201)*1000000)</f>
        <v>27721.84952941976</v>
      </c>
      <c r="AC115">
        <f>[4]data!AC115*1000000000/(_xlfn.XLOOKUP($B115,[1]data!$C$2:$C$201,[1]data!AJ$2:AJ$201)*1000000)</f>
        <v>32182.725924646711</v>
      </c>
    </row>
    <row r="116" spans="1:29" x14ac:dyDescent="0.25">
      <c r="A116" t="s">
        <v>232</v>
      </c>
      <c r="B116" t="s">
        <v>149</v>
      </c>
      <c r="C116" t="s">
        <v>233</v>
      </c>
      <c r="D116" t="s">
        <v>234</v>
      </c>
      <c r="E116">
        <f>[4]data!E116*1000000000/(_xlfn.XLOOKUP($B116,[1]data!$C$2:$C$201,[1]data!L$2:L$201)*1000000)</f>
        <v>14890.574697412763</v>
      </c>
      <c r="F116">
        <f>[4]data!F116*1000000000/(_xlfn.XLOOKUP($B116,[1]data!$C$2:$C$201,[1]data!M$2:M$201)*1000000)</f>
        <v>15485.409522932821</v>
      </c>
      <c r="G116">
        <f>[4]data!G116*1000000000/(_xlfn.XLOOKUP($B116,[1]data!$C$2:$C$201,[1]data!N$2:N$201)*1000000)</f>
        <v>19441.674892830728</v>
      </c>
      <c r="H116">
        <f>[4]data!H116*1000000000/(_xlfn.XLOOKUP($B116,[1]data!$C$2:$C$201,[1]data!O$2:O$201)*1000000)</f>
        <v>24735.236171281718</v>
      </c>
      <c r="I116">
        <f>[4]data!I116*1000000000/(_xlfn.XLOOKUP($B116,[1]data!$C$2:$C$201,[1]data!P$2:P$201)*1000000)</f>
        <v>27395.534454707078</v>
      </c>
      <c r="J116">
        <f>[4]data!J116*1000000000/(_xlfn.XLOOKUP($B116,[1]data!$C$2:$C$201,[1]data!Q$2:Q$201)*1000000)</f>
        <v>29043.551289156243</v>
      </c>
      <c r="K116">
        <f>[4]data!K116*1000000000/(_xlfn.XLOOKUP($B116,[1]data!$C$2:$C$201,[1]data!R$2:R$201)*1000000)</f>
        <v>33215.362873136568</v>
      </c>
      <c r="L116">
        <f>[4]data!L116*1000000000/(_xlfn.XLOOKUP($B116,[1]data!$C$2:$C$201,[1]data!S$2:S$201)*1000000)</f>
        <v>39933.251042121432</v>
      </c>
      <c r="M116">
        <f>[4]data!M116*1000000000/(_xlfn.XLOOKUP($B116,[1]data!$C$2:$C$201,[1]data!T$2:T$201)*1000000)</f>
        <v>42842.228789644927</v>
      </c>
      <c r="N116">
        <f>[4]data!N116*1000000000/(_xlfn.XLOOKUP($B116,[1]data!$C$2:$C$201,[1]data!U$2:U$201)*1000000)</f>
        <v>56197.102793803671</v>
      </c>
      <c r="O116">
        <f>[4]data!O116*1000000000/(_xlfn.XLOOKUP($B116,[1]data!$C$2:$C$201,[1]data!V$2:V$201)*1000000)</f>
        <v>66477.612856682375</v>
      </c>
      <c r="P116">
        <f>[4]data!P116*1000000000/(_xlfn.XLOOKUP($B116,[1]data!$C$2:$C$201,[1]data!W$2:W$201)*1000000)</f>
        <v>76408.70876517109</v>
      </c>
      <c r="Q116">
        <f>[4]data!Q116*1000000000/(_xlfn.XLOOKUP($B116,[1]data!$C$2:$C$201,[1]data!X$2:X$201)*1000000)</f>
        <v>84332.441352931201</v>
      </c>
      <c r="R116">
        <f>[4]data!R116*1000000000/(_xlfn.XLOOKUP($B116,[1]data!$C$2:$C$201,[1]data!Y$2:Y$201)*1000000)</f>
        <v>90739.746420284835</v>
      </c>
      <c r="S116">
        <f>[4]data!S116*1000000000/(_xlfn.XLOOKUP($B116,[1]data!$C$2:$C$201,[1]data!Z$2:Z$201)*1000000)</f>
        <v>95725.343563346745</v>
      </c>
      <c r="T116">
        <f>[4]data!T116*1000000000/(_xlfn.XLOOKUP($B116,[1]data!$C$2:$C$201,[1]data!AA$2:AA$201)*1000000)</f>
        <v>100134.13489804578</v>
      </c>
      <c r="U116">
        <f>[4]data!U116*1000000000/(_xlfn.XLOOKUP($B116,[1]data!$C$2:$C$201,[1]data!AB$2:AB$201)*1000000)</f>
        <v>104566.83308637537</v>
      </c>
      <c r="V116">
        <f>[4]data!V116*1000000000/(_xlfn.XLOOKUP($B116,[1]data!$C$2:$C$201,[1]data!AC$2:AC$201)*1000000)</f>
        <v>108970.75970319747</v>
      </c>
      <c r="W116">
        <f>[4]data!W116*1000000000/(_xlfn.XLOOKUP($B116,[1]data!$C$2:$C$201,[1]data!AD$2:AD$201)*1000000)</f>
        <v>113643.7037690033</v>
      </c>
      <c r="X116">
        <f>[4]data!X116*1000000000/(_xlfn.XLOOKUP($B116,[1]data!$C$2:$C$201,[1]data!AE$2:AE$201)*1000000)</f>
        <v>118338.46393321412</v>
      </c>
      <c r="Y116">
        <f>[4]data!Y116*1000000000/(_xlfn.XLOOKUP($B116,[1]data!$C$2:$C$201,[1]data!AF$2:AF$201)*1000000)</f>
        <v>122987.58822302868</v>
      </c>
      <c r="Z116">
        <f>[4]data!Z116*1000000000/(_xlfn.XLOOKUP($B116,[1]data!$C$2:$C$201,[1]data!AG$2:AG$201)*1000000)</f>
        <v>127603.6871374623</v>
      </c>
      <c r="AA116">
        <f>[4]data!AA116*1000000000/(_xlfn.XLOOKUP($B116,[1]data!$C$2:$C$201,[1]data!AH$2:AH$201)*1000000)</f>
        <v>132358.37625987426</v>
      </c>
      <c r="AB116">
        <f>[4]data!AB116*1000000000/(_xlfn.XLOOKUP($B116,[1]data!$C$2:$C$201,[1]data!AI$2:AI$201)*1000000)</f>
        <v>137458.89380147783</v>
      </c>
      <c r="AC116">
        <f>[4]data!AC116*1000000000/(_xlfn.XLOOKUP($B116,[1]data!$C$2:$C$201,[1]data!AJ$2:AJ$201)*1000000)</f>
        <v>143024.05381613949</v>
      </c>
    </row>
    <row r="117" spans="1:29" x14ac:dyDescent="0.25">
      <c r="A117" t="s">
        <v>232</v>
      </c>
      <c r="B117" t="s">
        <v>150</v>
      </c>
      <c r="C117" t="s">
        <v>233</v>
      </c>
      <c r="D117" t="s">
        <v>234</v>
      </c>
      <c r="E117" t="e">
        <f>[4]data!E117*1000000000/(_xlfn.XLOOKUP($B117,[1]data!$C$2:$C$201,[1]data!L$2:L$201)*1000000)</f>
        <v>#VALUE!</v>
      </c>
      <c r="F117" t="e">
        <f>[4]data!F117*1000000000/(_xlfn.XLOOKUP($B117,[1]data!$C$2:$C$201,[1]data!M$2:M$201)*1000000)</f>
        <v>#VALUE!</v>
      </c>
      <c r="G117">
        <f>[4]data!G117*1000000000/(_xlfn.XLOOKUP($B117,[1]data!$C$2:$C$201,[1]data!N$2:N$201)*1000000)</f>
        <v>586.00106610062562</v>
      </c>
      <c r="H117">
        <f>[4]data!H117*1000000000/(_xlfn.XLOOKUP($B117,[1]data!$C$2:$C$201,[1]data!O$2:O$201)*1000000)</f>
        <v>712.96286539880737</v>
      </c>
      <c r="I117">
        <f>[4]data!I117*1000000000/(_xlfn.XLOOKUP($B117,[1]data!$C$2:$C$201,[1]data!P$2:P$201)*1000000)</f>
        <v>1137.2975316684988</v>
      </c>
      <c r="J117">
        <f>[4]data!J117*1000000000/(_xlfn.XLOOKUP($B117,[1]data!$C$2:$C$201,[1]data!Q$2:Q$201)*1000000)</f>
        <v>1986.1003936373504</v>
      </c>
      <c r="K117">
        <f>[4]data!K117*1000000000/(_xlfn.XLOOKUP($B117,[1]data!$C$2:$C$201,[1]data!R$2:R$201)*1000000)</f>
        <v>2890.7742717065203</v>
      </c>
      <c r="L117">
        <f>[4]data!L117*1000000000/(_xlfn.XLOOKUP($B117,[1]data!$C$2:$C$201,[1]data!S$2:S$201)*1000000)</f>
        <v>3908.1668542240427</v>
      </c>
      <c r="M117">
        <f>[4]data!M117*1000000000/(_xlfn.XLOOKUP($B117,[1]data!$C$2:$C$201,[1]data!T$2:T$201)*1000000)</f>
        <v>4965.9977665127735</v>
      </c>
      <c r="N117">
        <f>[4]data!N117*1000000000/(_xlfn.XLOOKUP($B117,[1]data!$C$2:$C$201,[1]data!U$2:U$201)*1000000)</f>
        <v>4345.342926701961</v>
      </c>
      <c r="O117">
        <f>[4]data!O117*1000000000/(_xlfn.XLOOKUP($B117,[1]data!$C$2:$C$201,[1]data!V$2:V$201)*1000000)</f>
        <v>4960.3716333350294</v>
      </c>
      <c r="P117">
        <f>[4]data!P117*1000000000/(_xlfn.XLOOKUP($B117,[1]data!$C$2:$C$201,[1]data!W$2:W$201)*1000000)</f>
        <v>5795.8273943481972</v>
      </c>
      <c r="Q117">
        <f>[4]data!Q117*1000000000/(_xlfn.XLOOKUP($B117,[1]data!$C$2:$C$201,[1]data!X$2:X$201)*1000000)</f>
        <v>6764.4103020180901</v>
      </c>
      <c r="R117">
        <f>[4]data!R117*1000000000/(_xlfn.XLOOKUP($B117,[1]data!$C$2:$C$201,[1]data!Y$2:Y$201)*1000000)</f>
        <v>7896.5383839942006</v>
      </c>
      <c r="S117">
        <f>[4]data!S117*1000000000/(_xlfn.XLOOKUP($B117,[1]data!$C$2:$C$201,[1]data!Z$2:Z$201)*1000000)</f>
        <v>9229.9070913980049</v>
      </c>
      <c r="T117">
        <f>[4]data!T117*1000000000/(_xlfn.XLOOKUP($B117,[1]data!$C$2:$C$201,[1]data!AA$2:AA$201)*1000000)</f>
        <v>10814.63856866851</v>
      </c>
      <c r="U117">
        <f>[4]data!U117*1000000000/(_xlfn.XLOOKUP($B117,[1]data!$C$2:$C$201,[1]data!AB$2:AB$201)*1000000)</f>
        <v>12676.705072835468</v>
      </c>
      <c r="V117">
        <f>[4]data!V117*1000000000/(_xlfn.XLOOKUP($B117,[1]data!$C$2:$C$201,[1]data!AC$2:AC$201)*1000000)</f>
        <v>14852.484115292655</v>
      </c>
      <c r="W117">
        <f>[4]data!W117*1000000000/(_xlfn.XLOOKUP($B117,[1]data!$C$2:$C$201,[1]data!AD$2:AD$201)*1000000)</f>
        <v>17350.139484919084</v>
      </c>
      <c r="X117">
        <f>[4]data!X117*1000000000/(_xlfn.XLOOKUP($B117,[1]data!$C$2:$C$201,[1]data!AE$2:AE$201)*1000000)</f>
        <v>20128.781547805902</v>
      </c>
      <c r="Y117">
        <f>[4]data!Y117*1000000000/(_xlfn.XLOOKUP($B117,[1]data!$C$2:$C$201,[1]data!AF$2:AF$201)*1000000)</f>
        <v>23165.18472596227</v>
      </c>
      <c r="Z117">
        <f>[4]data!Z117*1000000000/(_xlfn.XLOOKUP($B117,[1]data!$C$2:$C$201,[1]data!AG$2:AG$201)*1000000)</f>
        <v>26474.974710526967</v>
      </c>
      <c r="AA117">
        <f>[4]data!AA117*1000000000/(_xlfn.XLOOKUP($B117,[1]data!$C$2:$C$201,[1]data!AH$2:AH$201)*1000000)</f>
        <v>30069.488581953847</v>
      </c>
      <c r="AB117">
        <f>[4]data!AB117*1000000000/(_xlfn.XLOOKUP($B117,[1]data!$C$2:$C$201,[1]data!AI$2:AI$201)*1000000)</f>
        <v>33987.858336739228</v>
      </c>
      <c r="AC117">
        <f>[4]data!AC117*1000000000/(_xlfn.XLOOKUP($B117,[1]data!$C$2:$C$201,[1]data!AJ$2:AJ$201)*1000000)</f>
        <v>38240.46158639872</v>
      </c>
    </row>
    <row r="118" spans="1:29" x14ac:dyDescent="0.25">
      <c r="A118" t="s">
        <v>232</v>
      </c>
      <c r="B118" t="s">
        <v>151</v>
      </c>
      <c r="C118" t="s">
        <v>233</v>
      </c>
      <c r="D118" t="s">
        <v>234</v>
      </c>
      <c r="E118" t="e">
        <f>[4]data!E118*1000000000/(_xlfn.XLOOKUP($B118,[1]data!$C$2:$C$201,[1]data!L$2:L$201)*1000000)</f>
        <v>#VALUE!</v>
      </c>
      <c r="F118" t="e">
        <f>[4]data!F118*1000000000/(_xlfn.XLOOKUP($B118,[1]data!$C$2:$C$201,[1]data!M$2:M$201)*1000000)</f>
        <v>#VALUE!</v>
      </c>
      <c r="G118" t="e">
        <f>[4]data!G118*1000000000/(_xlfn.XLOOKUP($B118,[1]data!$C$2:$C$201,[1]data!N$2:N$201)*1000000)</f>
        <v>#VALUE!</v>
      </c>
      <c r="H118" t="e">
        <f>[4]data!H118*1000000000/(_xlfn.XLOOKUP($B118,[1]data!$C$2:$C$201,[1]data!O$2:O$201)*1000000)</f>
        <v>#VALUE!</v>
      </c>
      <c r="I118">
        <f>[4]data!I118*1000000000/(_xlfn.XLOOKUP($B118,[1]data!$C$2:$C$201,[1]data!P$2:P$201)*1000000)</f>
        <v>11878.559701963755</v>
      </c>
      <c r="J118">
        <f>[4]data!J118*1000000000/(_xlfn.XLOOKUP($B118,[1]data!$C$2:$C$201,[1]data!Q$2:Q$201)*1000000)</f>
        <v>13660.177500114554</v>
      </c>
      <c r="K118">
        <f>[4]data!K118*1000000000/(_xlfn.XLOOKUP($B118,[1]data!$C$2:$C$201,[1]data!R$2:R$201)*1000000)</f>
        <v>16477.665299602562</v>
      </c>
      <c r="L118">
        <f>[4]data!L118*1000000000/(_xlfn.XLOOKUP($B118,[1]data!$C$2:$C$201,[1]data!S$2:S$201)*1000000)</f>
        <v>17935.280438295693</v>
      </c>
      <c r="M118">
        <f>[4]data!M118*1000000000/(_xlfn.XLOOKUP($B118,[1]data!$C$2:$C$201,[1]data!T$2:T$201)*1000000)</f>
        <v>18032.729628124365</v>
      </c>
      <c r="N118">
        <f>[4]data!N118*1000000000/(_xlfn.XLOOKUP($B118,[1]data!$C$2:$C$201,[1]data!U$2:U$201)*1000000)</f>
        <v>23496.508671661031</v>
      </c>
      <c r="O118">
        <f>[4]data!O118*1000000000/(_xlfn.XLOOKUP($B118,[1]data!$C$2:$C$201,[1]data!V$2:V$201)*1000000)</f>
        <v>27447.244126411384</v>
      </c>
      <c r="P118">
        <f>[4]data!P118*1000000000/(_xlfn.XLOOKUP($B118,[1]data!$C$2:$C$201,[1]data!W$2:W$201)*1000000)</f>
        <v>31070.844927344198</v>
      </c>
      <c r="Q118">
        <f>[4]data!Q118*1000000000/(_xlfn.XLOOKUP($B118,[1]data!$C$2:$C$201,[1]data!X$2:X$201)*1000000)</f>
        <v>34047.693415860827</v>
      </c>
      <c r="R118">
        <f>[4]data!R118*1000000000/(_xlfn.XLOOKUP($B118,[1]data!$C$2:$C$201,[1]data!Y$2:Y$201)*1000000)</f>
        <v>36566.693686391067</v>
      </c>
      <c r="S118">
        <f>[4]data!S118*1000000000/(_xlfn.XLOOKUP($B118,[1]data!$C$2:$C$201,[1]data!Z$2:Z$201)*1000000)</f>
        <v>38846.797045947424</v>
      </c>
      <c r="T118">
        <f>[4]data!T118*1000000000/(_xlfn.XLOOKUP($B118,[1]data!$C$2:$C$201,[1]data!AA$2:AA$201)*1000000)</f>
        <v>41109.212838866202</v>
      </c>
      <c r="U118">
        <f>[4]data!U118*1000000000/(_xlfn.XLOOKUP($B118,[1]data!$C$2:$C$201,[1]data!AB$2:AB$201)*1000000)</f>
        <v>43444.687172606165</v>
      </c>
      <c r="V118">
        <f>[4]data!V118*1000000000/(_xlfn.XLOOKUP($B118,[1]data!$C$2:$C$201,[1]data!AC$2:AC$201)*1000000)</f>
        <v>45918.539518240163</v>
      </c>
      <c r="W118">
        <f>[4]data!W118*1000000000/(_xlfn.XLOOKUP($B118,[1]data!$C$2:$C$201,[1]data!AD$2:AD$201)*1000000)</f>
        <v>48464.209988806724</v>
      </c>
      <c r="X118">
        <f>[4]data!X118*1000000000/(_xlfn.XLOOKUP($B118,[1]data!$C$2:$C$201,[1]data!AE$2:AE$201)*1000000)</f>
        <v>51055.059075084297</v>
      </c>
      <c r="Y118">
        <f>[4]data!Y118*1000000000/(_xlfn.XLOOKUP($B118,[1]data!$C$2:$C$201,[1]data!AF$2:AF$201)*1000000)</f>
        <v>53717.19597359519</v>
      </c>
      <c r="Z118">
        <f>[4]data!Z118*1000000000/(_xlfn.XLOOKUP($B118,[1]data!$C$2:$C$201,[1]data!AG$2:AG$201)*1000000)</f>
        <v>56472.703872497579</v>
      </c>
      <c r="AA118">
        <f>[4]data!AA118*1000000000/(_xlfn.XLOOKUP($B118,[1]data!$C$2:$C$201,[1]data!AH$2:AH$201)*1000000)</f>
        <v>59396.059624572772</v>
      </c>
      <c r="AB118">
        <f>[4]data!AB118*1000000000/(_xlfn.XLOOKUP($B118,[1]data!$C$2:$C$201,[1]data!AI$2:AI$201)*1000000)</f>
        <v>62523.036323784392</v>
      </c>
      <c r="AC118">
        <f>[4]data!AC118*1000000000/(_xlfn.XLOOKUP($B118,[1]data!$C$2:$C$201,[1]data!AJ$2:AJ$201)*1000000)</f>
        <v>65873.416224586137</v>
      </c>
    </row>
    <row r="119" spans="1:29" x14ac:dyDescent="0.25">
      <c r="A119" t="s">
        <v>232</v>
      </c>
      <c r="B119" t="s">
        <v>152</v>
      </c>
      <c r="C119" t="s">
        <v>233</v>
      </c>
      <c r="D119" t="s">
        <v>234</v>
      </c>
      <c r="E119">
        <f>[4]data!E119*1000000000/(_xlfn.XLOOKUP($B119,[1]data!$C$2:$C$201,[1]data!L$2:L$201)*1000000)</f>
        <v>3949.8728637988238</v>
      </c>
      <c r="F119">
        <f>[4]data!F119*1000000000/(_xlfn.XLOOKUP($B119,[1]data!$C$2:$C$201,[1]data!M$2:M$201)*1000000)</f>
        <v>4860.1050267632509</v>
      </c>
      <c r="G119">
        <f>[4]data!G119*1000000000/(_xlfn.XLOOKUP($B119,[1]data!$C$2:$C$201,[1]data!N$2:N$201)*1000000)</f>
        <v>5205.1771612089242</v>
      </c>
      <c r="H119">
        <f>[4]data!H119*1000000000/(_xlfn.XLOOKUP($B119,[1]data!$C$2:$C$201,[1]data!O$2:O$201)*1000000)</f>
        <v>4171.548754759955</v>
      </c>
      <c r="I119">
        <f>[4]data!I119*1000000000/(_xlfn.XLOOKUP($B119,[1]data!$C$2:$C$201,[1]data!P$2:P$201)*1000000)</f>
        <v>4531.2968040384185</v>
      </c>
      <c r="J119">
        <f>[4]data!J119*1000000000/(_xlfn.XLOOKUP($B119,[1]data!$C$2:$C$201,[1]data!Q$2:Q$201)*1000000)</f>
        <v>5979.7412091710739</v>
      </c>
      <c r="K119">
        <f>[4]data!K119*1000000000/(_xlfn.XLOOKUP($B119,[1]data!$C$2:$C$201,[1]data!R$2:R$201)*1000000)</f>
        <v>7567.4467466863362</v>
      </c>
      <c r="L119">
        <f>[4]data!L119*1000000000/(_xlfn.XLOOKUP($B119,[1]data!$C$2:$C$201,[1]data!S$2:S$201)*1000000)</f>
        <v>11255.766979751172</v>
      </c>
      <c r="M119">
        <f>[4]data!M119*1000000000/(_xlfn.XLOOKUP($B119,[1]data!$C$2:$C$201,[1]data!T$2:T$201)*1000000)</f>
        <v>11766.254599780803</v>
      </c>
      <c r="N119">
        <f>[4]data!N119*1000000000/(_xlfn.XLOOKUP($B119,[1]data!$C$2:$C$201,[1]data!U$2:U$201)*1000000)</f>
        <v>13347.044364327219</v>
      </c>
      <c r="O119">
        <f>[4]data!O119*1000000000/(_xlfn.XLOOKUP($B119,[1]data!$C$2:$C$201,[1]data!V$2:V$201)*1000000)</f>
        <v>15128.01053967497</v>
      </c>
      <c r="P119">
        <f>[4]data!P119*1000000000/(_xlfn.XLOOKUP($B119,[1]data!$C$2:$C$201,[1]data!W$2:W$201)*1000000)</f>
        <v>17287.564902498187</v>
      </c>
      <c r="Q119">
        <f>[4]data!Q119*1000000000/(_xlfn.XLOOKUP($B119,[1]data!$C$2:$C$201,[1]data!X$2:X$201)*1000000)</f>
        <v>19470.19014355159</v>
      </c>
      <c r="R119">
        <f>[4]data!R119*1000000000/(_xlfn.XLOOKUP($B119,[1]data!$C$2:$C$201,[1]data!Y$2:Y$201)*1000000)</f>
        <v>21732.667051242595</v>
      </c>
      <c r="S119">
        <f>[4]data!S119*1000000000/(_xlfn.XLOOKUP($B119,[1]data!$C$2:$C$201,[1]data!Z$2:Z$201)*1000000)</f>
        <v>24235.822888640552</v>
      </c>
      <c r="T119">
        <f>[4]data!T119*1000000000/(_xlfn.XLOOKUP($B119,[1]data!$C$2:$C$201,[1]data!AA$2:AA$201)*1000000)</f>
        <v>27204.566891219252</v>
      </c>
      <c r="U119">
        <f>[4]data!U119*1000000000/(_xlfn.XLOOKUP($B119,[1]data!$C$2:$C$201,[1]data!AB$2:AB$201)*1000000)</f>
        <v>30794.52644510087</v>
      </c>
      <c r="V119">
        <f>[4]data!V119*1000000000/(_xlfn.XLOOKUP($B119,[1]data!$C$2:$C$201,[1]data!AC$2:AC$201)*1000000)</f>
        <v>35009.786163094723</v>
      </c>
      <c r="W119">
        <f>[4]data!W119*1000000000/(_xlfn.XLOOKUP($B119,[1]data!$C$2:$C$201,[1]data!AD$2:AD$201)*1000000)</f>
        <v>39683.15295328528</v>
      </c>
      <c r="X119">
        <f>[4]data!X119*1000000000/(_xlfn.XLOOKUP($B119,[1]data!$C$2:$C$201,[1]data!AE$2:AE$201)*1000000)</f>
        <v>44725.575702408518</v>
      </c>
      <c r="Y119">
        <f>[4]data!Y119*1000000000/(_xlfn.XLOOKUP($B119,[1]data!$C$2:$C$201,[1]data!AF$2:AF$201)*1000000)</f>
        <v>50121.598831583477</v>
      </c>
      <c r="Z119">
        <f>[4]data!Z119*1000000000/(_xlfn.XLOOKUP($B119,[1]data!$C$2:$C$201,[1]data!AG$2:AG$201)*1000000)</f>
        <v>55877.213444462323</v>
      </c>
      <c r="AA119">
        <f>[4]data!AA119*1000000000/(_xlfn.XLOOKUP($B119,[1]data!$C$2:$C$201,[1]data!AH$2:AH$201)*1000000)</f>
        <v>62085.382419738846</v>
      </c>
      <c r="AB119">
        <f>[4]data!AB119*1000000000/(_xlfn.XLOOKUP($B119,[1]data!$C$2:$C$201,[1]data!AI$2:AI$201)*1000000)</f>
        <v>68812.191324121435</v>
      </c>
      <c r="AC119">
        <f>[4]data!AC119*1000000000/(_xlfn.XLOOKUP($B119,[1]data!$C$2:$C$201,[1]data!AJ$2:AJ$201)*1000000)</f>
        <v>76162.110786993275</v>
      </c>
    </row>
    <row r="120" spans="1:29" x14ac:dyDescent="0.25">
      <c r="A120" t="s">
        <v>232</v>
      </c>
      <c r="B120" t="s">
        <v>153</v>
      </c>
      <c r="C120" t="s">
        <v>233</v>
      </c>
      <c r="D120" t="s">
        <v>234</v>
      </c>
      <c r="E120">
        <f>[4]data!E120*1000000000/(_xlfn.XLOOKUP($B120,[1]data!$C$2:$C$201,[1]data!L$2:L$201)*1000000)</f>
        <v>524.59458050930175</v>
      </c>
      <c r="F120">
        <f>[4]data!F120*1000000000/(_xlfn.XLOOKUP($B120,[1]data!$C$2:$C$201,[1]data!M$2:M$201)*1000000)</f>
        <v>368.10433083314712</v>
      </c>
      <c r="G120">
        <f>[4]data!G120*1000000000/(_xlfn.XLOOKUP($B120,[1]data!$C$2:$C$201,[1]data!N$2:N$201)*1000000)</f>
        <v>457.48588286688079</v>
      </c>
      <c r="H120">
        <f>[4]data!H120*1000000000/(_xlfn.XLOOKUP($B120,[1]data!$C$2:$C$201,[1]data!O$2:O$201)*1000000)</f>
        <v>473.10320727307254</v>
      </c>
      <c r="I120">
        <f>[4]data!I120*1000000000/(_xlfn.XLOOKUP($B120,[1]data!$C$2:$C$201,[1]data!P$2:P$201)*1000000)</f>
        <v>636.60180881966266</v>
      </c>
      <c r="J120">
        <f>[4]data!J120*1000000000/(_xlfn.XLOOKUP($B120,[1]data!$C$2:$C$201,[1]data!Q$2:Q$201)*1000000)</f>
        <v>843.632491217758</v>
      </c>
      <c r="K120">
        <f>[4]data!K120*1000000000/(_xlfn.XLOOKUP($B120,[1]data!$C$2:$C$201,[1]data!R$2:R$201)*1000000)</f>
        <v>1062.9442254734067</v>
      </c>
      <c r="L120">
        <f>[4]data!L120*1000000000/(_xlfn.XLOOKUP($B120,[1]data!$C$2:$C$201,[1]data!S$2:S$201)*1000000)</f>
        <v>1291.6175857153994</v>
      </c>
      <c r="M120">
        <f>[4]data!M120*1000000000/(_xlfn.XLOOKUP($B120,[1]data!$C$2:$C$201,[1]data!T$2:T$201)*1000000)</f>
        <v>1251.8053350974394</v>
      </c>
      <c r="N120">
        <f>[4]data!N120*1000000000/(_xlfn.XLOOKUP($B120,[1]data!$C$2:$C$201,[1]data!U$2:U$201)*1000000)</f>
        <v>1379.3473250733805</v>
      </c>
      <c r="O120">
        <f>[4]data!O120*1000000000/(_xlfn.XLOOKUP($B120,[1]data!$C$2:$C$201,[1]data!V$2:V$201)*1000000)</f>
        <v>1983.1388128195645</v>
      </c>
      <c r="P120">
        <f>[4]data!P120*1000000000/(_xlfn.XLOOKUP($B120,[1]data!$C$2:$C$201,[1]data!W$2:W$201)*1000000)</f>
        <v>2791.8837123379276</v>
      </c>
      <c r="Q120">
        <f>[4]data!Q120*1000000000/(_xlfn.XLOOKUP($B120,[1]data!$C$2:$C$201,[1]data!X$2:X$201)*1000000)</f>
        <v>3677.0899860564277</v>
      </c>
      <c r="R120">
        <f>[4]data!R120*1000000000/(_xlfn.XLOOKUP($B120,[1]data!$C$2:$C$201,[1]data!Y$2:Y$201)*1000000)</f>
        <v>4703.0558329708474</v>
      </c>
      <c r="S120">
        <f>[4]data!S120*1000000000/(_xlfn.XLOOKUP($B120,[1]data!$C$2:$C$201,[1]data!Z$2:Z$201)*1000000)</f>
        <v>5917.8372919641643</v>
      </c>
      <c r="T120">
        <f>[4]data!T120*1000000000/(_xlfn.XLOOKUP($B120,[1]data!$C$2:$C$201,[1]data!AA$2:AA$201)*1000000)</f>
        <v>7360.725964944676</v>
      </c>
      <c r="U120">
        <f>[4]data!U120*1000000000/(_xlfn.XLOOKUP($B120,[1]data!$C$2:$C$201,[1]data!AB$2:AB$201)*1000000)</f>
        <v>9080.1268014316174</v>
      </c>
      <c r="V120">
        <f>[4]data!V120*1000000000/(_xlfn.XLOOKUP($B120,[1]data!$C$2:$C$201,[1]data!AC$2:AC$201)*1000000)</f>
        <v>11131.692729102984</v>
      </c>
      <c r="W120">
        <f>[4]data!W120*1000000000/(_xlfn.XLOOKUP($B120,[1]data!$C$2:$C$201,[1]data!AD$2:AD$201)*1000000)</f>
        <v>13536.315080092118</v>
      </c>
      <c r="X120">
        <f>[4]data!X120*1000000000/(_xlfn.XLOOKUP($B120,[1]data!$C$2:$C$201,[1]data!AE$2:AE$201)*1000000)</f>
        <v>16365.706696392332</v>
      </c>
      <c r="Y120">
        <f>[4]data!Y120*1000000000/(_xlfn.XLOOKUP($B120,[1]data!$C$2:$C$201,[1]data!AF$2:AF$201)*1000000)</f>
        <v>19634.634505529222</v>
      </c>
      <c r="Z120">
        <f>[4]data!Z120*1000000000/(_xlfn.XLOOKUP($B120,[1]data!$C$2:$C$201,[1]data!AG$2:AG$201)*1000000)</f>
        <v>23403.105112319816</v>
      </c>
      <c r="AA120">
        <f>[4]data!AA120*1000000000/(_xlfn.XLOOKUP($B120,[1]data!$C$2:$C$201,[1]data!AH$2:AH$201)*1000000)</f>
        <v>27671.045921520814</v>
      </c>
      <c r="AB120">
        <f>[4]data!AB120*1000000000/(_xlfn.XLOOKUP($B120,[1]data!$C$2:$C$201,[1]data!AI$2:AI$201)*1000000)</f>
        <v>32460.399302749436</v>
      </c>
      <c r="AC120">
        <f>[4]data!AC120*1000000000/(_xlfn.XLOOKUP($B120,[1]data!$C$2:$C$201,[1]data!AJ$2:AJ$201)*1000000)</f>
        <v>37785.113716506668</v>
      </c>
    </row>
    <row r="121" spans="1:29" x14ac:dyDescent="0.25">
      <c r="A121" t="s">
        <v>232</v>
      </c>
      <c r="B121" t="s">
        <v>154</v>
      </c>
      <c r="C121" t="s">
        <v>233</v>
      </c>
      <c r="D121" t="s">
        <v>234</v>
      </c>
      <c r="E121" t="e">
        <f>[4]data!E121*1000000000/(_xlfn.XLOOKUP($B121,[1]data!$C$2:$C$201,[1]data!L$2:L$201)*1000000)</f>
        <v>#VALUE!</v>
      </c>
      <c r="F121" t="e">
        <f>[4]data!F121*1000000000/(_xlfn.XLOOKUP($B121,[1]data!$C$2:$C$201,[1]data!M$2:M$201)*1000000)</f>
        <v>#VALUE!</v>
      </c>
      <c r="G121">
        <f>[4]data!G121*1000000000/(_xlfn.XLOOKUP($B121,[1]data!$C$2:$C$201,[1]data!N$2:N$201)*1000000)</f>
        <v>4769.5193261732238</v>
      </c>
      <c r="H121">
        <f>[4]data!H121*1000000000/(_xlfn.XLOOKUP($B121,[1]data!$C$2:$C$201,[1]data!O$2:O$201)*1000000)</f>
        <v>4592.8717298746487</v>
      </c>
      <c r="I121">
        <f>[4]data!I121*1000000000/(_xlfn.XLOOKUP($B121,[1]data!$C$2:$C$201,[1]data!P$2:P$201)*1000000)</f>
        <v>4229.8310957515423</v>
      </c>
      <c r="J121">
        <f>[4]data!J121*1000000000/(_xlfn.XLOOKUP($B121,[1]data!$C$2:$C$201,[1]data!Q$2:Q$201)*1000000)</f>
        <v>4614.1967278605207</v>
      </c>
      <c r="K121">
        <f>[4]data!K121*1000000000/(_xlfn.XLOOKUP($B121,[1]data!$C$2:$C$201,[1]data!R$2:R$201)*1000000)</f>
        <v>4845.1908726846586</v>
      </c>
      <c r="L121">
        <f>[4]data!L121*1000000000/(_xlfn.XLOOKUP($B121,[1]data!$C$2:$C$201,[1]data!S$2:S$201)*1000000)</f>
        <v>5221.0204960005422</v>
      </c>
      <c r="M121">
        <f>[4]data!M121*1000000000/(_xlfn.XLOOKUP($B121,[1]data!$C$2:$C$201,[1]data!T$2:T$201)*1000000)</f>
        <v>5390.7426555891034</v>
      </c>
      <c r="N121">
        <f>[4]data!N121*1000000000/(_xlfn.XLOOKUP($B121,[1]data!$C$2:$C$201,[1]data!U$2:U$201)*1000000)</f>
        <v>6140.0656050318348</v>
      </c>
      <c r="O121">
        <f>[4]data!O121*1000000000/(_xlfn.XLOOKUP($B121,[1]data!$C$2:$C$201,[1]data!V$2:V$201)*1000000)</f>
        <v>6847.6552417739867</v>
      </c>
      <c r="P121">
        <f>[4]data!P121*1000000000/(_xlfn.XLOOKUP($B121,[1]data!$C$2:$C$201,[1]data!W$2:W$201)*1000000)</f>
        <v>7948.0396111191512</v>
      </c>
      <c r="Q121">
        <f>[4]data!Q121*1000000000/(_xlfn.XLOOKUP($B121,[1]data!$C$2:$C$201,[1]data!X$2:X$201)*1000000)</f>
        <v>9119.7818305022683</v>
      </c>
      <c r="R121">
        <f>[4]data!R121*1000000000/(_xlfn.XLOOKUP($B121,[1]data!$C$2:$C$201,[1]data!Y$2:Y$201)*1000000)</f>
        <v>10455.035909290002</v>
      </c>
      <c r="S121">
        <f>[4]data!S121*1000000000/(_xlfn.XLOOKUP($B121,[1]data!$C$2:$C$201,[1]data!Z$2:Z$201)*1000000)</f>
        <v>12020.050611865974</v>
      </c>
      <c r="T121">
        <f>[4]data!T121*1000000000/(_xlfn.XLOOKUP($B121,[1]data!$C$2:$C$201,[1]data!AA$2:AA$201)*1000000)</f>
        <v>13848.938805345848</v>
      </c>
      <c r="U121">
        <f>[4]data!U121*1000000000/(_xlfn.XLOOKUP($B121,[1]data!$C$2:$C$201,[1]data!AB$2:AB$201)*1000000)</f>
        <v>15979.418354688692</v>
      </c>
      <c r="V121">
        <f>[4]data!V121*1000000000/(_xlfn.XLOOKUP($B121,[1]data!$C$2:$C$201,[1]data!AC$2:AC$201)*1000000)</f>
        <v>18437.250745306363</v>
      </c>
      <c r="W121">
        <f>[4]data!W121*1000000000/(_xlfn.XLOOKUP($B121,[1]data!$C$2:$C$201,[1]data!AD$2:AD$201)*1000000)</f>
        <v>21182.040034099031</v>
      </c>
      <c r="X121">
        <f>[4]data!X121*1000000000/(_xlfn.XLOOKUP($B121,[1]data!$C$2:$C$201,[1]data!AE$2:AE$201)*1000000)</f>
        <v>24293.091378453504</v>
      </c>
      <c r="Y121">
        <f>[4]data!Y121*1000000000/(_xlfn.XLOOKUP($B121,[1]data!$C$2:$C$201,[1]data!AF$2:AF$201)*1000000)</f>
        <v>27788.501957112461</v>
      </c>
      <c r="Z121">
        <f>[4]data!Z121*1000000000/(_xlfn.XLOOKUP($B121,[1]data!$C$2:$C$201,[1]data!AG$2:AG$201)*1000000)</f>
        <v>31631.179612526968</v>
      </c>
      <c r="AA121">
        <f>[4]data!AA121*1000000000/(_xlfn.XLOOKUP($B121,[1]data!$C$2:$C$201,[1]data!AH$2:AH$201)*1000000)</f>
        <v>35817.45331637239</v>
      </c>
      <c r="AB121">
        <f>[4]data!AB121*1000000000/(_xlfn.XLOOKUP($B121,[1]data!$C$2:$C$201,[1]data!AI$2:AI$201)*1000000)</f>
        <v>40352.724322022652</v>
      </c>
      <c r="AC121">
        <f>[4]data!AC121*1000000000/(_xlfn.XLOOKUP($B121,[1]data!$C$2:$C$201,[1]data!AJ$2:AJ$201)*1000000)</f>
        <v>45281.362161281417</v>
      </c>
    </row>
    <row r="122" spans="1:29" x14ac:dyDescent="0.25">
      <c r="A122" t="s">
        <v>232</v>
      </c>
      <c r="B122" t="s">
        <v>156</v>
      </c>
      <c r="C122" t="s">
        <v>233</v>
      </c>
      <c r="D122" t="s">
        <v>234</v>
      </c>
      <c r="E122">
        <f>[4]data!E122*1000000000/(_xlfn.XLOOKUP($B122,[1]data!$C$2:$C$201,[1]data!L$2:L$201)*1000000)</f>
        <v>5108.0593233757327</v>
      </c>
      <c r="F122">
        <f>[4]data!F122*1000000000/(_xlfn.XLOOKUP($B122,[1]data!$C$2:$C$201,[1]data!M$2:M$201)*1000000)</f>
        <v>5962.9087704526291</v>
      </c>
      <c r="G122">
        <f>[4]data!G122*1000000000/(_xlfn.XLOOKUP($B122,[1]data!$C$2:$C$201,[1]data!N$2:N$201)*1000000)</f>
        <v>8108.0452406907762</v>
      </c>
      <c r="H122">
        <f>[4]data!H122*1000000000/(_xlfn.XLOOKUP($B122,[1]data!$C$2:$C$201,[1]data!O$2:O$201)*1000000)</f>
        <v>9663.1038194161592</v>
      </c>
      <c r="I122">
        <f>[4]data!I122*1000000000/(_xlfn.XLOOKUP($B122,[1]data!$C$2:$C$201,[1]data!P$2:P$201)*1000000)</f>
        <v>12100.432299860031</v>
      </c>
      <c r="J122">
        <f>[4]data!J122*1000000000/(_xlfn.XLOOKUP($B122,[1]data!$C$2:$C$201,[1]data!Q$2:Q$201)*1000000)</f>
        <v>13741.573499492975</v>
      </c>
      <c r="K122">
        <f>[4]data!K122*1000000000/(_xlfn.XLOOKUP($B122,[1]data!$C$2:$C$201,[1]data!R$2:R$201)*1000000)</f>
        <v>16888.295589839294</v>
      </c>
      <c r="L122">
        <f>[4]data!L122*1000000000/(_xlfn.XLOOKUP($B122,[1]data!$C$2:$C$201,[1]data!S$2:S$201)*1000000)</f>
        <v>20069.384282178216</v>
      </c>
      <c r="M122">
        <f>[4]data!M122*1000000000/(_xlfn.XLOOKUP($B122,[1]data!$C$2:$C$201,[1]data!T$2:T$201)*1000000)</f>
        <v>19736.832974677152</v>
      </c>
      <c r="N122">
        <f>[4]data!N122*1000000000/(_xlfn.XLOOKUP($B122,[1]data!$C$2:$C$201,[1]data!U$2:U$201)*1000000)</f>
        <v>24996.072621086481</v>
      </c>
      <c r="O122">
        <f>[4]data!O122*1000000000/(_xlfn.XLOOKUP($B122,[1]data!$C$2:$C$201,[1]data!V$2:V$201)*1000000)</f>
        <v>29497.36081311907</v>
      </c>
      <c r="P122">
        <f>[4]data!P122*1000000000/(_xlfn.XLOOKUP($B122,[1]data!$C$2:$C$201,[1]data!W$2:W$201)*1000000)</f>
        <v>34281.121650978115</v>
      </c>
      <c r="Q122">
        <f>[4]data!Q122*1000000000/(_xlfn.XLOOKUP($B122,[1]data!$C$2:$C$201,[1]data!X$2:X$201)*1000000)</f>
        <v>39334.927720422973</v>
      </c>
      <c r="R122">
        <f>[4]data!R122*1000000000/(_xlfn.XLOOKUP($B122,[1]data!$C$2:$C$201,[1]data!Y$2:Y$201)*1000000)</f>
        <v>44730.408060092428</v>
      </c>
      <c r="S122">
        <f>[4]data!S122*1000000000/(_xlfn.XLOOKUP($B122,[1]data!$C$2:$C$201,[1]data!Z$2:Z$201)*1000000)</f>
        <v>50399.972657006561</v>
      </c>
      <c r="T122">
        <f>[4]data!T122*1000000000/(_xlfn.XLOOKUP($B122,[1]data!$C$2:$C$201,[1]data!AA$2:AA$201)*1000000)</f>
        <v>56399.87459727715</v>
      </c>
      <c r="U122">
        <f>[4]data!U122*1000000000/(_xlfn.XLOOKUP($B122,[1]data!$C$2:$C$201,[1]data!AB$2:AB$201)*1000000)</f>
        <v>62488.918903901147</v>
      </c>
      <c r="V122">
        <f>[4]data!V122*1000000000/(_xlfn.XLOOKUP($B122,[1]data!$C$2:$C$201,[1]data!AC$2:AC$201)*1000000)</f>
        <v>68504.864037506166</v>
      </c>
      <c r="W122">
        <f>[4]data!W122*1000000000/(_xlfn.XLOOKUP($B122,[1]data!$C$2:$C$201,[1]data!AD$2:AD$201)*1000000)</f>
        <v>74547.449506337187</v>
      </c>
      <c r="X122">
        <f>[4]data!X122*1000000000/(_xlfn.XLOOKUP($B122,[1]data!$C$2:$C$201,[1]data!AE$2:AE$201)*1000000)</f>
        <v>80594.798292640015</v>
      </c>
      <c r="Y122">
        <f>[4]data!Y122*1000000000/(_xlfn.XLOOKUP($B122,[1]data!$C$2:$C$201,[1]data!AF$2:AF$201)*1000000)</f>
        <v>86645.677104203627</v>
      </c>
      <c r="Z122">
        <f>[4]data!Z122*1000000000/(_xlfn.XLOOKUP($B122,[1]data!$C$2:$C$201,[1]data!AG$2:AG$201)*1000000)</f>
        <v>92619.063319020119</v>
      </c>
      <c r="AA122">
        <f>[4]data!AA122*1000000000/(_xlfn.XLOOKUP($B122,[1]data!$C$2:$C$201,[1]data!AH$2:AH$201)*1000000)</f>
        <v>98523.272978110166</v>
      </c>
      <c r="AB122">
        <f>[4]data!AB122*1000000000/(_xlfn.XLOOKUP($B122,[1]data!$C$2:$C$201,[1]data!AI$2:AI$201)*1000000)</f>
        <v>104384.08282000794</v>
      </c>
      <c r="AC122">
        <f>[4]data!AC122*1000000000/(_xlfn.XLOOKUP($B122,[1]data!$C$2:$C$201,[1]data!AJ$2:AJ$201)*1000000)</f>
        <v>110267.5499898311</v>
      </c>
    </row>
    <row r="123" spans="1:29" x14ac:dyDescent="0.25">
      <c r="A123" t="s">
        <v>232</v>
      </c>
      <c r="B123" t="s">
        <v>157</v>
      </c>
      <c r="C123" t="s">
        <v>233</v>
      </c>
      <c r="D123" t="s">
        <v>234</v>
      </c>
      <c r="E123">
        <f>[4]data!E123*1000000000/(_xlfn.XLOOKUP($B123,[1]data!$C$2:$C$201,[1]data!L$2:L$201)*1000000)</f>
        <v>1167.8762976665521</v>
      </c>
      <c r="F123">
        <f>[4]data!F123*1000000000/(_xlfn.XLOOKUP($B123,[1]data!$C$2:$C$201,[1]data!M$2:M$201)*1000000)</f>
        <v>1064.6606036155333</v>
      </c>
      <c r="G123">
        <f>[4]data!G123*1000000000/(_xlfn.XLOOKUP($B123,[1]data!$C$2:$C$201,[1]data!N$2:N$201)*1000000)</f>
        <v>951.38375494883394</v>
      </c>
      <c r="H123">
        <f>[4]data!H123*1000000000/(_xlfn.XLOOKUP($B123,[1]data!$C$2:$C$201,[1]data!O$2:O$201)*1000000)</f>
        <v>1005.7091341352934</v>
      </c>
      <c r="I123">
        <f>[4]data!I123*1000000000/(_xlfn.XLOOKUP($B123,[1]data!$C$2:$C$201,[1]data!P$2:P$201)*1000000)</f>
        <v>1121.6976390785239</v>
      </c>
      <c r="J123">
        <f>[4]data!J123*1000000000/(_xlfn.XLOOKUP($B123,[1]data!$C$2:$C$201,[1]data!Q$2:Q$201)*1000000)</f>
        <v>1111.8225777753469</v>
      </c>
      <c r="K123">
        <f>[4]data!K123*1000000000/(_xlfn.XLOOKUP($B123,[1]data!$C$2:$C$201,[1]data!R$2:R$201)*1000000)</f>
        <v>1378.5710351528962</v>
      </c>
      <c r="L123">
        <f>[4]data!L123*1000000000/(_xlfn.XLOOKUP($B123,[1]data!$C$2:$C$201,[1]data!S$2:S$201)*1000000)</f>
        <v>1463.8958113053843</v>
      </c>
      <c r="M123">
        <f>[4]data!M123*1000000000/(_xlfn.XLOOKUP($B123,[1]data!$C$2:$C$201,[1]data!T$2:T$201)*1000000)</f>
        <v>1511.2372651710912</v>
      </c>
      <c r="N123">
        <f>[4]data!N123*1000000000/(_xlfn.XLOOKUP($B123,[1]data!$C$2:$C$201,[1]data!U$2:U$201)*1000000)</f>
        <v>1528.3351279535846</v>
      </c>
      <c r="O123">
        <f>[4]data!O123*1000000000/(_xlfn.XLOOKUP($B123,[1]data!$C$2:$C$201,[1]data!V$2:V$201)*1000000)</f>
        <v>1694.6165520593588</v>
      </c>
      <c r="P123">
        <f>[4]data!P123*1000000000/(_xlfn.XLOOKUP($B123,[1]data!$C$2:$C$201,[1]data!W$2:W$201)*1000000)</f>
        <v>1967.081753219476</v>
      </c>
      <c r="Q123">
        <f>[4]data!Q123*1000000000/(_xlfn.XLOOKUP($B123,[1]data!$C$2:$C$201,[1]data!X$2:X$201)*1000000)</f>
        <v>2403.1427416066754</v>
      </c>
      <c r="R123">
        <f>[4]data!R123*1000000000/(_xlfn.XLOOKUP($B123,[1]data!$C$2:$C$201,[1]data!Y$2:Y$201)*1000000)</f>
        <v>2989.406175696648</v>
      </c>
      <c r="S123">
        <f>[4]data!S123*1000000000/(_xlfn.XLOOKUP($B123,[1]data!$C$2:$C$201,[1]data!Z$2:Z$201)*1000000)</f>
        <v>3730.5075068025762</v>
      </c>
      <c r="T123">
        <f>[4]data!T123*1000000000/(_xlfn.XLOOKUP($B123,[1]data!$C$2:$C$201,[1]data!AA$2:AA$201)*1000000)</f>
        <v>4636.1081190817622</v>
      </c>
      <c r="U123">
        <f>[4]data!U123*1000000000/(_xlfn.XLOOKUP($B123,[1]data!$C$2:$C$201,[1]data!AB$2:AB$201)*1000000)</f>
        <v>5725.1230360687814</v>
      </c>
      <c r="V123">
        <f>[4]data!V123*1000000000/(_xlfn.XLOOKUP($B123,[1]data!$C$2:$C$201,[1]data!AC$2:AC$201)*1000000)</f>
        <v>7029.2873120733893</v>
      </c>
      <c r="W123">
        <f>[4]data!W123*1000000000/(_xlfn.XLOOKUP($B123,[1]data!$C$2:$C$201,[1]data!AD$2:AD$201)*1000000)</f>
        <v>8569.8361517106387</v>
      </c>
      <c r="X123">
        <f>[4]data!X123*1000000000/(_xlfn.XLOOKUP($B123,[1]data!$C$2:$C$201,[1]data!AE$2:AE$201)*1000000)</f>
        <v>10398.643190294511</v>
      </c>
      <c r="Y123">
        <f>[4]data!Y123*1000000000/(_xlfn.XLOOKUP($B123,[1]data!$C$2:$C$201,[1]data!AF$2:AF$201)*1000000)</f>
        <v>12540.49842278193</v>
      </c>
      <c r="Z123">
        <f>[4]data!Z123*1000000000/(_xlfn.XLOOKUP($B123,[1]data!$C$2:$C$201,[1]data!AG$2:AG$201)*1000000)</f>
        <v>15039.149928772886</v>
      </c>
      <c r="AA123">
        <f>[4]data!AA123*1000000000/(_xlfn.XLOOKUP($B123,[1]data!$C$2:$C$201,[1]data!AH$2:AH$201)*1000000)</f>
        <v>17901.857571670942</v>
      </c>
      <c r="AB123">
        <f>[4]data!AB123*1000000000/(_xlfn.XLOOKUP($B123,[1]data!$C$2:$C$201,[1]data!AI$2:AI$201)*1000000)</f>
        <v>21145.391760604653</v>
      </c>
      <c r="AC123">
        <f>[4]data!AC123*1000000000/(_xlfn.XLOOKUP($B123,[1]data!$C$2:$C$201,[1]data!AJ$2:AJ$201)*1000000)</f>
        <v>24790.729596007997</v>
      </c>
    </row>
    <row r="124" spans="1:29" x14ac:dyDescent="0.25">
      <c r="A124" t="s">
        <v>232</v>
      </c>
      <c r="B124" t="s">
        <v>158</v>
      </c>
      <c r="C124" t="s">
        <v>233</v>
      </c>
      <c r="D124" t="s">
        <v>234</v>
      </c>
      <c r="E124">
        <f>[4]data!E124*1000000000/(_xlfn.XLOOKUP($B124,[1]data!$C$2:$C$201,[1]data!L$2:L$201)*1000000)</f>
        <v>7992.0620699390156</v>
      </c>
      <c r="F124">
        <f>[4]data!F124*1000000000/(_xlfn.XLOOKUP($B124,[1]data!$C$2:$C$201,[1]data!M$2:M$201)*1000000)</f>
        <v>9001.7137166373977</v>
      </c>
      <c r="G124">
        <f>[4]data!G124*1000000000/(_xlfn.XLOOKUP($B124,[1]data!$C$2:$C$201,[1]data!N$2:N$201)*1000000)</f>
        <v>10814.991313084385</v>
      </c>
      <c r="H124">
        <f>[4]data!H124*1000000000/(_xlfn.XLOOKUP($B124,[1]data!$C$2:$C$201,[1]data!O$2:O$201)*1000000)</f>
        <v>14781.950931565225</v>
      </c>
      <c r="I124">
        <f>[4]data!I124*1000000000/(_xlfn.XLOOKUP($B124,[1]data!$C$2:$C$201,[1]data!P$2:P$201)*1000000)</f>
        <v>16354.398207635562</v>
      </c>
      <c r="J124">
        <f>[4]data!J124*1000000000/(_xlfn.XLOOKUP($B124,[1]data!$C$2:$C$201,[1]data!Q$2:Q$201)*1000000)</f>
        <v>18153.735324990612</v>
      </c>
      <c r="K124">
        <f>[4]data!K124*1000000000/(_xlfn.XLOOKUP($B124,[1]data!$C$2:$C$201,[1]data!R$2:R$201)*1000000)</f>
        <v>20350.475358197389</v>
      </c>
      <c r="L124">
        <f>[4]data!L124*1000000000/(_xlfn.XLOOKUP($B124,[1]data!$C$2:$C$201,[1]data!S$2:S$201)*1000000)</f>
        <v>24328.601444399461</v>
      </c>
      <c r="M124">
        <f>[4]data!M124*1000000000/(_xlfn.XLOOKUP($B124,[1]data!$C$2:$C$201,[1]data!T$2:T$201)*1000000)</f>
        <v>26005.985462267137</v>
      </c>
      <c r="N124">
        <f>[4]data!N124*1000000000/(_xlfn.XLOOKUP($B124,[1]data!$C$2:$C$201,[1]data!U$2:U$201)*1000000)</f>
        <v>31398.732191375457</v>
      </c>
      <c r="O124">
        <f>[4]data!O124*1000000000/(_xlfn.XLOOKUP($B124,[1]data!$C$2:$C$201,[1]data!V$2:V$201)*1000000)</f>
        <v>36527.970137254764</v>
      </c>
      <c r="P124">
        <f>[4]data!P124*1000000000/(_xlfn.XLOOKUP($B124,[1]data!$C$2:$C$201,[1]data!W$2:W$201)*1000000)</f>
        <v>41304.429539154298</v>
      </c>
      <c r="Q124">
        <f>[4]data!Q124*1000000000/(_xlfn.XLOOKUP($B124,[1]data!$C$2:$C$201,[1]data!X$2:X$201)*1000000)</f>
        <v>45147.572956465359</v>
      </c>
      <c r="R124">
        <f>[4]data!R124*1000000000/(_xlfn.XLOOKUP($B124,[1]data!$C$2:$C$201,[1]data!Y$2:Y$201)*1000000)</f>
        <v>48439.287566363229</v>
      </c>
      <c r="S124">
        <f>[4]data!S124*1000000000/(_xlfn.XLOOKUP($B124,[1]data!$C$2:$C$201,[1]data!Z$2:Z$201)*1000000)</f>
        <v>51481.722247608333</v>
      </c>
      <c r="T124">
        <f>[4]data!T124*1000000000/(_xlfn.XLOOKUP($B124,[1]data!$C$2:$C$201,[1]data!AA$2:AA$201)*1000000)</f>
        <v>54469.814693246459</v>
      </c>
      <c r="U124">
        <f>[4]data!U124*1000000000/(_xlfn.XLOOKUP($B124,[1]data!$C$2:$C$201,[1]data!AB$2:AB$201)*1000000)</f>
        <v>57579.472761930287</v>
      </c>
      <c r="V124">
        <f>[4]data!V124*1000000000/(_xlfn.XLOOKUP($B124,[1]data!$C$2:$C$201,[1]data!AC$2:AC$201)*1000000)</f>
        <v>60889.665274358435</v>
      </c>
      <c r="W124">
        <f>[4]data!W124*1000000000/(_xlfn.XLOOKUP($B124,[1]data!$C$2:$C$201,[1]data!AD$2:AD$201)*1000000)</f>
        <v>64280.550929974066</v>
      </c>
      <c r="X124">
        <f>[4]data!X124*1000000000/(_xlfn.XLOOKUP($B124,[1]data!$C$2:$C$201,[1]data!AE$2:AE$201)*1000000)</f>
        <v>67759.826261992945</v>
      </c>
      <c r="Y124">
        <f>[4]data!Y124*1000000000/(_xlfn.XLOOKUP($B124,[1]data!$C$2:$C$201,[1]data!AF$2:AF$201)*1000000)</f>
        <v>71355.732035262903</v>
      </c>
      <c r="Z124">
        <f>[4]data!Z124*1000000000/(_xlfn.XLOOKUP($B124,[1]data!$C$2:$C$201,[1]data!AG$2:AG$201)*1000000)</f>
        <v>75111.833765632662</v>
      </c>
      <c r="AA124">
        <f>[4]data!AA124*1000000000/(_xlfn.XLOOKUP($B124,[1]data!$C$2:$C$201,[1]data!AH$2:AH$201)*1000000)</f>
        <v>79059.380987914396</v>
      </c>
      <c r="AB124">
        <f>[4]data!AB124*1000000000/(_xlfn.XLOOKUP($B124,[1]data!$C$2:$C$201,[1]data!AI$2:AI$201)*1000000)</f>
        <v>83213.705910838529</v>
      </c>
      <c r="AC124">
        <f>[4]data!AC124*1000000000/(_xlfn.XLOOKUP($B124,[1]data!$C$2:$C$201,[1]data!AJ$2:AJ$201)*1000000)</f>
        <v>87570.815666005976</v>
      </c>
    </row>
    <row r="125" spans="1:29" x14ac:dyDescent="0.25">
      <c r="A125" t="s">
        <v>232</v>
      </c>
      <c r="B125" t="s">
        <v>159</v>
      </c>
      <c r="C125" t="s">
        <v>233</v>
      </c>
      <c r="D125" t="s">
        <v>234</v>
      </c>
      <c r="E125" t="e">
        <f>[4]data!E125*1000000000/(_xlfn.XLOOKUP($B125,[1]data!$C$2:$C$201,[1]data!L$2:L$201)*1000000)</f>
        <v>#VALUE!</v>
      </c>
      <c r="F125" t="e">
        <f>[4]data!F125*1000000000/(_xlfn.XLOOKUP($B125,[1]data!$C$2:$C$201,[1]data!M$2:M$201)*1000000)</f>
        <v>#VALUE!</v>
      </c>
      <c r="G125" t="e">
        <f>[4]data!G125*1000000000/(_xlfn.XLOOKUP($B125,[1]data!$C$2:$C$201,[1]data!N$2:N$201)*1000000)</f>
        <v>#VALUE!</v>
      </c>
      <c r="H125" t="e">
        <f>[4]data!H125*1000000000/(_xlfn.XLOOKUP($B125,[1]data!$C$2:$C$201,[1]data!O$2:O$201)*1000000)</f>
        <v>#VALUE!</v>
      </c>
      <c r="I125" t="e">
        <f>[4]data!I125*1000000000/(_xlfn.XLOOKUP($B125,[1]data!$C$2:$C$201,[1]data!P$2:P$201)*1000000)</f>
        <v>#VALUE!</v>
      </c>
      <c r="J125" t="e">
        <f>[4]data!J125*1000000000/(_xlfn.XLOOKUP($B125,[1]data!$C$2:$C$201,[1]data!Q$2:Q$201)*1000000)</f>
        <v>#VALUE!</v>
      </c>
      <c r="K125" t="e">
        <f>[4]data!K125*1000000000/(_xlfn.XLOOKUP($B125,[1]data!$C$2:$C$201,[1]data!R$2:R$201)*1000000)</f>
        <v>#VALUE!</v>
      </c>
      <c r="L125" t="e">
        <f>[4]data!L125*1000000000/(_xlfn.XLOOKUP($B125,[1]data!$C$2:$C$201,[1]data!S$2:S$201)*1000000)</f>
        <v>#VALUE!</v>
      </c>
      <c r="M125">
        <f>[4]data!M125*1000000000/(_xlfn.XLOOKUP($B125,[1]data!$C$2:$C$201,[1]data!T$2:T$201)*1000000)</f>
        <v>21224.388554838624</v>
      </c>
      <c r="N125">
        <f>[4]data!N125*1000000000/(_xlfn.XLOOKUP($B125,[1]data!$C$2:$C$201,[1]data!U$2:U$201)*1000000)</f>
        <v>26880.373165935987</v>
      </c>
      <c r="O125">
        <f>[4]data!O125*1000000000/(_xlfn.XLOOKUP($B125,[1]data!$C$2:$C$201,[1]data!V$2:V$201)*1000000)</f>
        <v>30869.905974782094</v>
      </c>
      <c r="P125">
        <f>[4]data!P125*1000000000/(_xlfn.XLOOKUP($B125,[1]data!$C$2:$C$201,[1]data!W$2:W$201)*1000000)</f>
        <v>34160.328678682352</v>
      </c>
      <c r="Q125">
        <f>[4]data!Q125*1000000000/(_xlfn.XLOOKUP($B125,[1]data!$C$2:$C$201,[1]data!X$2:X$201)*1000000)</f>
        <v>37673.370470901806</v>
      </c>
      <c r="R125">
        <f>[4]data!R125*1000000000/(_xlfn.XLOOKUP($B125,[1]data!$C$2:$C$201,[1]data!Y$2:Y$201)*1000000)</f>
        <v>41342.330437730932</v>
      </c>
      <c r="S125">
        <f>[4]data!S125*1000000000/(_xlfn.XLOOKUP($B125,[1]data!$C$2:$C$201,[1]data!Z$2:Z$201)*1000000)</f>
        <v>45207.061063683235</v>
      </c>
      <c r="T125">
        <f>[4]data!T125*1000000000/(_xlfn.XLOOKUP($B125,[1]data!$C$2:$C$201,[1]data!AA$2:AA$201)*1000000)</f>
        <v>49331.875942476741</v>
      </c>
      <c r="U125">
        <f>[4]data!U125*1000000000/(_xlfn.XLOOKUP($B125,[1]data!$C$2:$C$201,[1]data!AB$2:AB$201)*1000000)</f>
        <v>53759.19831790639</v>
      </c>
      <c r="V125">
        <f>[4]data!V125*1000000000/(_xlfn.XLOOKUP($B125,[1]data!$C$2:$C$201,[1]data!AC$2:AC$201)*1000000)</f>
        <v>58441.15321284371</v>
      </c>
      <c r="W125">
        <f>[4]data!W125*1000000000/(_xlfn.XLOOKUP($B125,[1]data!$C$2:$C$201,[1]data!AD$2:AD$201)*1000000)</f>
        <v>63286.567929477242</v>
      </c>
      <c r="X125">
        <f>[4]data!X125*1000000000/(_xlfn.XLOOKUP($B125,[1]data!$C$2:$C$201,[1]data!AE$2:AE$201)*1000000)</f>
        <v>68242.897202538879</v>
      </c>
      <c r="Y125">
        <f>[4]data!Y125*1000000000/(_xlfn.XLOOKUP($B125,[1]data!$C$2:$C$201,[1]data!AF$2:AF$201)*1000000)</f>
        <v>73382.695471267449</v>
      </c>
      <c r="Z125">
        <f>[4]data!Z125*1000000000/(_xlfn.XLOOKUP($B125,[1]data!$C$2:$C$201,[1]data!AG$2:AG$201)*1000000)</f>
        <v>78808.085756817643</v>
      </c>
      <c r="AA125">
        <f>[4]data!AA125*1000000000/(_xlfn.XLOOKUP($B125,[1]data!$C$2:$C$201,[1]data!AH$2:AH$201)*1000000)</f>
        <v>84599.778807282128</v>
      </c>
      <c r="AB125">
        <f>[4]data!AB125*1000000000/(_xlfn.XLOOKUP($B125,[1]data!$C$2:$C$201,[1]data!AI$2:AI$201)*1000000)</f>
        <v>90799.01538003335</v>
      </c>
      <c r="AC125">
        <f>[4]data!AC125*1000000000/(_xlfn.XLOOKUP($B125,[1]data!$C$2:$C$201,[1]data!AJ$2:AJ$201)*1000000)</f>
        <v>97438.532045885891</v>
      </c>
    </row>
    <row r="126" spans="1:29" x14ac:dyDescent="0.25">
      <c r="A126" t="s">
        <v>232</v>
      </c>
      <c r="B126" t="s">
        <v>160</v>
      </c>
      <c r="C126" t="s">
        <v>233</v>
      </c>
      <c r="D126" t="s">
        <v>234</v>
      </c>
      <c r="E126" t="e">
        <f>[4]data!E126*1000000000/(_xlfn.XLOOKUP($B126,[1]data!$C$2:$C$201,[1]data!L$2:L$201)*1000000)</f>
        <v>#VALUE!</v>
      </c>
      <c r="F126" t="e">
        <f>[4]data!F126*1000000000/(_xlfn.XLOOKUP($B126,[1]data!$C$2:$C$201,[1]data!M$2:M$201)*1000000)</f>
        <v>#VALUE!</v>
      </c>
      <c r="G126">
        <f>[4]data!G126*1000000000/(_xlfn.XLOOKUP($B126,[1]data!$C$2:$C$201,[1]data!N$2:N$201)*1000000)</f>
        <v>6643.5706505373746</v>
      </c>
      <c r="H126">
        <f>[4]data!H126*1000000000/(_xlfn.XLOOKUP($B126,[1]data!$C$2:$C$201,[1]data!O$2:O$201)*1000000)</f>
        <v>6857.5086607525409</v>
      </c>
      <c r="I126">
        <f>[4]data!I126*1000000000/(_xlfn.XLOOKUP($B126,[1]data!$C$2:$C$201,[1]data!P$2:P$201)*1000000)</f>
        <v>7167.2831049593869</v>
      </c>
      <c r="J126">
        <f>[4]data!J126*1000000000/(_xlfn.XLOOKUP($B126,[1]data!$C$2:$C$201,[1]data!Q$2:Q$201)*1000000)</f>
        <v>8338.266263422056</v>
      </c>
      <c r="K126">
        <f>[4]data!K126*1000000000/(_xlfn.XLOOKUP($B126,[1]data!$C$2:$C$201,[1]data!R$2:R$201)*1000000)</f>
        <v>9185.9482708961386</v>
      </c>
      <c r="L126">
        <f>[4]data!L126*1000000000/(_xlfn.XLOOKUP($B126,[1]data!$C$2:$C$201,[1]data!S$2:S$201)*1000000)</f>
        <v>10909.157605645132</v>
      </c>
      <c r="M126">
        <f>[4]data!M126*1000000000/(_xlfn.XLOOKUP($B126,[1]data!$C$2:$C$201,[1]data!T$2:T$201)*1000000)</f>
        <v>9122.4112087254634</v>
      </c>
      <c r="N126">
        <f>[4]data!N126*1000000000/(_xlfn.XLOOKUP($B126,[1]data!$C$2:$C$201,[1]data!U$2:U$201)*1000000)</f>
        <v>9862.2054664706429</v>
      </c>
      <c r="O126">
        <f>[4]data!O126*1000000000/(_xlfn.XLOOKUP($B126,[1]data!$C$2:$C$201,[1]data!V$2:V$201)*1000000)</f>
        <v>10475.747805214443</v>
      </c>
      <c r="P126">
        <f>[4]data!P126*1000000000/(_xlfn.XLOOKUP($B126,[1]data!$C$2:$C$201,[1]data!W$2:W$201)*1000000)</f>
        <v>11590.095787969583</v>
      </c>
      <c r="Q126">
        <f>[4]data!Q126*1000000000/(_xlfn.XLOOKUP($B126,[1]data!$C$2:$C$201,[1]data!X$2:X$201)*1000000)</f>
        <v>13077.2906691424</v>
      </c>
      <c r="R126">
        <f>[4]data!R126*1000000000/(_xlfn.XLOOKUP($B126,[1]data!$C$2:$C$201,[1]data!Y$2:Y$201)*1000000)</f>
        <v>14877.573993676779</v>
      </c>
      <c r="S126">
        <f>[4]data!S126*1000000000/(_xlfn.XLOOKUP($B126,[1]data!$C$2:$C$201,[1]data!Z$2:Z$201)*1000000)</f>
        <v>16964.437755274121</v>
      </c>
      <c r="T126">
        <f>[4]data!T126*1000000000/(_xlfn.XLOOKUP($B126,[1]data!$C$2:$C$201,[1]data!AA$2:AA$201)*1000000)</f>
        <v>19377.370531902521</v>
      </c>
      <c r="U126">
        <f>[4]data!U126*1000000000/(_xlfn.XLOOKUP($B126,[1]data!$C$2:$C$201,[1]data!AB$2:AB$201)*1000000)</f>
        <v>22164.229423803128</v>
      </c>
      <c r="V126">
        <f>[4]data!V126*1000000000/(_xlfn.XLOOKUP($B126,[1]data!$C$2:$C$201,[1]data!AC$2:AC$201)*1000000)</f>
        <v>25330.955753720809</v>
      </c>
      <c r="W126">
        <f>[4]data!W126*1000000000/(_xlfn.XLOOKUP($B126,[1]data!$C$2:$C$201,[1]data!AD$2:AD$201)*1000000)</f>
        <v>28858.118228224266</v>
      </c>
      <c r="X126">
        <f>[4]data!X126*1000000000/(_xlfn.XLOOKUP($B126,[1]data!$C$2:$C$201,[1]data!AE$2:AE$201)*1000000)</f>
        <v>32631.136329917357</v>
      </c>
      <c r="Y126">
        <f>[4]data!Y126*1000000000/(_xlfn.XLOOKUP($B126,[1]data!$C$2:$C$201,[1]data!AF$2:AF$201)*1000000)</f>
        <v>36632.344087220074</v>
      </c>
      <c r="Z126">
        <f>[4]data!Z126*1000000000/(_xlfn.XLOOKUP($B126,[1]data!$C$2:$C$201,[1]data!AG$2:AG$201)*1000000)</f>
        <v>40865.60891677071</v>
      </c>
      <c r="AA126">
        <f>[4]data!AA126*1000000000/(_xlfn.XLOOKUP($B126,[1]data!$C$2:$C$201,[1]data!AH$2:AH$201)*1000000)</f>
        <v>45403.403074647096</v>
      </c>
      <c r="AB126">
        <f>[4]data!AB126*1000000000/(_xlfn.XLOOKUP($B126,[1]data!$C$2:$C$201,[1]data!AI$2:AI$201)*1000000)</f>
        <v>50339.668727578042</v>
      </c>
      <c r="AC126">
        <f>[4]data!AC126*1000000000/(_xlfn.XLOOKUP($B126,[1]data!$C$2:$C$201,[1]data!AJ$2:AJ$201)*1000000)</f>
        <v>55681.069574966292</v>
      </c>
    </row>
    <row r="127" spans="1:29" x14ac:dyDescent="0.25">
      <c r="A127" t="s">
        <v>232</v>
      </c>
      <c r="B127" t="s">
        <v>161</v>
      </c>
      <c r="C127" t="s">
        <v>233</v>
      </c>
      <c r="D127" t="s">
        <v>234</v>
      </c>
      <c r="E127" t="e">
        <f>[4]data!E127*1000000000/(_xlfn.XLOOKUP($B127,[1]data!$C$2:$C$201,[1]data!L$2:L$201)*1000000)</f>
        <v>#VALUE!</v>
      </c>
      <c r="F127" t="e">
        <f>[4]data!F127*1000000000/(_xlfn.XLOOKUP($B127,[1]data!$C$2:$C$201,[1]data!M$2:M$201)*1000000)</f>
        <v>#VALUE!</v>
      </c>
      <c r="G127" t="e">
        <f>[4]data!G127*1000000000/(_xlfn.XLOOKUP($B127,[1]data!$C$2:$C$201,[1]data!N$2:N$201)*1000000)</f>
        <v>#VALUE!</v>
      </c>
      <c r="H127" t="e">
        <f>[4]data!H127*1000000000/(_xlfn.XLOOKUP($B127,[1]data!$C$2:$C$201,[1]data!O$2:O$201)*1000000)</f>
        <v>#VALUE!</v>
      </c>
      <c r="I127" t="e">
        <f>[4]data!I127*1000000000/(_xlfn.XLOOKUP($B127,[1]data!$C$2:$C$201,[1]data!P$2:P$201)*1000000)</f>
        <v>#VALUE!</v>
      </c>
      <c r="J127" t="e">
        <f>[4]data!J127*1000000000/(_xlfn.XLOOKUP($B127,[1]data!$C$2:$C$201,[1]data!Q$2:Q$201)*1000000)</f>
        <v>#VALUE!</v>
      </c>
      <c r="K127" t="e">
        <f>[4]data!K127*1000000000/(_xlfn.XLOOKUP($B127,[1]data!$C$2:$C$201,[1]data!R$2:R$201)*1000000)</f>
        <v>#VALUE!</v>
      </c>
      <c r="L127" t="e">
        <f>[4]data!L127*1000000000/(_xlfn.XLOOKUP($B127,[1]data!$C$2:$C$201,[1]data!S$2:S$201)*1000000)</f>
        <v>#VALUE!</v>
      </c>
      <c r="M127">
        <f>[4]data!M127*1000000000/(_xlfn.XLOOKUP($B127,[1]data!$C$2:$C$201,[1]data!T$2:T$201)*1000000)</f>
        <v>21887.374439375533</v>
      </c>
      <c r="N127">
        <f>[4]data!N127*1000000000/(_xlfn.XLOOKUP($B127,[1]data!$C$2:$C$201,[1]data!U$2:U$201)*1000000)</f>
        <v>39788.327607640793</v>
      </c>
      <c r="O127">
        <f>[4]data!O127*1000000000/(_xlfn.XLOOKUP($B127,[1]data!$C$2:$C$201,[1]data!V$2:V$201)*1000000)</f>
        <v>48451.493856767207</v>
      </c>
      <c r="P127">
        <f>[4]data!P127*1000000000/(_xlfn.XLOOKUP($B127,[1]data!$C$2:$C$201,[1]data!W$2:W$201)*1000000)</f>
        <v>56603.726638529923</v>
      </c>
      <c r="Q127">
        <f>[4]data!Q127*1000000000/(_xlfn.XLOOKUP($B127,[1]data!$C$2:$C$201,[1]data!X$2:X$201)*1000000)</f>
        <v>64159.018081768118</v>
      </c>
      <c r="R127">
        <f>[4]data!R127*1000000000/(_xlfn.XLOOKUP($B127,[1]data!$C$2:$C$201,[1]data!Y$2:Y$201)*1000000)</f>
        <v>71196.367523255089</v>
      </c>
      <c r="S127">
        <f>[4]data!S127*1000000000/(_xlfn.XLOOKUP($B127,[1]data!$C$2:$C$201,[1]data!Z$2:Z$201)*1000000)</f>
        <v>77895.568844310983</v>
      </c>
      <c r="T127">
        <f>[4]data!T127*1000000000/(_xlfn.XLOOKUP($B127,[1]data!$C$2:$C$201,[1]data!AA$2:AA$201)*1000000)</f>
        <v>84421.178768982631</v>
      </c>
      <c r="U127">
        <f>[4]data!U127*1000000000/(_xlfn.XLOOKUP($B127,[1]data!$C$2:$C$201,[1]data!AB$2:AB$201)*1000000)</f>
        <v>90998.382640339652</v>
      </c>
      <c r="V127">
        <f>[4]data!V127*1000000000/(_xlfn.XLOOKUP($B127,[1]data!$C$2:$C$201,[1]data!AC$2:AC$201)*1000000)</f>
        <v>97700.178432028537</v>
      </c>
      <c r="W127">
        <f>[4]data!W127*1000000000/(_xlfn.XLOOKUP($B127,[1]data!$C$2:$C$201,[1]data!AD$2:AD$201)*1000000)</f>
        <v>104293.54344349682</v>
      </c>
      <c r="X127">
        <f>[4]data!X127*1000000000/(_xlfn.XLOOKUP($B127,[1]data!$C$2:$C$201,[1]data!AE$2:AE$201)*1000000)</f>
        <v>110756.15304264946</v>
      </c>
      <c r="Y127">
        <f>[4]data!Y127*1000000000/(_xlfn.XLOOKUP($B127,[1]data!$C$2:$C$201,[1]data!AF$2:AF$201)*1000000)</f>
        <v>117243.54800725893</v>
      </c>
      <c r="Z127">
        <f>[4]data!Z127*1000000000/(_xlfn.XLOOKUP($B127,[1]data!$C$2:$C$201,[1]data!AG$2:AG$201)*1000000)</f>
        <v>123885.09302112511</v>
      </c>
      <c r="AA127">
        <f>[4]data!AA127*1000000000/(_xlfn.XLOOKUP($B127,[1]data!$C$2:$C$201,[1]data!AH$2:AH$201)*1000000)</f>
        <v>130881.43014516198</v>
      </c>
      <c r="AB127">
        <f>[4]data!AB127*1000000000/(_xlfn.XLOOKUP($B127,[1]data!$C$2:$C$201,[1]data!AI$2:AI$201)*1000000)</f>
        <v>138316.754382516</v>
      </c>
      <c r="AC127">
        <f>[4]data!AC127*1000000000/(_xlfn.XLOOKUP($B127,[1]data!$C$2:$C$201,[1]data!AJ$2:AJ$201)*1000000)</f>
        <v>146210.95510634498</v>
      </c>
    </row>
    <row r="128" spans="1:29" x14ac:dyDescent="0.25">
      <c r="A128" t="s">
        <v>232</v>
      </c>
      <c r="B128" t="s">
        <v>162</v>
      </c>
      <c r="C128" t="s">
        <v>233</v>
      </c>
      <c r="D128" t="s">
        <v>234</v>
      </c>
      <c r="E128">
        <f>[4]data!E128*1000000000/(_xlfn.XLOOKUP($B128,[1]data!$C$2:$C$201,[1]data!L$2:L$201)*1000000)</f>
        <v>1490.5172280475122</v>
      </c>
      <c r="F128">
        <f>[4]data!F128*1000000000/(_xlfn.XLOOKUP($B128,[1]data!$C$2:$C$201,[1]data!M$2:M$201)*1000000)</f>
        <v>1124.3906025764668</v>
      </c>
      <c r="G128">
        <f>[4]data!G128*1000000000/(_xlfn.XLOOKUP($B128,[1]data!$C$2:$C$201,[1]data!N$2:N$201)*1000000)</f>
        <v>1094.8136598928986</v>
      </c>
      <c r="H128">
        <f>[4]data!H128*1000000000/(_xlfn.XLOOKUP($B128,[1]data!$C$2:$C$201,[1]data!O$2:O$201)*1000000)</f>
        <v>994.24620925538431</v>
      </c>
      <c r="I128">
        <f>[4]data!I128*1000000000/(_xlfn.XLOOKUP($B128,[1]data!$C$2:$C$201,[1]data!P$2:P$201)*1000000)</f>
        <v>925.16383830097573</v>
      </c>
      <c r="J128">
        <f>[4]data!J128*1000000000/(_xlfn.XLOOKUP($B128,[1]data!$C$2:$C$201,[1]data!Q$2:Q$201)*1000000)</f>
        <v>962.20603118860527</v>
      </c>
      <c r="K128">
        <f>[4]data!K128*1000000000/(_xlfn.XLOOKUP($B128,[1]data!$C$2:$C$201,[1]data!R$2:R$201)*1000000)</f>
        <v>1044.3861033131013</v>
      </c>
      <c r="L128">
        <f>[4]data!L128*1000000000/(_xlfn.XLOOKUP($B128,[1]data!$C$2:$C$201,[1]data!S$2:S$201)*1000000)</f>
        <v>1146.5235390448411</v>
      </c>
      <c r="M128">
        <f>[4]data!M128*1000000000/(_xlfn.XLOOKUP($B128,[1]data!$C$2:$C$201,[1]data!T$2:T$201)*1000000)</f>
        <v>1237.5045484636976</v>
      </c>
      <c r="N128">
        <f>[4]data!N128*1000000000/(_xlfn.XLOOKUP($B128,[1]data!$C$2:$C$201,[1]data!U$2:U$201)*1000000)</f>
        <v>1439.0521978615263</v>
      </c>
      <c r="O128">
        <f>[4]data!O128*1000000000/(_xlfn.XLOOKUP($B128,[1]data!$C$2:$C$201,[1]data!V$2:V$201)*1000000)</f>
        <v>1655.2654784218578</v>
      </c>
      <c r="P128">
        <f>[4]data!P128*1000000000/(_xlfn.XLOOKUP($B128,[1]data!$C$2:$C$201,[1]data!W$2:W$201)*1000000)</f>
        <v>2027.0951670336508</v>
      </c>
      <c r="Q128">
        <f>[4]data!Q128*1000000000/(_xlfn.XLOOKUP($B128,[1]data!$C$2:$C$201,[1]data!X$2:X$201)*1000000)</f>
        <v>2454.2789245407375</v>
      </c>
      <c r="R128">
        <f>[4]data!R128*1000000000/(_xlfn.XLOOKUP($B128,[1]data!$C$2:$C$201,[1]data!Y$2:Y$201)*1000000)</f>
        <v>2975.2461921157169</v>
      </c>
      <c r="S128">
        <f>[4]data!S128*1000000000/(_xlfn.XLOOKUP($B128,[1]data!$C$2:$C$201,[1]data!Z$2:Z$201)*1000000)</f>
        <v>3619.5074061680743</v>
      </c>
      <c r="T128">
        <f>[4]data!T128*1000000000/(_xlfn.XLOOKUP($B128,[1]data!$C$2:$C$201,[1]data!AA$2:AA$201)*1000000)</f>
        <v>4424.4776436371922</v>
      </c>
      <c r="U128">
        <f>[4]data!U128*1000000000/(_xlfn.XLOOKUP($B128,[1]data!$C$2:$C$201,[1]data!AB$2:AB$201)*1000000)</f>
        <v>5426.8118217130877</v>
      </c>
      <c r="V128">
        <f>[4]data!V128*1000000000/(_xlfn.XLOOKUP($B128,[1]data!$C$2:$C$201,[1]data!AC$2:AC$201)*1000000)</f>
        <v>6672.9102709359768</v>
      </c>
      <c r="W128">
        <f>[4]data!W128*1000000000/(_xlfn.XLOOKUP($B128,[1]data!$C$2:$C$201,[1]data!AD$2:AD$201)*1000000)</f>
        <v>8200.2484175596419</v>
      </c>
      <c r="X128">
        <f>[4]data!X128*1000000000/(_xlfn.XLOOKUP($B128,[1]data!$C$2:$C$201,[1]data!AE$2:AE$201)*1000000)</f>
        <v>10050.508773301439</v>
      </c>
      <c r="Y128">
        <f>[4]data!Y128*1000000000/(_xlfn.XLOOKUP($B128,[1]data!$C$2:$C$201,[1]data!AF$2:AF$201)*1000000)</f>
        <v>12264.838876099557</v>
      </c>
      <c r="Z128">
        <f>[4]data!Z128*1000000000/(_xlfn.XLOOKUP($B128,[1]data!$C$2:$C$201,[1]data!AG$2:AG$201)*1000000)</f>
        <v>14861.968678536512</v>
      </c>
      <c r="AA128">
        <f>[4]data!AA128*1000000000/(_xlfn.XLOOKUP($B128,[1]data!$C$2:$C$201,[1]data!AH$2:AH$201)*1000000)</f>
        <v>17915.262366827013</v>
      </c>
      <c r="AB128">
        <f>[4]data!AB128*1000000000/(_xlfn.XLOOKUP($B128,[1]data!$C$2:$C$201,[1]data!AI$2:AI$201)*1000000)</f>
        <v>21493.601078381485</v>
      </c>
      <c r="AC128">
        <f>[4]data!AC128*1000000000/(_xlfn.XLOOKUP($B128,[1]data!$C$2:$C$201,[1]data!AJ$2:AJ$201)*1000000)</f>
        <v>25715.22375684982</v>
      </c>
    </row>
    <row r="129" spans="1:29" x14ac:dyDescent="0.25">
      <c r="A129" t="s">
        <v>232</v>
      </c>
      <c r="B129" t="s">
        <v>163</v>
      </c>
      <c r="C129" t="s">
        <v>233</v>
      </c>
      <c r="D129" t="s">
        <v>234</v>
      </c>
      <c r="E129" t="e">
        <f>[4]data!E129*1000000000/(_xlfn.XLOOKUP($B129,[1]data!$C$2:$C$201,[1]data!L$2:L$201)*1000000)</f>
        <v>#VALUE!</v>
      </c>
      <c r="F129" t="e">
        <f>[4]data!F129*1000000000/(_xlfn.XLOOKUP($B129,[1]data!$C$2:$C$201,[1]data!M$2:M$201)*1000000)</f>
        <v>#VALUE!</v>
      </c>
      <c r="G129">
        <f>[4]data!G129*1000000000/(_xlfn.XLOOKUP($B129,[1]data!$C$2:$C$201,[1]data!N$2:N$201)*1000000)</f>
        <v>2941.2092743522921</v>
      </c>
      <c r="H129">
        <f>[4]data!H129*1000000000/(_xlfn.XLOOKUP($B129,[1]data!$C$2:$C$201,[1]data!O$2:O$201)*1000000)</f>
        <v>2727.6028073632974</v>
      </c>
      <c r="I129">
        <f>[4]data!I129*1000000000/(_xlfn.XLOOKUP($B129,[1]data!$C$2:$C$201,[1]data!P$2:P$201)*1000000)</f>
        <v>2797.0771098907221</v>
      </c>
      <c r="J129">
        <f>[4]data!J129*1000000000/(_xlfn.XLOOKUP($B129,[1]data!$C$2:$C$201,[1]data!Q$2:Q$201)*1000000)</f>
        <v>3870.507528429886</v>
      </c>
      <c r="K129">
        <f>[4]data!K129*1000000000/(_xlfn.XLOOKUP($B129,[1]data!$C$2:$C$201,[1]data!R$2:R$201)*1000000)</f>
        <v>5002.4820263818274</v>
      </c>
      <c r="L129">
        <f>[4]data!L129*1000000000/(_xlfn.XLOOKUP($B129,[1]data!$C$2:$C$201,[1]data!S$2:S$201)*1000000)</f>
        <v>5497.6134884452795</v>
      </c>
      <c r="M129">
        <f>[4]data!M129*1000000000/(_xlfn.XLOOKUP($B129,[1]data!$C$2:$C$201,[1]data!T$2:T$201)*1000000)</f>
        <v>4925.2942211267718</v>
      </c>
      <c r="N129">
        <f>[4]data!N129*1000000000/(_xlfn.XLOOKUP($B129,[1]data!$C$2:$C$201,[1]data!U$2:U$201)*1000000)</f>
        <v>5105.1583223908619</v>
      </c>
      <c r="O129">
        <f>[4]data!O129*1000000000/(_xlfn.XLOOKUP($B129,[1]data!$C$2:$C$201,[1]data!V$2:V$201)*1000000)</f>
        <v>5422.921223487494</v>
      </c>
      <c r="P129">
        <f>[4]data!P129*1000000000/(_xlfn.XLOOKUP($B129,[1]data!$C$2:$C$201,[1]data!W$2:W$201)*1000000)</f>
        <v>6140.8920379906313</v>
      </c>
      <c r="Q129">
        <f>[4]data!Q129*1000000000/(_xlfn.XLOOKUP($B129,[1]data!$C$2:$C$201,[1]data!X$2:X$201)*1000000)</f>
        <v>6921.1471453538707</v>
      </c>
      <c r="R129">
        <f>[4]data!R129*1000000000/(_xlfn.XLOOKUP($B129,[1]data!$C$2:$C$201,[1]data!Y$2:Y$201)*1000000)</f>
        <v>7822.3734033017417</v>
      </c>
      <c r="S129">
        <f>[4]data!S129*1000000000/(_xlfn.XLOOKUP($B129,[1]data!$C$2:$C$201,[1]data!Z$2:Z$201)*1000000)</f>
        <v>8895.5181871560453</v>
      </c>
      <c r="T129">
        <f>[4]data!T129*1000000000/(_xlfn.XLOOKUP($B129,[1]data!$C$2:$C$201,[1]data!AA$2:AA$201)*1000000)</f>
        <v>10194.302461560921</v>
      </c>
      <c r="U129">
        <f>[4]data!U129*1000000000/(_xlfn.XLOOKUP($B129,[1]data!$C$2:$C$201,[1]data!AB$2:AB$201)*1000000)</f>
        <v>11742.108897165685</v>
      </c>
      <c r="V129">
        <f>[4]data!V129*1000000000/(_xlfn.XLOOKUP($B129,[1]data!$C$2:$C$201,[1]data!AC$2:AC$201)*1000000)</f>
        <v>13558.246457148744</v>
      </c>
      <c r="W129">
        <f>[4]data!W129*1000000000/(_xlfn.XLOOKUP($B129,[1]data!$C$2:$C$201,[1]data!AD$2:AD$201)*1000000)</f>
        <v>15646.599243244351</v>
      </c>
      <c r="X129">
        <f>[4]data!X129*1000000000/(_xlfn.XLOOKUP($B129,[1]data!$C$2:$C$201,[1]data!AE$2:AE$201)*1000000)</f>
        <v>18017.662227393495</v>
      </c>
      <c r="Y129">
        <f>[4]data!Y129*1000000000/(_xlfn.XLOOKUP($B129,[1]data!$C$2:$C$201,[1]data!AF$2:AF$201)*1000000)</f>
        <v>20699.073153927366</v>
      </c>
      <c r="Z129">
        <f>[4]data!Z129*1000000000/(_xlfn.XLOOKUP($B129,[1]data!$C$2:$C$201,[1]data!AG$2:AG$201)*1000000)</f>
        <v>23744.734263693386</v>
      </c>
      <c r="AA129">
        <f>[4]data!AA129*1000000000/(_xlfn.XLOOKUP($B129,[1]data!$C$2:$C$201,[1]data!AH$2:AH$201)*1000000)</f>
        <v>27187.226348979315</v>
      </c>
      <c r="AB129">
        <f>[4]data!AB129*1000000000/(_xlfn.XLOOKUP($B129,[1]data!$C$2:$C$201,[1]data!AI$2:AI$201)*1000000)</f>
        <v>31098.849730487367</v>
      </c>
      <c r="AC129">
        <f>[4]data!AC129*1000000000/(_xlfn.XLOOKUP($B129,[1]data!$C$2:$C$201,[1]data!AJ$2:AJ$201)*1000000)</f>
        <v>35519.368719340921</v>
      </c>
    </row>
    <row r="130" spans="1:29" x14ac:dyDescent="0.25">
      <c r="A130" t="s">
        <v>232</v>
      </c>
      <c r="B130" t="s">
        <v>164</v>
      </c>
      <c r="C130" t="s">
        <v>233</v>
      </c>
      <c r="D130" t="s">
        <v>234</v>
      </c>
      <c r="E130" t="e">
        <f>[4]data!E130*1000000000/(_xlfn.XLOOKUP($B130,[1]data!$C$2:$C$201,[1]data!L$2:L$201)*1000000)</f>
        <v>#VALUE!</v>
      </c>
      <c r="F130" t="e">
        <f>[4]data!F130*1000000000/(_xlfn.XLOOKUP($B130,[1]data!$C$2:$C$201,[1]data!M$2:M$201)*1000000)</f>
        <v>#VALUE!</v>
      </c>
      <c r="G130">
        <f>[4]data!G130*1000000000/(_xlfn.XLOOKUP($B130,[1]data!$C$2:$C$201,[1]data!N$2:N$201)*1000000)</f>
        <v>3405.4994019267583</v>
      </c>
      <c r="H130">
        <f>[4]data!H130*1000000000/(_xlfn.XLOOKUP($B130,[1]data!$C$2:$C$201,[1]data!O$2:O$201)*1000000)</f>
        <v>3380.2440240215828</v>
      </c>
      <c r="I130">
        <f>[4]data!I130*1000000000/(_xlfn.XLOOKUP($B130,[1]data!$C$2:$C$201,[1]data!P$2:P$201)*1000000)</f>
        <v>3967.9435292859666</v>
      </c>
      <c r="J130">
        <f>[4]data!J130*1000000000/(_xlfn.XLOOKUP($B130,[1]data!$C$2:$C$201,[1]data!Q$2:Q$201)*1000000)</f>
        <v>4352.0088125502052</v>
      </c>
      <c r="K130">
        <f>[4]data!K130*1000000000/(_xlfn.XLOOKUP($B130,[1]data!$C$2:$C$201,[1]data!R$2:R$201)*1000000)</f>
        <v>4620.8638634603767</v>
      </c>
      <c r="L130">
        <f>[4]data!L130*1000000000/(_xlfn.XLOOKUP($B130,[1]data!$C$2:$C$201,[1]data!S$2:S$201)*1000000)</f>
        <v>5603.1798040990698</v>
      </c>
      <c r="M130">
        <f>[4]data!M130*1000000000/(_xlfn.XLOOKUP($B130,[1]data!$C$2:$C$201,[1]data!T$2:T$201)*1000000)</f>
        <v>5266.566155526385</v>
      </c>
      <c r="N130">
        <f>[4]data!N130*1000000000/(_xlfn.XLOOKUP($B130,[1]data!$C$2:$C$201,[1]data!U$2:U$201)*1000000)</f>
        <v>6221.3580690580948</v>
      </c>
      <c r="O130">
        <f>[4]data!O130*1000000000/(_xlfn.XLOOKUP($B130,[1]data!$C$2:$C$201,[1]data!V$2:V$201)*1000000)</f>
        <v>7016.5036737036653</v>
      </c>
      <c r="P130">
        <f>[4]data!P130*1000000000/(_xlfn.XLOOKUP($B130,[1]data!$C$2:$C$201,[1]data!W$2:W$201)*1000000)</f>
        <v>8144.4793025482222</v>
      </c>
      <c r="Q130">
        <f>[4]data!Q130*1000000000/(_xlfn.XLOOKUP($B130,[1]data!$C$2:$C$201,[1]data!X$2:X$201)*1000000)</f>
        <v>9666.3009251934873</v>
      </c>
      <c r="R130">
        <f>[4]data!R130*1000000000/(_xlfn.XLOOKUP($B130,[1]data!$C$2:$C$201,[1]data!Y$2:Y$201)*1000000)</f>
        <v>11646.946277937088</v>
      </c>
      <c r="S130">
        <f>[4]data!S130*1000000000/(_xlfn.XLOOKUP($B130,[1]data!$C$2:$C$201,[1]data!Z$2:Z$201)*1000000)</f>
        <v>14148.849870068469</v>
      </c>
      <c r="T130">
        <f>[4]data!T130*1000000000/(_xlfn.XLOOKUP($B130,[1]data!$C$2:$C$201,[1]data!AA$2:AA$201)*1000000)</f>
        <v>17227.102288844861</v>
      </c>
      <c r="U130">
        <f>[4]data!U130*1000000000/(_xlfn.XLOOKUP($B130,[1]data!$C$2:$C$201,[1]data!AB$2:AB$201)*1000000)</f>
        <v>20952.030730297378</v>
      </c>
      <c r="V130">
        <f>[4]data!V130*1000000000/(_xlfn.XLOOKUP($B130,[1]data!$C$2:$C$201,[1]data!AC$2:AC$201)*1000000)</f>
        <v>25420.715010041378</v>
      </c>
      <c r="W130">
        <f>[4]data!W130*1000000000/(_xlfn.XLOOKUP($B130,[1]data!$C$2:$C$201,[1]data!AD$2:AD$201)*1000000)</f>
        <v>30611.651942145465</v>
      </c>
      <c r="X130">
        <f>[4]data!X130*1000000000/(_xlfn.XLOOKUP($B130,[1]data!$C$2:$C$201,[1]data!AE$2:AE$201)*1000000)</f>
        <v>36555.162295870883</v>
      </c>
      <c r="Y130">
        <f>[4]data!Y130*1000000000/(_xlfn.XLOOKUP($B130,[1]data!$C$2:$C$201,[1]data!AF$2:AF$201)*1000000)</f>
        <v>43172.518647710109</v>
      </c>
      <c r="Z130">
        <f>[4]data!Z130*1000000000/(_xlfn.XLOOKUP($B130,[1]data!$C$2:$C$201,[1]data!AG$2:AG$201)*1000000)</f>
        <v>50431.036038905557</v>
      </c>
      <c r="AA130">
        <f>[4]data!AA130*1000000000/(_xlfn.XLOOKUP($B130,[1]data!$C$2:$C$201,[1]data!AH$2:AH$201)*1000000)</f>
        <v>58362.640582133208</v>
      </c>
      <c r="AB130">
        <f>[4]data!AB130*1000000000/(_xlfn.XLOOKUP($B130,[1]data!$C$2:$C$201,[1]data!AI$2:AI$201)*1000000)</f>
        <v>66965.750992839807</v>
      </c>
      <c r="AC130">
        <f>[4]data!AC130*1000000000/(_xlfn.XLOOKUP($B130,[1]data!$C$2:$C$201,[1]data!AJ$2:AJ$201)*1000000)</f>
        <v>76241.601572870088</v>
      </c>
    </row>
    <row r="131" spans="1:29" x14ac:dyDescent="0.25">
      <c r="A131" t="s">
        <v>232</v>
      </c>
      <c r="B131" t="s">
        <v>165</v>
      </c>
      <c r="C131" t="s">
        <v>233</v>
      </c>
      <c r="D131" t="s">
        <v>234</v>
      </c>
      <c r="E131">
        <f>[4]data!E131*1000000000/(_xlfn.XLOOKUP($B131,[1]data!$C$2:$C$201,[1]data!L$2:L$201)*1000000)</f>
        <v>31117.439529404983</v>
      </c>
      <c r="F131">
        <f>[4]data!F131*1000000000/(_xlfn.XLOOKUP($B131,[1]data!$C$2:$C$201,[1]data!M$2:M$201)*1000000)</f>
        <v>32025.59666262618</v>
      </c>
      <c r="G131">
        <f>[4]data!G131*1000000000/(_xlfn.XLOOKUP($B131,[1]data!$C$2:$C$201,[1]data!N$2:N$201)*1000000)</f>
        <v>36651.306888159721</v>
      </c>
      <c r="H131">
        <f>[4]data!H131*1000000000/(_xlfn.XLOOKUP($B131,[1]data!$C$2:$C$201,[1]data!O$2:O$201)*1000000)</f>
        <v>39736.824657977049</v>
      </c>
      <c r="I131">
        <f>[4]data!I131*1000000000/(_xlfn.XLOOKUP($B131,[1]data!$C$2:$C$201,[1]data!P$2:P$201)*1000000)</f>
        <v>45227.879440421275</v>
      </c>
      <c r="J131">
        <f>[4]data!J131*1000000000/(_xlfn.XLOOKUP($B131,[1]data!$C$2:$C$201,[1]data!Q$2:Q$201)*1000000)</f>
        <v>47159.703128712245</v>
      </c>
      <c r="K131">
        <f>[4]data!K131*1000000000/(_xlfn.XLOOKUP($B131,[1]data!$C$2:$C$201,[1]data!R$2:R$201)*1000000)</f>
        <v>49504.319123839014</v>
      </c>
      <c r="L131">
        <f>[4]data!L131*1000000000/(_xlfn.XLOOKUP($B131,[1]data!$C$2:$C$201,[1]data!S$2:S$201)*1000000)</f>
        <v>50121.819352529761</v>
      </c>
      <c r="M131">
        <f>[4]data!M131*1000000000/(_xlfn.XLOOKUP($B131,[1]data!$C$2:$C$201,[1]data!T$2:T$201)*1000000)</f>
        <v>51621.054920450362</v>
      </c>
      <c r="N131">
        <f>[4]data!N131*1000000000/(_xlfn.XLOOKUP($B131,[1]data!$C$2:$C$201,[1]data!U$2:U$201)*1000000)</f>
        <v>57666.281129106021</v>
      </c>
      <c r="O131">
        <f>[4]data!O131*1000000000/(_xlfn.XLOOKUP($B131,[1]data!$C$2:$C$201,[1]data!V$2:V$201)*1000000)</f>
        <v>62630.437743606322</v>
      </c>
      <c r="P131">
        <f>[4]data!P131*1000000000/(_xlfn.XLOOKUP($B131,[1]data!$C$2:$C$201,[1]data!W$2:W$201)*1000000)</f>
        <v>66662.335780284135</v>
      </c>
      <c r="Q131">
        <f>[4]data!Q131*1000000000/(_xlfn.XLOOKUP($B131,[1]data!$C$2:$C$201,[1]data!X$2:X$201)*1000000)</f>
        <v>70620.03540831813</v>
      </c>
      <c r="R131">
        <f>[4]data!R131*1000000000/(_xlfn.XLOOKUP($B131,[1]data!$C$2:$C$201,[1]data!Y$2:Y$201)*1000000)</f>
        <v>74559.928117523901</v>
      </c>
      <c r="S131">
        <f>[4]data!S131*1000000000/(_xlfn.XLOOKUP($B131,[1]data!$C$2:$C$201,[1]data!Z$2:Z$201)*1000000)</f>
        <v>78285.942582061267</v>
      </c>
      <c r="T131">
        <f>[4]data!T131*1000000000/(_xlfn.XLOOKUP($B131,[1]data!$C$2:$C$201,[1]data!AA$2:AA$201)*1000000)</f>
        <v>81845.418243807348</v>
      </c>
      <c r="U131">
        <f>[4]data!U131*1000000000/(_xlfn.XLOOKUP($B131,[1]data!$C$2:$C$201,[1]data!AB$2:AB$201)*1000000)</f>
        <v>85262.990757928215</v>
      </c>
      <c r="V131">
        <f>[4]data!V131*1000000000/(_xlfn.XLOOKUP($B131,[1]data!$C$2:$C$201,[1]data!AC$2:AC$201)*1000000)</f>
        <v>88565.835340137259</v>
      </c>
      <c r="W131">
        <f>[4]data!W131*1000000000/(_xlfn.XLOOKUP($B131,[1]data!$C$2:$C$201,[1]data!AD$2:AD$201)*1000000)</f>
        <v>91590.23667725554</v>
      </c>
      <c r="X131">
        <f>[4]data!X131*1000000000/(_xlfn.XLOOKUP($B131,[1]data!$C$2:$C$201,[1]data!AE$2:AE$201)*1000000)</f>
        <v>94338.618111714473</v>
      </c>
      <c r="Y131">
        <f>[4]data!Y131*1000000000/(_xlfn.XLOOKUP($B131,[1]data!$C$2:$C$201,[1]data!AF$2:AF$201)*1000000)</f>
        <v>96819.680162368342</v>
      </c>
      <c r="Z131">
        <f>[4]data!Z131*1000000000/(_xlfn.XLOOKUP($B131,[1]data!$C$2:$C$201,[1]data!AG$2:AG$201)*1000000)</f>
        <v>99060.721386071818</v>
      </c>
      <c r="AA131">
        <f>[4]data!AA131*1000000000/(_xlfn.XLOOKUP($B131,[1]data!$C$2:$C$201,[1]data!AH$2:AH$201)*1000000)</f>
        <v>101056.07690853748</v>
      </c>
      <c r="AB131">
        <f>[4]data!AB131*1000000000/(_xlfn.XLOOKUP($B131,[1]data!$C$2:$C$201,[1]data!AI$2:AI$201)*1000000)</f>
        <v>102769.68062157153</v>
      </c>
      <c r="AC131">
        <f>[4]data!AC131*1000000000/(_xlfn.XLOOKUP($B131,[1]data!$C$2:$C$201,[1]data!AJ$2:AJ$201)*1000000)</f>
        <v>104165.03773546356</v>
      </c>
    </row>
    <row r="132" spans="1:29" x14ac:dyDescent="0.25">
      <c r="A132" t="s">
        <v>232</v>
      </c>
      <c r="B132" t="s">
        <v>166</v>
      </c>
      <c r="C132" t="s">
        <v>233</v>
      </c>
      <c r="D132" t="s">
        <v>234</v>
      </c>
      <c r="E132">
        <f>[4]data!E132*1000000000/(_xlfn.XLOOKUP($B132,[1]data!$C$2:$C$201,[1]data!L$2:L$201)*1000000)</f>
        <v>34124.58725101145</v>
      </c>
      <c r="F132">
        <f>[4]data!F132*1000000000/(_xlfn.XLOOKUP($B132,[1]data!$C$2:$C$201,[1]data!M$2:M$201)*1000000)</f>
        <v>39793.969097776644</v>
      </c>
      <c r="G132">
        <f>[4]data!G132*1000000000/(_xlfn.XLOOKUP($B132,[1]data!$C$2:$C$201,[1]data!N$2:N$201)*1000000)</f>
        <v>42385.237014237151</v>
      </c>
      <c r="H132">
        <f>[4]data!H132*1000000000/(_xlfn.XLOOKUP($B132,[1]data!$C$2:$C$201,[1]data!O$2:O$201)*1000000)</f>
        <v>49576.994887236571</v>
      </c>
      <c r="I132">
        <f>[4]data!I132*1000000000/(_xlfn.XLOOKUP($B132,[1]data!$C$2:$C$201,[1]data!P$2:P$201)*1000000)</f>
        <v>55236.577796721693</v>
      </c>
      <c r="J132">
        <f>[4]data!J132*1000000000/(_xlfn.XLOOKUP($B132,[1]data!$C$2:$C$201,[1]data!Q$2:Q$201)*1000000)</f>
        <v>59910.183891189139</v>
      </c>
      <c r="K132">
        <f>[4]data!K132*1000000000/(_xlfn.XLOOKUP($B132,[1]data!$C$2:$C$201,[1]data!R$2:R$201)*1000000)</f>
        <v>59482.977034396645</v>
      </c>
      <c r="L132">
        <f>[4]data!L132*1000000000/(_xlfn.XLOOKUP($B132,[1]data!$C$2:$C$201,[1]data!S$2:S$201)*1000000)</f>
        <v>61002.101898832065</v>
      </c>
      <c r="M132">
        <f>[4]data!M132*1000000000/(_xlfn.XLOOKUP($B132,[1]data!$C$2:$C$201,[1]data!T$2:T$201)*1000000)</f>
        <v>61258.41755546067</v>
      </c>
      <c r="N132">
        <f>[4]data!N132*1000000000/(_xlfn.XLOOKUP($B132,[1]data!$C$2:$C$201,[1]data!U$2:U$201)*1000000)</f>
        <v>66361.00837455054</v>
      </c>
      <c r="O132">
        <f>[4]data!O132*1000000000/(_xlfn.XLOOKUP($B132,[1]data!$C$2:$C$201,[1]data!V$2:V$201)*1000000)</f>
        <v>70921.818112641573</v>
      </c>
      <c r="P132">
        <f>[4]data!P132*1000000000/(_xlfn.XLOOKUP($B132,[1]data!$C$2:$C$201,[1]data!W$2:W$201)*1000000)</f>
        <v>75271.287383928357</v>
      </c>
      <c r="Q132">
        <f>[4]data!Q132*1000000000/(_xlfn.XLOOKUP($B132,[1]data!$C$2:$C$201,[1]data!X$2:X$201)*1000000)</f>
        <v>79653.336911332866</v>
      </c>
      <c r="R132">
        <f>[4]data!R132*1000000000/(_xlfn.XLOOKUP($B132,[1]data!$C$2:$C$201,[1]data!Y$2:Y$201)*1000000)</f>
        <v>84079.90922601131</v>
      </c>
      <c r="S132">
        <f>[4]data!S132*1000000000/(_xlfn.XLOOKUP($B132,[1]data!$C$2:$C$201,[1]data!Z$2:Z$201)*1000000)</f>
        <v>88407.865667871476</v>
      </c>
      <c r="T132">
        <f>[4]data!T132*1000000000/(_xlfn.XLOOKUP($B132,[1]data!$C$2:$C$201,[1]data!AA$2:AA$201)*1000000)</f>
        <v>92877.010228881933</v>
      </c>
      <c r="U132">
        <f>[4]data!U132*1000000000/(_xlfn.XLOOKUP($B132,[1]data!$C$2:$C$201,[1]data!AB$2:AB$201)*1000000)</f>
        <v>97509.634039893121</v>
      </c>
      <c r="V132">
        <f>[4]data!V132*1000000000/(_xlfn.XLOOKUP($B132,[1]data!$C$2:$C$201,[1]data!AC$2:AC$201)*1000000)</f>
        <v>102342.55245323444</v>
      </c>
      <c r="W132">
        <f>[4]data!W132*1000000000/(_xlfn.XLOOKUP($B132,[1]data!$C$2:$C$201,[1]data!AD$2:AD$201)*1000000)</f>
        <v>106901.27556182306</v>
      </c>
      <c r="X132">
        <f>[4]data!X132*1000000000/(_xlfn.XLOOKUP($B132,[1]data!$C$2:$C$201,[1]data!AE$2:AE$201)*1000000)</f>
        <v>111153.40015684091</v>
      </c>
      <c r="Y132">
        <f>[4]data!Y132*1000000000/(_xlfn.XLOOKUP($B132,[1]data!$C$2:$C$201,[1]data!AF$2:AF$201)*1000000)</f>
        <v>115196.48987254642</v>
      </c>
      <c r="Z132">
        <f>[4]data!Z132*1000000000/(_xlfn.XLOOKUP($B132,[1]data!$C$2:$C$201,[1]data!AG$2:AG$201)*1000000)</f>
        <v>119181.06647334209</v>
      </c>
      <c r="AA132">
        <f>[4]data!AA132*1000000000/(_xlfn.XLOOKUP($B132,[1]data!$C$2:$C$201,[1]data!AH$2:AH$201)*1000000)</f>
        <v>123153.76734930799</v>
      </c>
      <c r="AB132">
        <f>[4]data!AB132*1000000000/(_xlfn.XLOOKUP($B132,[1]data!$C$2:$C$201,[1]data!AI$2:AI$201)*1000000)</f>
        <v>126998.97372528988</v>
      </c>
      <c r="AC132">
        <f>[4]data!AC132*1000000000/(_xlfn.XLOOKUP($B132,[1]data!$C$2:$C$201,[1]data!AJ$2:AJ$201)*1000000)</f>
        <v>130552.43952878141</v>
      </c>
    </row>
    <row r="133" spans="1:29" x14ac:dyDescent="0.25">
      <c r="A133" t="s">
        <v>232</v>
      </c>
      <c r="B133" t="s">
        <v>167</v>
      </c>
      <c r="C133" t="s">
        <v>233</v>
      </c>
      <c r="D133" t="s">
        <v>234</v>
      </c>
      <c r="E133">
        <f>[4]data!E133*1000000000/(_xlfn.XLOOKUP($B133,[1]data!$C$2:$C$201,[1]data!L$2:L$201)*1000000)</f>
        <v>1234.490781958111</v>
      </c>
      <c r="F133">
        <f>[4]data!F133*1000000000/(_xlfn.XLOOKUP($B133,[1]data!$C$2:$C$201,[1]data!M$2:M$201)*1000000)</f>
        <v>1393.7902693371389</v>
      </c>
      <c r="G133">
        <f>[4]data!G133*1000000000/(_xlfn.XLOOKUP($B133,[1]data!$C$2:$C$201,[1]data!N$2:N$201)*1000000)</f>
        <v>1560.2702265350445</v>
      </c>
      <c r="H133">
        <f>[4]data!H133*1000000000/(_xlfn.XLOOKUP($B133,[1]data!$C$2:$C$201,[1]data!O$2:O$201)*1000000)</f>
        <v>1763.5499885670361</v>
      </c>
      <c r="I133">
        <f>[4]data!I133*1000000000/(_xlfn.XLOOKUP($B133,[1]data!$C$2:$C$201,[1]data!P$2:P$201)*1000000)</f>
        <v>2021.5531452706821</v>
      </c>
      <c r="J133">
        <f>[4]data!J133*1000000000/(_xlfn.XLOOKUP($B133,[1]data!$C$2:$C$201,[1]data!Q$2:Q$201)*1000000)</f>
        <v>2241.8711324595461</v>
      </c>
      <c r="K133">
        <f>[4]data!K133*1000000000/(_xlfn.XLOOKUP($B133,[1]data!$C$2:$C$201,[1]data!R$2:R$201)*1000000)</f>
        <v>2689.2432300665555</v>
      </c>
      <c r="L133">
        <f>[4]data!L133*1000000000/(_xlfn.XLOOKUP($B133,[1]data!$C$2:$C$201,[1]data!S$2:S$201)*1000000)</f>
        <v>3271.0347281199902</v>
      </c>
      <c r="M133">
        <f>[4]data!M133*1000000000/(_xlfn.XLOOKUP($B133,[1]data!$C$2:$C$201,[1]data!T$2:T$201)*1000000)</f>
        <v>3807.1364877603792</v>
      </c>
      <c r="N133">
        <f>[4]data!N133*1000000000/(_xlfn.XLOOKUP($B133,[1]data!$C$2:$C$201,[1]data!U$2:U$201)*1000000)</f>
        <v>4446.7801692087496</v>
      </c>
      <c r="O133">
        <f>[4]data!O133*1000000000/(_xlfn.XLOOKUP($B133,[1]data!$C$2:$C$201,[1]data!V$2:V$201)*1000000)</f>
        <v>5473.6514078822383</v>
      </c>
      <c r="P133">
        <f>[4]data!P133*1000000000/(_xlfn.XLOOKUP($B133,[1]data!$C$2:$C$201,[1]data!W$2:W$201)*1000000)</f>
        <v>6766.4513221153838</v>
      </c>
      <c r="Q133">
        <f>[4]data!Q133*1000000000/(_xlfn.XLOOKUP($B133,[1]data!$C$2:$C$201,[1]data!X$2:X$201)*1000000)</f>
        <v>8309.8828281031347</v>
      </c>
      <c r="R133">
        <f>[4]data!R133*1000000000/(_xlfn.XLOOKUP($B133,[1]data!$C$2:$C$201,[1]data!Y$2:Y$201)*1000000)</f>
        <v>10154.925403517667</v>
      </c>
      <c r="S133">
        <f>[4]data!S133*1000000000/(_xlfn.XLOOKUP($B133,[1]data!$C$2:$C$201,[1]data!Z$2:Z$201)*1000000)</f>
        <v>12346.906114033736</v>
      </c>
      <c r="T133">
        <f>[4]data!T133*1000000000/(_xlfn.XLOOKUP($B133,[1]data!$C$2:$C$201,[1]data!AA$2:AA$201)*1000000)</f>
        <v>14941.989172130587</v>
      </c>
      <c r="U133">
        <f>[4]data!U133*1000000000/(_xlfn.XLOOKUP($B133,[1]data!$C$2:$C$201,[1]data!AB$2:AB$201)*1000000)</f>
        <v>18027.177454402103</v>
      </c>
      <c r="V133">
        <f>[4]data!V133*1000000000/(_xlfn.XLOOKUP($B133,[1]data!$C$2:$C$201,[1]data!AC$2:AC$201)*1000000)</f>
        <v>21679.445172607851</v>
      </c>
      <c r="W133">
        <f>[4]data!W133*1000000000/(_xlfn.XLOOKUP($B133,[1]data!$C$2:$C$201,[1]data!AD$2:AD$201)*1000000)</f>
        <v>25917.791778221224</v>
      </c>
      <c r="X133">
        <f>[4]data!X133*1000000000/(_xlfn.XLOOKUP($B133,[1]data!$C$2:$C$201,[1]data!AE$2:AE$201)*1000000)</f>
        <v>30780.976300236882</v>
      </c>
      <c r="Y133">
        <f>[4]data!Y133*1000000000/(_xlfn.XLOOKUP($B133,[1]data!$C$2:$C$201,[1]data!AF$2:AF$201)*1000000)</f>
        <v>36188.173636376559</v>
      </c>
      <c r="Z133">
        <f>[4]data!Z133*1000000000/(_xlfn.XLOOKUP($B133,[1]data!$C$2:$C$201,[1]data!AG$2:AG$201)*1000000)</f>
        <v>42125.368434029449</v>
      </c>
      <c r="AA133">
        <f>[4]data!AA133*1000000000/(_xlfn.XLOOKUP($B133,[1]data!$C$2:$C$201,[1]data!AH$2:AH$201)*1000000)</f>
        <v>48607.336146933056</v>
      </c>
      <c r="AB133">
        <f>[4]data!AB133*1000000000/(_xlfn.XLOOKUP($B133,[1]data!$C$2:$C$201,[1]data!AI$2:AI$201)*1000000)</f>
        <v>55642.166668744852</v>
      </c>
      <c r="AC133">
        <f>[4]data!AC133*1000000000/(_xlfn.XLOOKUP($B133,[1]data!$C$2:$C$201,[1]data!AJ$2:AJ$201)*1000000)</f>
        <v>63193.446299611031</v>
      </c>
    </row>
    <row r="134" spans="1:29" x14ac:dyDescent="0.25">
      <c r="A134" t="s">
        <v>232</v>
      </c>
      <c r="B134" t="s">
        <v>168</v>
      </c>
      <c r="C134" t="s">
        <v>233</v>
      </c>
      <c r="D134" t="s">
        <v>234</v>
      </c>
      <c r="E134">
        <f>[4]data!E134*1000000000/(_xlfn.XLOOKUP($B134,[1]data!$C$2:$C$201,[1]data!L$2:L$201)*1000000)</f>
        <v>24263.713842777972</v>
      </c>
      <c r="F134">
        <f>[4]data!F134*1000000000/(_xlfn.XLOOKUP($B134,[1]data!$C$2:$C$201,[1]data!M$2:M$201)*1000000)</f>
        <v>27203.711552907189</v>
      </c>
      <c r="G134">
        <f>[4]data!G134*1000000000/(_xlfn.XLOOKUP($B134,[1]data!$C$2:$C$201,[1]data!N$2:N$201)*1000000)</f>
        <v>27206.422466794804</v>
      </c>
      <c r="H134">
        <f>[4]data!H134*1000000000/(_xlfn.XLOOKUP($B134,[1]data!$C$2:$C$201,[1]data!O$2:O$201)*1000000)</f>
        <v>28763.742698398681</v>
      </c>
      <c r="I134">
        <f>[4]data!I134*1000000000/(_xlfn.XLOOKUP($B134,[1]data!$C$2:$C$201,[1]data!P$2:P$201)*1000000)</f>
        <v>29479.704716398894</v>
      </c>
      <c r="J134">
        <f>[4]data!J134*1000000000/(_xlfn.XLOOKUP($B134,[1]data!$C$2:$C$201,[1]data!Q$2:Q$201)*1000000)</f>
        <v>33207.639210237474</v>
      </c>
      <c r="K134">
        <f>[4]data!K134*1000000000/(_xlfn.XLOOKUP($B134,[1]data!$C$2:$C$201,[1]data!R$2:R$201)*1000000)</f>
        <v>34278.529436037847</v>
      </c>
      <c r="L134">
        <f>[4]data!L134*1000000000/(_xlfn.XLOOKUP($B134,[1]data!$C$2:$C$201,[1]data!S$2:S$201)*1000000)</f>
        <v>37407.835298495775</v>
      </c>
      <c r="M134">
        <f>[4]data!M134*1000000000/(_xlfn.XLOOKUP($B134,[1]data!$C$2:$C$201,[1]data!T$2:T$201)*1000000)</f>
        <v>39011.356842803667</v>
      </c>
      <c r="N134">
        <f>[4]data!N134*1000000000/(_xlfn.XLOOKUP($B134,[1]data!$C$2:$C$201,[1]data!U$2:U$201)*1000000)</f>
        <v>43102.852507637712</v>
      </c>
      <c r="O134">
        <f>[4]data!O134*1000000000/(_xlfn.XLOOKUP($B134,[1]data!$C$2:$C$201,[1]data!V$2:V$201)*1000000)</f>
        <v>47427.381595965395</v>
      </c>
      <c r="P134">
        <f>[4]data!P134*1000000000/(_xlfn.XLOOKUP($B134,[1]data!$C$2:$C$201,[1]data!W$2:W$201)*1000000)</f>
        <v>51561.645544997758</v>
      </c>
      <c r="Q134">
        <f>[4]data!Q134*1000000000/(_xlfn.XLOOKUP($B134,[1]data!$C$2:$C$201,[1]data!X$2:X$201)*1000000)</f>
        <v>55434.476776171781</v>
      </c>
      <c r="R134">
        <f>[4]data!R134*1000000000/(_xlfn.XLOOKUP($B134,[1]data!$C$2:$C$201,[1]data!Y$2:Y$201)*1000000)</f>
        <v>59419.140988215317</v>
      </c>
      <c r="S134">
        <f>[4]data!S134*1000000000/(_xlfn.XLOOKUP($B134,[1]data!$C$2:$C$201,[1]data!Z$2:Z$201)*1000000)</f>
        <v>63446.341008130556</v>
      </c>
      <c r="T134">
        <f>[4]data!T134*1000000000/(_xlfn.XLOOKUP($B134,[1]data!$C$2:$C$201,[1]data!AA$2:AA$201)*1000000)</f>
        <v>67576.174945086459</v>
      </c>
      <c r="U134">
        <f>[4]data!U134*1000000000/(_xlfn.XLOOKUP($B134,[1]data!$C$2:$C$201,[1]data!AB$2:AB$201)*1000000)</f>
        <v>71904.668141637652</v>
      </c>
      <c r="V134">
        <f>[4]data!V134*1000000000/(_xlfn.XLOOKUP($B134,[1]data!$C$2:$C$201,[1]data!AC$2:AC$201)*1000000)</f>
        <v>76419.935707950775</v>
      </c>
      <c r="W134">
        <f>[4]data!W134*1000000000/(_xlfn.XLOOKUP($B134,[1]data!$C$2:$C$201,[1]data!AD$2:AD$201)*1000000)</f>
        <v>80823.388257534709</v>
      </c>
      <c r="X134">
        <f>[4]data!X134*1000000000/(_xlfn.XLOOKUP($B134,[1]data!$C$2:$C$201,[1]data!AE$2:AE$201)*1000000)</f>
        <v>85028.480309609164</v>
      </c>
      <c r="Y134">
        <f>[4]data!Y134*1000000000/(_xlfn.XLOOKUP($B134,[1]data!$C$2:$C$201,[1]data!AF$2:AF$201)*1000000)</f>
        <v>89049.663867196447</v>
      </c>
      <c r="Z134">
        <f>[4]data!Z134*1000000000/(_xlfn.XLOOKUP($B134,[1]data!$C$2:$C$201,[1]data!AG$2:AG$201)*1000000)</f>
        <v>92917.592761379419</v>
      </c>
      <c r="AA134">
        <f>[4]data!AA134*1000000000/(_xlfn.XLOOKUP($B134,[1]data!$C$2:$C$201,[1]data!AH$2:AH$201)*1000000)</f>
        <v>96631.97245088956</v>
      </c>
      <c r="AB134">
        <f>[4]data!AB134*1000000000/(_xlfn.XLOOKUP($B134,[1]data!$C$2:$C$201,[1]data!AI$2:AI$201)*1000000)</f>
        <v>100122.98935629749</v>
      </c>
      <c r="AC134">
        <f>[4]data!AC134*1000000000/(_xlfn.XLOOKUP($B134,[1]data!$C$2:$C$201,[1]data!AJ$2:AJ$201)*1000000)</f>
        <v>103288.33661494906</v>
      </c>
    </row>
    <row r="135" spans="1:29" x14ac:dyDescent="0.25">
      <c r="A135" t="s">
        <v>232</v>
      </c>
      <c r="B135" t="s">
        <v>169</v>
      </c>
      <c r="C135" t="s">
        <v>233</v>
      </c>
      <c r="D135" t="s">
        <v>234</v>
      </c>
      <c r="E135">
        <f>[4]data!E135*1000000000/(_xlfn.XLOOKUP($B135,[1]data!$C$2:$C$201,[1]data!L$2:L$201)*1000000)</f>
        <v>23776.970020342145</v>
      </c>
      <c r="F135">
        <f>[4]data!F135*1000000000/(_xlfn.XLOOKUP($B135,[1]data!$C$2:$C$201,[1]data!M$2:M$201)*1000000)</f>
        <v>35520.324631441181</v>
      </c>
      <c r="G135">
        <f>[4]data!G135*1000000000/(_xlfn.XLOOKUP($B135,[1]data!$C$2:$C$201,[1]data!N$2:N$201)*1000000)</f>
        <v>30423.351556366815</v>
      </c>
      <c r="H135">
        <f>[4]data!H135*1000000000/(_xlfn.XLOOKUP($B135,[1]data!$C$2:$C$201,[1]data!O$2:O$201)*1000000)</f>
        <v>33037.861009447377</v>
      </c>
      <c r="I135">
        <f>[4]data!I135*1000000000/(_xlfn.XLOOKUP($B135,[1]data!$C$2:$C$201,[1]data!P$2:P$201)*1000000)</f>
        <v>36511.121693862377</v>
      </c>
      <c r="J135">
        <f>[4]data!J135*1000000000/(_xlfn.XLOOKUP($B135,[1]data!$C$2:$C$201,[1]data!Q$2:Q$201)*1000000)</f>
        <v>36305.205253000255</v>
      </c>
      <c r="K135">
        <f>[4]data!K135*1000000000/(_xlfn.XLOOKUP($B135,[1]data!$C$2:$C$201,[1]data!R$2:R$201)*1000000)</f>
        <v>43231.088488846704</v>
      </c>
      <c r="L135">
        <f>[4]data!L135*1000000000/(_xlfn.XLOOKUP($B135,[1]data!$C$2:$C$201,[1]data!S$2:S$201)*1000000)</f>
        <v>36105.872699749933</v>
      </c>
      <c r="M135">
        <f>[4]data!M135*1000000000/(_xlfn.XLOOKUP($B135,[1]data!$C$2:$C$201,[1]data!T$2:T$201)*1000000)</f>
        <v>32768.048880671406</v>
      </c>
      <c r="N135">
        <f>[4]data!N135*1000000000/(_xlfn.XLOOKUP($B135,[1]data!$C$2:$C$201,[1]data!U$2:U$201)*1000000)</f>
        <v>34677.871271923919</v>
      </c>
      <c r="O135">
        <f>[4]data!O135*1000000000/(_xlfn.XLOOKUP($B135,[1]data!$C$2:$C$201,[1]data!V$2:V$201)*1000000)</f>
        <v>37780.616219736461</v>
      </c>
      <c r="P135">
        <f>[4]data!P135*1000000000/(_xlfn.XLOOKUP($B135,[1]data!$C$2:$C$201,[1]data!W$2:W$201)*1000000)</f>
        <v>41530.949215428074</v>
      </c>
      <c r="Q135">
        <f>[4]data!Q135*1000000000/(_xlfn.XLOOKUP($B135,[1]data!$C$2:$C$201,[1]data!X$2:X$201)*1000000)</f>
        <v>45491.508085241971</v>
      </c>
      <c r="R135">
        <f>[4]data!R135*1000000000/(_xlfn.XLOOKUP($B135,[1]data!$C$2:$C$201,[1]data!Y$2:Y$201)*1000000)</f>
        <v>49436.485795832894</v>
      </c>
      <c r="S135">
        <f>[4]data!S135*1000000000/(_xlfn.XLOOKUP($B135,[1]data!$C$2:$C$201,[1]data!Z$2:Z$201)*1000000)</f>
        <v>53436.664143112168</v>
      </c>
      <c r="T135">
        <f>[4]data!T135*1000000000/(_xlfn.XLOOKUP($B135,[1]data!$C$2:$C$201,[1]data!AA$2:AA$201)*1000000)</f>
        <v>58005.246212601349</v>
      </c>
      <c r="U135">
        <f>[4]data!U135*1000000000/(_xlfn.XLOOKUP($B135,[1]data!$C$2:$C$201,[1]data!AB$2:AB$201)*1000000)</f>
        <v>63337.093253673891</v>
      </c>
      <c r="V135">
        <f>[4]data!V135*1000000000/(_xlfn.XLOOKUP($B135,[1]data!$C$2:$C$201,[1]data!AC$2:AC$201)*1000000)</f>
        <v>69527.822439382013</v>
      </c>
      <c r="W135">
        <f>[4]data!W135*1000000000/(_xlfn.XLOOKUP($B135,[1]data!$C$2:$C$201,[1]data!AD$2:AD$201)*1000000)</f>
        <v>76199.004188408318</v>
      </c>
      <c r="X135">
        <f>[4]data!X135*1000000000/(_xlfn.XLOOKUP($B135,[1]data!$C$2:$C$201,[1]data!AE$2:AE$201)*1000000)</f>
        <v>83271.19871985566</v>
      </c>
      <c r="Y135">
        <f>[4]data!Y135*1000000000/(_xlfn.XLOOKUP($B135,[1]data!$C$2:$C$201,[1]data!AF$2:AF$201)*1000000)</f>
        <v>90481.952943622848</v>
      </c>
      <c r="Z135">
        <f>[4]data!Z135*1000000000/(_xlfn.XLOOKUP($B135,[1]data!$C$2:$C$201,[1]data!AG$2:AG$201)*1000000)</f>
        <v>97788.092442281064</v>
      </c>
      <c r="AA135">
        <f>[4]data!AA135*1000000000/(_xlfn.XLOOKUP($B135,[1]data!$C$2:$C$201,[1]data!AH$2:AH$201)*1000000)</f>
        <v>105314.65250938614</v>
      </c>
      <c r="AB135">
        <f>[4]data!AB135*1000000000/(_xlfn.XLOOKUP($B135,[1]data!$C$2:$C$201,[1]data!AI$2:AI$201)*1000000)</f>
        <v>113269.8903913761</v>
      </c>
      <c r="AC135">
        <f>[4]data!AC135*1000000000/(_xlfn.XLOOKUP($B135,[1]data!$C$2:$C$201,[1]data!AJ$2:AJ$201)*1000000)</f>
        <v>121785.60416917338</v>
      </c>
    </row>
    <row r="136" spans="1:29" x14ac:dyDescent="0.25">
      <c r="A136" t="s">
        <v>232</v>
      </c>
      <c r="B136" t="s">
        <v>170</v>
      </c>
      <c r="C136" t="s">
        <v>233</v>
      </c>
      <c r="D136" t="s">
        <v>234</v>
      </c>
      <c r="E136">
        <f>[4]data!E136*1000000000/(_xlfn.XLOOKUP($B136,[1]data!$C$2:$C$201,[1]data!L$2:L$201)*1000000)</f>
        <v>2388.8669728462432</v>
      </c>
      <c r="F136">
        <f>[4]data!F136*1000000000/(_xlfn.XLOOKUP($B136,[1]data!$C$2:$C$201,[1]data!M$2:M$201)*1000000)</f>
        <v>2722.083500235844</v>
      </c>
      <c r="G136">
        <f>[4]data!G136*1000000000/(_xlfn.XLOOKUP($B136,[1]data!$C$2:$C$201,[1]data!N$2:N$201)*1000000)</f>
        <v>3003.0921977209632</v>
      </c>
      <c r="H136">
        <f>[4]data!H136*1000000000/(_xlfn.XLOOKUP($B136,[1]data!$C$2:$C$201,[1]data!O$2:O$201)*1000000)</f>
        <v>3293.8163939461861</v>
      </c>
      <c r="I136">
        <f>[4]data!I136*1000000000/(_xlfn.XLOOKUP($B136,[1]data!$C$2:$C$201,[1]data!P$2:P$201)*1000000)</f>
        <v>3453.1050044034978</v>
      </c>
      <c r="J136">
        <f>[4]data!J136*1000000000/(_xlfn.XLOOKUP($B136,[1]data!$C$2:$C$201,[1]data!Q$2:Q$201)*1000000)</f>
        <v>3952.4281568117353</v>
      </c>
      <c r="K136">
        <f>[4]data!K136*1000000000/(_xlfn.XLOOKUP($B136,[1]data!$C$2:$C$201,[1]data!R$2:R$201)*1000000)</f>
        <v>4252.2325198447579</v>
      </c>
      <c r="L136">
        <f>[4]data!L136*1000000000/(_xlfn.XLOOKUP($B136,[1]data!$C$2:$C$201,[1]data!S$2:S$201)*1000000)</f>
        <v>4637.3022528533202</v>
      </c>
      <c r="M136">
        <f>[4]data!M136*1000000000/(_xlfn.XLOOKUP($B136,[1]data!$C$2:$C$201,[1]data!T$2:T$201)*1000000)</f>
        <v>5095.7106808367616</v>
      </c>
      <c r="N136">
        <f>[4]data!N136*1000000000/(_xlfn.XLOOKUP($B136,[1]data!$C$2:$C$201,[1]data!U$2:U$201)*1000000)</f>
        <v>5470.1279522163313</v>
      </c>
      <c r="O136">
        <f>[4]data!O136*1000000000/(_xlfn.XLOOKUP($B136,[1]data!$C$2:$C$201,[1]data!V$2:V$201)*1000000)</f>
        <v>6316.5211096292041</v>
      </c>
      <c r="P136">
        <f>[4]data!P136*1000000000/(_xlfn.XLOOKUP($B136,[1]data!$C$2:$C$201,[1]data!W$2:W$201)*1000000)</f>
        <v>7357.6099001381281</v>
      </c>
      <c r="Q136">
        <f>[4]data!Q136*1000000000/(_xlfn.XLOOKUP($B136,[1]data!$C$2:$C$201,[1]data!X$2:X$201)*1000000)</f>
        <v>8714.0440193753238</v>
      </c>
      <c r="R136">
        <f>[4]data!R136*1000000000/(_xlfn.XLOOKUP($B136,[1]data!$C$2:$C$201,[1]data!Y$2:Y$201)*1000000)</f>
        <v>10453.093681547643</v>
      </c>
      <c r="S136">
        <f>[4]data!S136*1000000000/(_xlfn.XLOOKUP($B136,[1]data!$C$2:$C$201,[1]data!Z$2:Z$201)*1000000)</f>
        <v>12582.6278242762</v>
      </c>
      <c r="T136">
        <f>[4]data!T136*1000000000/(_xlfn.XLOOKUP($B136,[1]data!$C$2:$C$201,[1]data!AA$2:AA$201)*1000000)</f>
        <v>15134.414602125142</v>
      </c>
      <c r="U136">
        <f>[4]data!U136*1000000000/(_xlfn.XLOOKUP($B136,[1]data!$C$2:$C$201,[1]data!AB$2:AB$201)*1000000)</f>
        <v>18135.410872110915</v>
      </c>
      <c r="V136">
        <f>[4]data!V136*1000000000/(_xlfn.XLOOKUP($B136,[1]data!$C$2:$C$201,[1]data!AC$2:AC$201)*1000000)</f>
        <v>21675.191848127255</v>
      </c>
      <c r="W136">
        <f>[4]data!W136*1000000000/(_xlfn.XLOOKUP($B136,[1]data!$C$2:$C$201,[1]data!AD$2:AD$201)*1000000)</f>
        <v>25724.54943574264</v>
      </c>
      <c r="X136">
        <f>[4]data!X136*1000000000/(_xlfn.XLOOKUP($B136,[1]data!$C$2:$C$201,[1]data!AE$2:AE$201)*1000000)</f>
        <v>30349.00458131011</v>
      </c>
      <c r="Y136">
        <f>[4]data!Y136*1000000000/(_xlfn.XLOOKUP($B136,[1]data!$C$2:$C$201,[1]data!AF$2:AF$201)*1000000)</f>
        <v>35528.031697947408</v>
      </c>
      <c r="Z136">
        <f>[4]data!Z136*1000000000/(_xlfn.XLOOKUP($B136,[1]data!$C$2:$C$201,[1]data!AG$2:AG$201)*1000000)</f>
        <v>41221.174702604701</v>
      </c>
      <c r="AA136">
        <f>[4]data!AA136*1000000000/(_xlfn.XLOOKUP($B136,[1]data!$C$2:$C$201,[1]data!AH$2:AH$201)*1000000)</f>
        <v>47423.958172815786</v>
      </c>
      <c r="AB136">
        <f>[4]data!AB136*1000000000/(_xlfn.XLOOKUP($B136,[1]data!$C$2:$C$201,[1]data!AI$2:AI$201)*1000000)</f>
        <v>54136.114777050956</v>
      </c>
      <c r="AC136">
        <f>[4]data!AC136*1000000000/(_xlfn.XLOOKUP($B136,[1]data!$C$2:$C$201,[1]data!AJ$2:AJ$201)*1000000)</f>
        <v>61393.843669100112</v>
      </c>
    </row>
    <row r="137" spans="1:29" x14ac:dyDescent="0.25">
      <c r="A137" t="s">
        <v>232</v>
      </c>
      <c r="B137" t="s">
        <v>171</v>
      </c>
      <c r="C137" t="s">
        <v>233</v>
      </c>
      <c r="D137" t="s">
        <v>234</v>
      </c>
      <c r="E137">
        <f>[4]data!E137*1000000000/(_xlfn.XLOOKUP($B137,[1]data!$C$2:$C$201,[1]data!L$2:L$201)*1000000)</f>
        <v>12018.405542343085</v>
      </c>
      <c r="F137">
        <f>[4]data!F137*1000000000/(_xlfn.XLOOKUP($B137,[1]data!$C$2:$C$201,[1]data!M$2:M$201)*1000000)</f>
        <v>12674.031424747853</v>
      </c>
      <c r="G137">
        <f>[4]data!G137*1000000000/(_xlfn.XLOOKUP($B137,[1]data!$C$2:$C$201,[1]data!N$2:N$201)*1000000)</f>
        <v>10985.113838989184</v>
      </c>
      <c r="H137">
        <f>[4]data!H137*1000000000/(_xlfn.XLOOKUP($B137,[1]data!$C$2:$C$201,[1]data!O$2:O$201)*1000000)</f>
        <v>12939.870263193132</v>
      </c>
      <c r="I137">
        <f>[4]data!I137*1000000000/(_xlfn.XLOOKUP($B137,[1]data!$C$2:$C$201,[1]data!P$2:P$201)*1000000)</f>
        <v>15328.840924100845</v>
      </c>
      <c r="J137">
        <f>[4]data!J137*1000000000/(_xlfn.XLOOKUP($B137,[1]data!$C$2:$C$201,[1]data!Q$2:Q$201)*1000000)</f>
        <v>17181.096884467963</v>
      </c>
      <c r="K137">
        <f>[4]data!K137*1000000000/(_xlfn.XLOOKUP($B137,[1]data!$C$2:$C$201,[1]data!R$2:R$201)*1000000)</f>
        <v>22436.30653056451</v>
      </c>
      <c r="L137">
        <f>[4]data!L137*1000000000/(_xlfn.XLOOKUP($B137,[1]data!$C$2:$C$201,[1]data!S$2:S$201)*1000000)</f>
        <v>29811.118158475976</v>
      </c>
      <c r="M137">
        <f>[4]data!M137*1000000000/(_xlfn.XLOOKUP($B137,[1]data!$C$2:$C$201,[1]data!T$2:T$201)*1000000)</f>
        <v>26786.513882643747</v>
      </c>
      <c r="N137">
        <f>[4]data!N137*1000000000/(_xlfn.XLOOKUP($B137,[1]data!$C$2:$C$201,[1]data!U$2:U$201)*1000000)</f>
        <v>37037.70602049138</v>
      </c>
      <c r="O137">
        <f>[4]data!O137*1000000000/(_xlfn.XLOOKUP($B137,[1]data!$C$2:$C$201,[1]data!V$2:V$201)*1000000)</f>
        <v>42575.599111379495</v>
      </c>
      <c r="P137">
        <f>[4]data!P137*1000000000/(_xlfn.XLOOKUP($B137,[1]data!$C$2:$C$201,[1]data!W$2:W$201)*1000000)</f>
        <v>47902.630061643715</v>
      </c>
      <c r="Q137">
        <f>[4]data!Q137*1000000000/(_xlfn.XLOOKUP($B137,[1]data!$C$2:$C$201,[1]data!X$2:X$201)*1000000)</f>
        <v>52582.066057549615</v>
      </c>
      <c r="R137">
        <f>[4]data!R137*1000000000/(_xlfn.XLOOKUP($B137,[1]data!$C$2:$C$201,[1]data!Y$2:Y$201)*1000000)</f>
        <v>56987.302667284348</v>
      </c>
      <c r="S137">
        <f>[4]data!S137*1000000000/(_xlfn.XLOOKUP($B137,[1]data!$C$2:$C$201,[1]data!Z$2:Z$201)*1000000)</f>
        <v>61483.687164353898</v>
      </c>
      <c r="T137">
        <f>[4]data!T137*1000000000/(_xlfn.XLOOKUP($B137,[1]data!$C$2:$C$201,[1]data!AA$2:AA$201)*1000000)</f>
        <v>66106.066888467802</v>
      </c>
      <c r="U137">
        <f>[4]data!U137*1000000000/(_xlfn.XLOOKUP($B137,[1]data!$C$2:$C$201,[1]data!AB$2:AB$201)*1000000)</f>
        <v>70939.318260593034</v>
      </c>
      <c r="V137">
        <f>[4]data!V137*1000000000/(_xlfn.XLOOKUP($B137,[1]data!$C$2:$C$201,[1]data!AC$2:AC$201)*1000000)</f>
        <v>76013.259886668267</v>
      </c>
      <c r="W137">
        <f>[4]data!W137*1000000000/(_xlfn.XLOOKUP($B137,[1]data!$C$2:$C$201,[1]data!AD$2:AD$201)*1000000)</f>
        <v>81220.594880518853</v>
      </c>
      <c r="X137">
        <f>[4]data!X137*1000000000/(_xlfn.XLOOKUP($B137,[1]data!$C$2:$C$201,[1]data!AE$2:AE$201)*1000000)</f>
        <v>86736.207821223696</v>
      </c>
      <c r="Y137">
        <f>[4]data!Y137*1000000000/(_xlfn.XLOOKUP($B137,[1]data!$C$2:$C$201,[1]data!AF$2:AF$201)*1000000)</f>
        <v>92551.082115403347</v>
      </c>
      <c r="Z137">
        <f>[4]data!Z137*1000000000/(_xlfn.XLOOKUP($B137,[1]data!$C$2:$C$201,[1]data!AG$2:AG$201)*1000000)</f>
        <v>98739.326861534631</v>
      </c>
      <c r="AA137">
        <f>[4]data!AA137*1000000000/(_xlfn.XLOOKUP($B137,[1]data!$C$2:$C$201,[1]data!AH$2:AH$201)*1000000)</f>
        <v>105256.309497166</v>
      </c>
      <c r="AB137">
        <f>[4]data!AB137*1000000000/(_xlfn.XLOOKUP($B137,[1]data!$C$2:$C$201,[1]data!AI$2:AI$201)*1000000)</f>
        <v>112150.74819515402</v>
      </c>
      <c r="AC137">
        <f>[4]data!AC137*1000000000/(_xlfn.XLOOKUP($B137,[1]data!$C$2:$C$201,[1]data!AJ$2:AJ$201)*1000000)</f>
        <v>119438.27424291465</v>
      </c>
    </row>
    <row r="138" spans="1:29" x14ac:dyDescent="0.25">
      <c r="A138" t="s">
        <v>232</v>
      </c>
      <c r="B138" t="s">
        <v>172</v>
      </c>
      <c r="C138" t="s">
        <v>233</v>
      </c>
      <c r="D138" t="s">
        <v>234</v>
      </c>
      <c r="E138">
        <f>[4]data!E138*1000000000/(_xlfn.XLOOKUP($B138,[1]data!$C$2:$C$201,[1]data!L$2:L$201)*1000000)</f>
        <v>7554.4711308593651</v>
      </c>
      <c r="F138">
        <f>[4]data!F138*1000000000/(_xlfn.XLOOKUP($B138,[1]data!$C$2:$C$201,[1]data!M$2:M$201)*1000000)</f>
        <v>6753.0558084842714</v>
      </c>
      <c r="G138">
        <f>[4]data!G138*1000000000/(_xlfn.XLOOKUP($B138,[1]data!$C$2:$C$201,[1]data!N$2:N$201)*1000000)</f>
        <v>5418.15640813961</v>
      </c>
      <c r="H138">
        <f>[4]data!H138*1000000000/(_xlfn.XLOOKUP($B138,[1]data!$C$2:$C$201,[1]data!O$2:O$201)*1000000)</f>
        <v>6313.4855983015732</v>
      </c>
      <c r="I138">
        <f>[4]data!I138*1000000000/(_xlfn.XLOOKUP($B138,[1]data!$C$2:$C$201,[1]data!P$2:P$201)*1000000)</f>
        <v>6566.7524857964609</v>
      </c>
      <c r="J138">
        <f>[4]data!J138*1000000000/(_xlfn.XLOOKUP($B138,[1]data!$C$2:$C$201,[1]data!Q$2:Q$201)*1000000)</f>
        <v>7644.4598137707671</v>
      </c>
      <c r="K138">
        <f>[4]data!K138*1000000000/(_xlfn.XLOOKUP($B138,[1]data!$C$2:$C$201,[1]data!R$2:R$201)*1000000)</f>
        <v>10262.990395524666</v>
      </c>
      <c r="L138">
        <f>[4]data!L138*1000000000/(_xlfn.XLOOKUP($B138,[1]data!$C$2:$C$201,[1]data!S$2:S$201)*1000000)</f>
        <v>12362.530157407298</v>
      </c>
      <c r="M138">
        <f>[4]data!M138*1000000000/(_xlfn.XLOOKUP($B138,[1]data!$C$2:$C$201,[1]data!T$2:T$201)*1000000)</f>
        <v>11502.986904762804</v>
      </c>
      <c r="N138">
        <f>[4]data!N138*1000000000/(_xlfn.XLOOKUP($B138,[1]data!$C$2:$C$201,[1]data!U$2:U$201)*1000000)</f>
        <v>13737.759641801769</v>
      </c>
      <c r="O138">
        <f>[4]data!O138*1000000000/(_xlfn.XLOOKUP($B138,[1]data!$C$2:$C$201,[1]data!V$2:V$201)*1000000)</f>
        <v>15308.350820014719</v>
      </c>
      <c r="P138">
        <f>[4]data!P138*1000000000/(_xlfn.XLOOKUP($B138,[1]data!$C$2:$C$201,[1]data!W$2:W$201)*1000000)</f>
        <v>17185.121876535304</v>
      </c>
      <c r="Q138">
        <f>[4]data!Q138*1000000000/(_xlfn.XLOOKUP($B138,[1]data!$C$2:$C$201,[1]data!X$2:X$201)*1000000)</f>
        <v>19390.863085131961</v>
      </c>
      <c r="R138">
        <f>[4]data!R138*1000000000/(_xlfn.XLOOKUP($B138,[1]data!$C$2:$C$201,[1]data!Y$2:Y$201)*1000000)</f>
        <v>21913.604040556351</v>
      </c>
      <c r="S138">
        <f>[4]data!S138*1000000000/(_xlfn.XLOOKUP($B138,[1]data!$C$2:$C$201,[1]data!Z$2:Z$201)*1000000)</f>
        <v>24777.680228033321</v>
      </c>
      <c r="T138">
        <f>[4]data!T138*1000000000/(_xlfn.XLOOKUP($B138,[1]data!$C$2:$C$201,[1]data!AA$2:AA$201)*1000000)</f>
        <v>27968.990368548806</v>
      </c>
      <c r="U138">
        <f>[4]data!U138*1000000000/(_xlfn.XLOOKUP($B138,[1]data!$C$2:$C$201,[1]data!AB$2:AB$201)*1000000)</f>
        <v>31515.610692475871</v>
      </c>
      <c r="V138">
        <f>[4]data!V138*1000000000/(_xlfn.XLOOKUP($B138,[1]data!$C$2:$C$201,[1]data!AC$2:AC$201)*1000000)</f>
        <v>35451.253055635112</v>
      </c>
      <c r="W138">
        <f>[4]data!W138*1000000000/(_xlfn.XLOOKUP($B138,[1]data!$C$2:$C$201,[1]data!AD$2:AD$201)*1000000)</f>
        <v>39752.704006628264</v>
      </c>
      <c r="X138">
        <f>[4]data!X138*1000000000/(_xlfn.XLOOKUP($B138,[1]data!$C$2:$C$201,[1]data!AE$2:AE$201)*1000000)</f>
        <v>44415.118522987548</v>
      </c>
      <c r="Y138">
        <f>[4]data!Y138*1000000000/(_xlfn.XLOOKUP($B138,[1]data!$C$2:$C$201,[1]data!AF$2:AF$201)*1000000)</f>
        <v>49410.921873328662</v>
      </c>
      <c r="Z138">
        <f>[4]data!Z138*1000000000/(_xlfn.XLOOKUP($B138,[1]data!$C$2:$C$201,[1]data!AG$2:AG$201)*1000000)</f>
        <v>54738.84979826404</v>
      </c>
      <c r="AA138">
        <f>[4]data!AA138*1000000000/(_xlfn.XLOOKUP($B138,[1]data!$C$2:$C$201,[1]data!AH$2:AH$201)*1000000)</f>
        <v>60382.543288655826</v>
      </c>
      <c r="AB138">
        <f>[4]data!AB138*1000000000/(_xlfn.XLOOKUP($B138,[1]data!$C$2:$C$201,[1]data!AI$2:AI$201)*1000000)</f>
        <v>66353.563031157129</v>
      </c>
      <c r="AC138">
        <f>[4]data!AC138*1000000000/(_xlfn.XLOOKUP($B138,[1]data!$C$2:$C$201,[1]data!AJ$2:AJ$201)*1000000)</f>
        <v>72672.291819475984</v>
      </c>
    </row>
    <row r="139" spans="1:29" x14ac:dyDescent="0.25">
      <c r="A139" t="s">
        <v>232</v>
      </c>
      <c r="B139" t="s">
        <v>173</v>
      </c>
      <c r="C139" t="s">
        <v>233</v>
      </c>
      <c r="D139" t="s">
        <v>234</v>
      </c>
      <c r="E139">
        <f>[4]data!E139*1000000000/(_xlfn.XLOOKUP($B139,[1]data!$C$2:$C$201,[1]data!L$2:L$201)*1000000)</f>
        <v>4613.1434188820022</v>
      </c>
      <c r="F139">
        <f>[4]data!F139*1000000000/(_xlfn.XLOOKUP($B139,[1]data!$C$2:$C$201,[1]data!M$2:M$201)*1000000)</f>
        <v>3817.2520205546584</v>
      </c>
      <c r="G139">
        <f>[4]data!G139*1000000000/(_xlfn.XLOOKUP($B139,[1]data!$C$2:$C$201,[1]data!N$2:N$201)*1000000)</f>
        <v>4284.1078060664422</v>
      </c>
      <c r="H139">
        <f>[4]data!H139*1000000000/(_xlfn.XLOOKUP($B139,[1]data!$C$2:$C$201,[1]data!O$2:O$201)*1000000)</f>
        <v>4246.9136682729231</v>
      </c>
      <c r="I139">
        <f>[4]data!I139*1000000000/(_xlfn.XLOOKUP($B139,[1]data!$C$2:$C$201,[1]data!P$2:P$201)*1000000)</f>
        <v>4504.0512550752837</v>
      </c>
      <c r="J139">
        <f>[4]data!J139*1000000000/(_xlfn.XLOOKUP($B139,[1]data!$C$2:$C$201,[1]data!Q$2:Q$201)*1000000)</f>
        <v>5106.4231493866791</v>
      </c>
      <c r="K139">
        <f>[4]data!K139*1000000000/(_xlfn.XLOOKUP($B139,[1]data!$C$2:$C$201,[1]data!R$2:R$201)*1000000)</f>
        <v>5929.7207867394836</v>
      </c>
      <c r="L139">
        <f>[4]data!L139*1000000000/(_xlfn.XLOOKUP($B139,[1]data!$C$2:$C$201,[1]data!S$2:S$201)*1000000)</f>
        <v>7299.2533481887785</v>
      </c>
      <c r="M139">
        <f>[4]data!M139*1000000000/(_xlfn.XLOOKUP($B139,[1]data!$C$2:$C$201,[1]data!T$2:T$201)*1000000)</f>
        <v>7836.3520457584755</v>
      </c>
      <c r="N139">
        <f>[4]data!N139*1000000000/(_xlfn.XLOOKUP($B139,[1]data!$C$2:$C$201,[1]data!U$2:U$201)*1000000)</f>
        <v>9797.8315539042851</v>
      </c>
      <c r="O139">
        <f>[4]data!O139*1000000000/(_xlfn.XLOOKUP($B139,[1]data!$C$2:$C$201,[1]data!V$2:V$201)*1000000)</f>
        <v>12474.787773101392</v>
      </c>
      <c r="P139">
        <f>[4]data!P139*1000000000/(_xlfn.XLOOKUP($B139,[1]data!$C$2:$C$201,[1]data!W$2:W$201)*1000000)</f>
        <v>15369.245991421651</v>
      </c>
      <c r="Q139">
        <f>[4]data!Q139*1000000000/(_xlfn.XLOOKUP($B139,[1]data!$C$2:$C$201,[1]data!X$2:X$201)*1000000)</f>
        <v>18122.135680785646</v>
      </c>
      <c r="R139">
        <f>[4]data!R139*1000000000/(_xlfn.XLOOKUP($B139,[1]data!$C$2:$C$201,[1]data!Y$2:Y$201)*1000000)</f>
        <v>20866.38693678808</v>
      </c>
      <c r="S139">
        <f>[4]data!S139*1000000000/(_xlfn.XLOOKUP($B139,[1]data!$C$2:$C$201,[1]data!Z$2:Z$201)*1000000)</f>
        <v>23677.554224390347</v>
      </c>
      <c r="T139">
        <f>[4]data!T139*1000000000/(_xlfn.XLOOKUP($B139,[1]data!$C$2:$C$201,[1]data!AA$2:AA$201)*1000000)</f>
        <v>26616.159051075236</v>
      </c>
      <c r="U139">
        <f>[4]data!U139*1000000000/(_xlfn.XLOOKUP($B139,[1]data!$C$2:$C$201,[1]data!AB$2:AB$201)*1000000)</f>
        <v>29744.308153764108</v>
      </c>
      <c r="V139">
        <f>[4]data!V139*1000000000/(_xlfn.XLOOKUP($B139,[1]data!$C$2:$C$201,[1]data!AC$2:AC$201)*1000000)</f>
        <v>33050.355497112752</v>
      </c>
      <c r="W139">
        <f>[4]data!W139*1000000000/(_xlfn.XLOOKUP($B139,[1]data!$C$2:$C$201,[1]data!AD$2:AD$201)*1000000)</f>
        <v>36448.976370408804</v>
      </c>
      <c r="X139">
        <f>[4]data!X139*1000000000/(_xlfn.XLOOKUP($B139,[1]data!$C$2:$C$201,[1]data!AE$2:AE$201)*1000000)</f>
        <v>39955.666651729727</v>
      </c>
      <c r="Y139">
        <f>[4]data!Y139*1000000000/(_xlfn.XLOOKUP($B139,[1]data!$C$2:$C$201,[1]data!AF$2:AF$201)*1000000)</f>
        <v>43595.712729052531</v>
      </c>
      <c r="Z139">
        <f>[4]data!Z139*1000000000/(_xlfn.XLOOKUP($B139,[1]data!$C$2:$C$201,[1]data!AG$2:AG$201)*1000000)</f>
        <v>47454.310968749909</v>
      </c>
      <c r="AA139">
        <f>[4]data!AA139*1000000000/(_xlfn.XLOOKUP($B139,[1]data!$C$2:$C$201,[1]data!AH$2:AH$201)*1000000)</f>
        <v>51545.564518887128</v>
      </c>
      <c r="AB139">
        <f>[4]data!AB139*1000000000/(_xlfn.XLOOKUP($B139,[1]data!$C$2:$C$201,[1]data!AI$2:AI$201)*1000000)</f>
        <v>55870.84720539007</v>
      </c>
      <c r="AC139">
        <f>[4]data!AC139*1000000000/(_xlfn.XLOOKUP($B139,[1]data!$C$2:$C$201,[1]data!AJ$2:AJ$201)*1000000)</f>
        <v>60391.403373077264</v>
      </c>
    </row>
    <row r="140" spans="1:29" x14ac:dyDescent="0.25">
      <c r="A140" t="s">
        <v>232</v>
      </c>
      <c r="B140" t="s">
        <v>174</v>
      </c>
      <c r="C140" t="s">
        <v>233</v>
      </c>
      <c r="D140" t="s">
        <v>234</v>
      </c>
      <c r="E140">
        <f>[4]data!E140*1000000000/(_xlfn.XLOOKUP($B140,[1]data!$C$2:$C$201,[1]data!L$2:L$201)*1000000)</f>
        <v>2638.2897857286039</v>
      </c>
      <c r="F140">
        <f>[4]data!F140*1000000000/(_xlfn.XLOOKUP($B140,[1]data!$C$2:$C$201,[1]data!M$2:M$201)*1000000)</f>
        <v>2572.1971405859513</v>
      </c>
      <c r="G140">
        <f>[4]data!G140*1000000000/(_xlfn.XLOOKUP($B140,[1]data!$C$2:$C$201,[1]data!N$2:N$201)*1000000)</f>
        <v>2457.5241380107109</v>
      </c>
      <c r="H140">
        <f>[4]data!H140*1000000000/(_xlfn.XLOOKUP($B140,[1]data!$C$2:$C$201,[1]data!O$2:O$201)*1000000)</f>
        <v>3113.5015172289036</v>
      </c>
      <c r="I140">
        <f>[4]data!I140*1000000000/(_xlfn.XLOOKUP($B140,[1]data!$C$2:$C$201,[1]data!P$2:P$201)*1000000)</f>
        <v>2705.725313433376</v>
      </c>
      <c r="J140">
        <f>[4]data!J140*1000000000/(_xlfn.XLOOKUP($B140,[1]data!$C$2:$C$201,[1]data!Q$2:Q$201)*1000000)</f>
        <v>2611.8086664773527</v>
      </c>
      <c r="K140">
        <f>[4]data!K140*1000000000/(_xlfn.XLOOKUP($B140,[1]data!$C$2:$C$201,[1]data!R$2:R$201)*1000000)</f>
        <v>2898.7272737495291</v>
      </c>
      <c r="L140">
        <f>[4]data!L140*1000000000/(_xlfn.XLOOKUP($B140,[1]data!$C$2:$C$201,[1]data!S$2:S$201)*1000000)</f>
        <v>3357.796881014312</v>
      </c>
      <c r="M140">
        <f>[4]data!M140*1000000000/(_xlfn.XLOOKUP($B140,[1]data!$C$2:$C$201,[1]data!T$2:T$201)*1000000)</f>
        <v>3287.6261709208675</v>
      </c>
      <c r="N140">
        <f>[4]data!N140*1000000000/(_xlfn.XLOOKUP($B140,[1]data!$C$2:$C$201,[1]data!U$2:U$201)*1000000)</f>
        <v>3468.7483285429958</v>
      </c>
      <c r="O140">
        <f>[4]data!O140*1000000000/(_xlfn.XLOOKUP($B140,[1]data!$C$2:$C$201,[1]data!V$2:V$201)*1000000)</f>
        <v>3753.6053753149704</v>
      </c>
      <c r="P140">
        <f>[4]data!P140*1000000000/(_xlfn.XLOOKUP($B140,[1]data!$C$2:$C$201,[1]data!W$2:W$201)*1000000)</f>
        <v>4344.1277447424009</v>
      </c>
      <c r="Q140">
        <f>[4]data!Q140*1000000000/(_xlfn.XLOOKUP($B140,[1]data!$C$2:$C$201,[1]data!X$2:X$201)*1000000)</f>
        <v>5158.8591426551129</v>
      </c>
      <c r="R140">
        <f>[4]data!R140*1000000000/(_xlfn.XLOOKUP($B140,[1]data!$C$2:$C$201,[1]data!Y$2:Y$201)*1000000)</f>
        <v>6242.5207269535449</v>
      </c>
      <c r="S140">
        <f>[4]data!S140*1000000000/(_xlfn.XLOOKUP($B140,[1]data!$C$2:$C$201,[1]data!Z$2:Z$201)*1000000)</f>
        <v>7652.0033266670634</v>
      </c>
      <c r="T140">
        <f>[4]data!T140*1000000000/(_xlfn.XLOOKUP($B140,[1]data!$C$2:$C$201,[1]data!AA$2:AA$201)*1000000)</f>
        <v>9465.306427727719</v>
      </c>
      <c r="U140">
        <f>[4]data!U140*1000000000/(_xlfn.XLOOKUP($B140,[1]data!$C$2:$C$201,[1]data!AB$2:AB$201)*1000000)</f>
        <v>11747.737170600933</v>
      </c>
      <c r="V140">
        <f>[4]data!V140*1000000000/(_xlfn.XLOOKUP($B140,[1]data!$C$2:$C$201,[1]data!AC$2:AC$201)*1000000)</f>
        <v>14589.266390406816</v>
      </c>
      <c r="W140">
        <f>[4]data!W140*1000000000/(_xlfn.XLOOKUP($B140,[1]data!$C$2:$C$201,[1]data!AD$2:AD$201)*1000000)</f>
        <v>17975.593081759311</v>
      </c>
      <c r="X140">
        <f>[4]data!X140*1000000000/(_xlfn.XLOOKUP($B140,[1]data!$C$2:$C$201,[1]data!AE$2:AE$201)*1000000)</f>
        <v>21924.874027818703</v>
      </c>
      <c r="Y140">
        <f>[4]data!Y140*1000000000/(_xlfn.XLOOKUP($B140,[1]data!$C$2:$C$201,[1]data!AF$2:AF$201)*1000000)</f>
        <v>26445.639381398898</v>
      </c>
      <c r="Z140">
        <f>[4]data!Z140*1000000000/(_xlfn.XLOOKUP($B140,[1]data!$C$2:$C$201,[1]data!AG$2:AG$201)*1000000)</f>
        <v>31601.258187803698</v>
      </c>
      <c r="AA140">
        <f>[4]data!AA140*1000000000/(_xlfn.XLOOKUP($B140,[1]data!$C$2:$C$201,[1]data!AH$2:AH$201)*1000000)</f>
        <v>37450.678205669406</v>
      </c>
      <c r="AB140">
        <f>[4]data!AB140*1000000000/(_xlfn.XLOOKUP($B140,[1]data!$C$2:$C$201,[1]data!AI$2:AI$201)*1000000)</f>
        <v>44059.821488881091</v>
      </c>
      <c r="AC140">
        <f>[4]data!AC140*1000000000/(_xlfn.XLOOKUP($B140,[1]data!$C$2:$C$201,[1]data!AJ$2:AJ$201)*1000000)</f>
        <v>51445.056618684444</v>
      </c>
    </row>
    <row r="141" spans="1:29" x14ac:dyDescent="0.25">
      <c r="A141" t="s">
        <v>232</v>
      </c>
      <c r="B141" t="s">
        <v>175</v>
      </c>
      <c r="C141" t="s">
        <v>233</v>
      </c>
      <c r="D141" t="s">
        <v>234</v>
      </c>
      <c r="E141">
        <f>[4]data!E141*1000000000/(_xlfn.XLOOKUP($B141,[1]data!$C$2:$C$201,[1]data!L$2:L$201)*1000000)</f>
        <v>12303.973064818638</v>
      </c>
      <c r="F141">
        <f>[4]data!F141*1000000000/(_xlfn.XLOOKUP($B141,[1]data!$C$2:$C$201,[1]data!M$2:M$201)*1000000)</f>
        <v>10992.206886744789</v>
      </c>
      <c r="G141">
        <f>[4]data!G141*1000000000/(_xlfn.XLOOKUP($B141,[1]data!$C$2:$C$201,[1]data!N$2:N$201)*1000000)</f>
        <v>11293.069315422872</v>
      </c>
      <c r="H141">
        <f>[4]data!H141*1000000000/(_xlfn.XLOOKUP($B141,[1]data!$C$2:$C$201,[1]data!O$2:O$201)*1000000)</f>
        <v>12446.68145478758</v>
      </c>
      <c r="I141">
        <f>[4]data!I141*1000000000/(_xlfn.XLOOKUP($B141,[1]data!$C$2:$C$201,[1]data!P$2:P$201)*1000000)</f>
        <v>15745.56809905583</v>
      </c>
      <c r="J141">
        <f>[4]data!J141*1000000000/(_xlfn.XLOOKUP($B141,[1]data!$C$2:$C$201,[1]data!Q$2:Q$201)*1000000)</f>
        <v>18051.258649815198</v>
      </c>
      <c r="K141">
        <f>[4]data!K141*1000000000/(_xlfn.XLOOKUP($B141,[1]data!$C$2:$C$201,[1]data!R$2:R$201)*1000000)</f>
        <v>22609.509099130541</v>
      </c>
      <c r="L141">
        <f>[4]data!L141*1000000000/(_xlfn.XLOOKUP($B141,[1]data!$C$2:$C$201,[1]data!S$2:S$201)*1000000)</f>
        <v>26360.49232522184</v>
      </c>
      <c r="M141">
        <f>[4]data!M141*1000000000/(_xlfn.XLOOKUP($B141,[1]data!$C$2:$C$201,[1]data!T$2:T$201)*1000000)</f>
        <v>31036.467862733163</v>
      </c>
      <c r="N141">
        <f>[4]data!N141*1000000000/(_xlfn.XLOOKUP($B141,[1]data!$C$2:$C$201,[1]data!U$2:U$201)*1000000)</f>
        <v>36599.890805822572</v>
      </c>
      <c r="O141">
        <f>[4]data!O141*1000000000/(_xlfn.XLOOKUP($B141,[1]data!$C$2:$C$201,[1]data!V$2:V$201)*1000000)</f>
        <v>43900.102357059994</v>
      </c>
      <c r="P141">
        <f>[4]data!P141*1000000000/(_xlfn.XLOOKUP($B141,[1]data!$C$2:$C$201,[1]data!W$2:W$201)*1000000)</f>
        <v>50052.855061554357</v>
      </c>
      <c r="Q141">
        <f>[4]data!Q141*1000000000/(_xlfn.XLOOKUP($B141,[1]data!$C$2:$C$201,[1]data!X$2:X$201)*1000000)</f>
        <v>55530.662701018919</v>
      </c>
      <c r="R141">
        <f>[4]data!R141*1000000000/(_xlfn.XLOOKUP($B141,[1]data!$C$2:$C$201,[1]data!Y$2:Y$201)*1000000)</f>
        <v>59713.477771150123</v>
      </c>
      <c r="S141">
        <f>[4]data!S141*1000000000/(_xlfn.XLOOKUP($B141,[1]data!$C$2:$C$201,[1]data!Z$2:Z$201)*1000000)</f>
        <v>63271.776148355842</v>
      </c>
      <c r="T141">
        <f>[4]data!T141*1000000000/(_xlfn.XLOOKUP($B141,[1]data!$C$2:$C$201,[1]data!AA$2:AA$201)*1000000)</f>
        <v>66506.081120269475</v>
      </c>
      <c r="U141">
        <f>[4]data!U141*1000000000/(_xlfn.XLOOKUP($B141,[1]data!$C$2:$C$201,[1]data!AB$2:AB$201)*1000000)</f>
        <v>69709.415647601811</v>
      </c>
      <c r="V141">
        <f>[4]data!V141*1000000000/(_xlfn.XLOOKUP($B141,[1]data!$C$2:$C$201,[1]data!AC$2:AC$201)*1000000)</f>
        <v>72954.541841359591</v>
      </c>
      <c r="W141">
        <f>[4]data!W141*1000000000/(_xlfn.XLOOKUP($B141,[1]data!$C$2:$C$201,[1]data!AD$2:AD$201)*1000000)</f>
        <v>76058.436414638069</v>
      </c>
      <c r="X141">
        <f>[4]data!X141*1000000000/(_xlfn.XLOOKUP($B141,[1]data!$C$2:$C$201,[1]data!AE$2:AE$201)*1000000)</f>
        <v>78888.90661416325</v>
      </c>
      <c r="Y141">
        <f>[4]data!Y141*1000000000/(_xlfn.XLOOKUP($B141,[1]data!$C$2:$C$201,[1]data!AF$2:AF$201)*1000000)</f>
        <v>81406.605254712631</v>
      </c>
      <c r="Z141">
        <f>[4]data!Z141*1000000000/(_xlfn.XLOOKUP($B141,[1]data!$C$2:$C$201,[1]data!AG$2:AG$201)*1000000)</f>
        <v>83716.563246021193</v>
      </c>
      <c r="AA141">
        <f>[4]data!AA141*1000000000/(_xlfn.XLOOKUP($B141,[1]data!$C$2:$C$201,[1]data!AH$2:AH$201)*1000000)</f>
        <v>85949.731388835222</v>
      </c>
      <c r="AB141">
        <f>[4]data!AB141*1000000000/(_xlfn.XLOOKUP($B141,[1]data!$C$2:$C$201,[1]data!AI$2:AI$201)*1000000)</f>
        <v>88173.801478578622</v>
      </c>
      <c r="AC141">
        <f>[4]data!AC141*1000000000/(_xlfn.XLOOKUP($B141,[1]data!$C$2:$C$201,[1]data!AJ$2:AJ$201)*1000000)</f>
        <v>90345.647120055262</v>
      </c>
    </row>
    <row r="142" spans="1:29" x14ac:dyDescent="0.25">
      <c r="A142" t="s">
        <v>232</v>
      </c>
      <c r="B142" t="s">
        <v>176</v>
      </c>
      <c r="C142" t="s">
        <v>233</v>
      </c>
      <c r="D142" t="s">
        <v>234</v>
      </c>
      <c r="E142">
        <f>[4]data!E142*1000000000/(_xlfn.XLOOKUP($B142,[1]data!$C$2:$C$201,[1]data!L$2:L$201)*1000000)</f>
        <v>16862.230325052962</v>
      </c>
      <c r="F142">
        <f>[4]data!F142*1000000000/(_xlfn.XLOOKUP($B142,[1]data!$C$2:$C$201,[1]data!M$2:M$201)*1000000)</f>
        <v>17109.523264714935</v>
      </c>
      <c r="G142">
        <f>[4]data!G142*1000000000/(_xlfn.XLOOKUP($B142,[1]data!$C$2:$C$201,[1]data!N$2:N$201)*1000000)</f>
        <v>21660.042379934152</v>
      </c>
      <c r="H142">
        <f>[4]data!H142*1000000000/(_xlfn.XLOOKUP($B142,[1]data!$C$2:$C$201,[1]data!O$2:O$201)*1000000)</f>
        <v>25235.23967243106</v>
      </c>
      <c r="I142">
        <f>[4]data!I142*1000000000/(_xlfn.XLOOKUP($B142,[1]data!$C$2:$C$201,[1]data!P$2:P$201)*1000000)</f>
        <v>30030.970443867838</v>
      </c>
      <c r="J142">
        <f>[4]data!J142*1000000000/(_xlfn.XLOOKUP($B142,[1]data!$C$2:$C$201,[1]data!Q$2:Q$201)*1000000)</f>
        <v>34454.933348023922</v>
      </c>
      <c r="K142">
        <f>[4]data!K142*1000000000/(_xlfn.XLOOKUP($B142,[1]data!$C$2:$C$201,[1]data!R$2:R$201)*1000000)</f>
        <v>32888.910339169153</v>
      </c>
      <c r="L142">
        <f>[4]data!L142*1000000000/(_xlfn.XLOOKUP($B142,[1]data!$C$2:$C$201,[1]data!S$2:S$201)*1000000)</f>
        <v>33770.262696010395</v>
      </c>
      <c r="M142">
        <f>[4]data!M142*1000000000/(_xlfn.XLOOKUP($B142,[1]data!$C$2:$C$201,[1]data!T$2:T$201)*1000000)</f>
        <v>32401.190286380279</v>
      </c>
      <c r="N142">
        <f>[4]data!N142*1000000000/(_xlfn.XLOOKUP($B142,[1]data!$C$2:$C$201,[1]data!U$2:U$201)*1000000)</f>
        <v>34628.570178694696</v>
      </c>
      <c r="O142">
        <f>[4]data!O142*1000000000/(_xlfn.XLOOKUP($B142,[1]data!$C$2:$C$201,[1]data!V$2:V$201)*1000000)</f>
        <v>38240.652563779076</v>
      </c>
      <c r="P142">
        <f>[4]data!P142*1000000000/(_xlfn.XLOOKUP($B142,[1]data!$C$2:$C$201,[1]data!W$2:W$201)*1000000)</f>
        <v>41775.167242393749</v>
      </c>
      <c r="Q142">
        <f>[4]data!Q142*1000000000/(_xlfn.XLOOKUP($B142,[1]data!$C$2:$C$201,[1]data!X$2:X$201)*1000000)</f>
        <v>45074.076257059649</v>
      </c>
      <c r="R142">
        <f>[4]data!R142*1000000000/(_xlfn.XLOOKUP($B142,[1]data!$C$2:$C$201,[1]data!Y$2:Y$201)*1000000)</f>
        <v>48331.504905649541</v>
      </c>
      <c r="S142">
        <f>[4]data!S142*1000000000/(_xlfn.XLOOKUP($B142,[1]data!$C$2:$C$201,[1]data!Z$2:Z$201)*1000000)</f>
        <v>51445.576803613105</v>
      </c>
      <c r="T142">
        <f>[4]data!T142*1000000000/(_xlfn.XLOOKUP($B142,[1]data!$C$2:$C$201,[1]data!AA$2:AA$201)*1000000)</f>
        <v>54626.810237327423</v>
      </c>
      <c r="U142">
        <f>[4]data!U142*1000000000/(_xlfn.XLOOKUP($B142,[1]data!$C$2:$C$201,[1]data!AB$2:AB$201)*1000000)</f>
        <v>57831.51900482738</v>
      </c>
      <c r="V142">
        <f>[4]data!V142*1000000000/(_xlfn.XLOOKUP($B142,[1]data!$C$2:$C$201,[1]data!AC$2:AC$201)*1000000)</f>
        <v>61082.140398014264</v>
      </c>
      <c r="W142">
        <f>[4]data!W142*1000000000/(_xlfn.XLOOKUP($B142,[1]data!$C$2:$C$201,[1]data!AD$2:AD$201)*1000000)</f>
        <v>64267.176239899083</v>
      </c>
      <c r="X142">
        <f>[4]data!X142*1000000000/(_xlfn.XLOOKUP($B142,[1]data!$C$2:$C$201,[1]data!AE$2:AE$201)*1000000)</f>
        <v>67315.032409678999</v>
      </c>
      <c r="Y142">
        <f>[4]data!Y142*1000000000/(_xlfn.XLOOKUP($B142,[1]data!$C$2:$C$201,[1]data!AF$2:AF$201)*1000000)</f>
        <v>70256.567059866371</v>
      </c>
      <c r="Z142">
        <f>[4]data!Z142*1000000000/(_xlfn.XLOOKUP($B142,[1]data!$C$2:$C$201,[1]data!AG$2:AG$201)*1000000)</f>
        <v>73244.729097881878</v>
      </c>
      <c r="AA142">
        <f>[4]data!AA142*1000000000/(_xlfn.XLOOKUP($B142,[1]data!$C$2:$C$201,[1]data!AH$2:AH$201)*1000000)</f>
        <v>76389.04585173566</v>
      </c>
      <c r="AB142">
        <f>[4]data!AB142*1000000000/(_xlfn.XLOOKUP($B142,[1]data!$C$2:$C$201,[1]data!AI$2:AI$201)*1000000)</f>
        <v>79755.304957543456</v>
      </c>
      <c r="AC142">
        <f>[4]data!AC142*1000000000/(_xlfn.XLOOKUP($B142,[1]data!$C$2:$C$201,[1]data!AJ$2:AJ$201)*1000000)</f>
        <v>83376.1833821904</v>
      </c>
    </row>
    <row r="143" spans="1:29" x14ac:dyDescent="0.25">
      <c r="A143" t="s">
        <v>232</v>
      </c>
      <c r="B143" t="s">
        <v>177</v>
      </c>
      <c r="C143" t="s">
        <v>233</v>
      </c>
      <c r="D143" t="s">
        <v>234</v>
      </c>
      <c r="E143" t="e">
        <f>[4]data!E143*1000000000/(_xlfn.XLOOKUP($B143,[1]data!$C$2:$C$201,[1]data!L$2:L$201)*1000000)</f>
        <v>#VALUE!</v>
      </c>
      <c r="F143" t="e">
        <f>[4]data!F143*1000000000/(_xlfn.XLOOKUP($B143,[1]data!$C$2:$C$201,[1]data!M$2:M$201)*1000000)</f>
        <v>#VALUE!</v>
      </c>
      <c r="G143" t="e">
        <f>[4]data!G143*1000000000/(_xlfn.XLOOKUP($B143,[1]data!$C$2:$C$201,[1]data!N$2:N$201)*1000000)</f>
        <v>#VALUE!</v>
      </c>
      <c r="H143" t="e">
        <f>[4]data!H143*1000000000/(_xlfn.XLOOKUP($B143,[1]data!$C$2:$C$201,[1]data!O$2:O$201)*1000000)</f>
        <v>#VALUE!</v>
      </c>
      <c r="I143" t="e">
        <f>[4]data!I143*1000000000/(_xlfn.XLOOKUP($B143,[1]data!$C$2:$C$201,[1]data!P$2:P$201)*1000000)</f>
        <v>#VALUE!</v>
      </c>
      <c r="J143" t="e">
        <f>[4]data!J143*1000000000/(_xlfn.XLOOKUP($B143,[1]data!$C$2:$C$201,[1]data!Q$2:Q$201)*1000000)</f>
        <v>#VALUE!</v>
      </c>
      <c r="K143" t="e">
        <f>[4]data!K143*1000000000/(_xlfn.XLOOKUP($B143,[1]data!$C$2:$C$201,[1]data!R$2:R$201)*1000000)</f>
        <v>#VALUE!</v>
      </c>
      <c r="L143" t="e">
        <f>[4]data!L143*1000000000/(_xlfn.XLOOKUP($B143,[1]data!$C$2:$C$201,[1]data!S$2:S$201)*1000000)</f>
        <v>#VALUE!</v>
      </c>
      <c r="M143">
        <f>[4]data!M143*1000000000/(_xlfn.XLOOKUP($B143,[1]data!$C$2:$C$201,[1]data!T$2:T$201)*1000000)</f>
        <v>1828.596629372882</v>
      </c>
      <c r="N143">
        <f>[4]data!N143*1000000000/(_xlfn.XLOOKUP($B143,[1]data!$C$2:$C$201,[1]data!U$2:U$201)*1000000)</f>
        <v>2227.8123918271494</v>
      </c>
      <c r="O143">
        <f>[4]data!O143*1000000000/(_xlfn.XLOOKUP($B143,[1]data!$C$2:$C$201,[1]data!V$2:V$201)*1000000)</f>
        <v>2889.8904058216549</v>
      </c>
      <c r="P143">
        <f>[4]data!P143*1000000000/(_xlfn.XLOOKUP($B143,[1]data!$C$2:$C$201,[1]data!W$2:W$201)*1000000)</f>
        <v>3806.3834216550722</v>
      </c>
      <c r="Q143">
        <f>[4]data!Q143*1000000000/(_xlfn.XLOOKUP($B143,[1]data!$C$2:$C$201,[1]data!X$2:X$201)*1000000)</f>
        <v>5031.2563488439991</v>
      </c>
      <c r="R143">
        <f>[4]data!R143*1000000000/(_xlfn.XLOOKUP($B143,[1]data!$C$2:$C$201,[1]data!Y$2:Y$201)*1000000)</f>
        <v>6589.9166150285528</v>
      </c>
      <c r="S143">
        <f>[4]data!S143*1000000000/(_xlfn.XLOOKUP($B143,[1]data!$C$2:$C$201,[1]data!Z$2:Z$201)*1000000)</f>
        <v>8517.2314384803867</v>
      </c>
      <c r="T143">
        <f>[4]data!T143*1000000000/(_xlfn.XLOOKUP($B143,[1]data!$C$2:$C$201,[1]data!AA$2:AA$201)*1000000)</f>
        <v>10875.519995903156</v>
      </c>
      <c r="U143">
        <f>[4]data!U143*1000000000/(_xlfn.XLOOKUP($B143,[1]data!$C$2:$C$201,[1]data!AB$2:AB$201)*1000000)</f>
        <v>13797.434953551841</v>
      </c>
      <c r="V143">
        <f>[4]data!V143*1000000000/(_xlfn.XLOOKUP($B143,[1]data!$C$2:$C$201,[1]data!AC$2:AC$201)*1000000)</f>
        <v>17426.802467601658</v>
      </c>
      <c r="W143">
        <f>[4]data!W143*1000000000/(_xlfn.XLOOKUP($B143,[1]data!$C$2:$C$201,[1]data!AD$2:AD$201)*1000000)</f>
        <v>21815.574007444993</v>
      </c>
      <c r="X143">
        <f>[4]data!X143*1000000000/(_xlfn.XLOOKUP($B143,[1]data!$C$2:$C$201,[1]data!AE$2:AE$201)*1000000)</f>
        <v>26866.058152138205</v>
      </c>
      <c r="Y143">
        <f>[4]data!Y143*1000000000/(_xlfn.XLOOKUP($B143,[1]data!$C$2:$C$201,[1]data!AF$2:AF$201)*1000000)</f>
        <v>32566.827466575847</v>
      </c>
      <c r="Z143">
        <f>[4]data!Z143*1000000000/(_xlfn.XLOOKUP($B143,[1]data!$C$2:$C$201,[1]data!AG$2:AG$201)*1000000)</f>
        <v>38919.744313904674</v>
      </c>
      <c r="AA143">
        <f>[4]data!AA143*1000000000/(_xlfn.XLOOKUP($B143,[1]data!$C$2:$C$201,[1]data!AH$2:AH$201)*1000000)</f>
        <v>46029.370232223831</v>
      </c>
      <c r="AB143">
        <f>[4]data!AB143*1000000000/(_xlfn.XLOOKUP($B143,[1]data!$C$2:$C$201,[1]data!AI$2:AI$201)*1000000)</f>
        <v>54026.621860171872</v>
      </c>
      <c r="AC143">
        <f>[4]data!AC143*1000000000/(_xlfn.XLOOKUP($B143,[1]data!$C$2:$C$201,[1]data!AJ$2:AJ$201)*1000000)</f>
        <v>62914.513410645937</v>
      </c>
    </row>
    <row r="144" spans="1:29" x14ac:dyDescent="0.25">
      <c r="A144" t="s">
        <v>232</v>
      </c>
      <c r="B144" t="s">
        <v>178</v>
      </c>
      <c r="C144" t="s">
        <v>233</v>
      </c>
      <c r="D144" t="s">
        <v>234</v>
      </c>
      <c r="E144">
        <f>[4]data!E144*1000000000/(_xlfn.XLOOKUP($B144,[1]data!$C$2:$C$201,[1]data!L$2:L$201)*1000000)</f>
        <v>17535.284815276922</v>
      </c>
      <c r="F144">
        <f>[4]data!F144*1000000000/(_xlfn.XLOOKUP($B144,[1]data!$C$2:$C$201,[1]data!M$2:M$201)*1000000)</f>
        <v>17867.917186278813</v>
      </c>
      <c r="G144">
        <f>[4]data!G144*1000000000/(_xlfn.XLOOKUP($B144,[1]data!$C$2:$C$201,[1]data!N$2:N$201)*1000000)</f>
        <v>23476.791299541277</v>
      </c>
      <c r="H144">
        <f>[4]data!H144*1000000000/(_xlfn.XLOOKUP($B144,[1]data!$C$2:$C$201,[1]data!O$2:O$201)*1000000)</f>
        <v>25502.819151735101</v>
      </c>
      <c r="I144">
        <f>[4]data!I144*1000000000/(_xlfn.XLOOKUP($B144,[1]data!$C$2:$C$201,[1]data!P$2:P$201)*1000000)</f>
        <v>29038.038243661955</v>
      </c>
      <c r="J144">
        <f>[4]data!J144*1000000000/(_xlfn.XLOOKUP($B144,[1]data!$C$2:$C$201,[1]data!Q$2:Q$201)*1000000)</f>
        <v>29590.798158878482</v>
      </c>
      <c r="K144">
        <f>[4]data!K144*1000000000/(_xlfn.XLOOKUP($B144,[1]data!$C$2:$C$201,[1]data!R$2:R$201)*1000000)</f>
        <v>30240.278333239276</v>
      </c>
      <c r="L144">
        <f>[4]data!L144*1000000000/(_xlfn.XLOOKUP($B144,[1]data!$C$2:$C$201,[1]data!S$2:S$201)*1000000)</f>
        <v>29591.603014466487</v>
      </c>
      <c r="M144">
        <f>[4]data!M144*1000000000/(_xlfn.XLOOKUP($B144,[1]data!$C$2:$C$201,[1]data!T$2:T$201)*1000000)</f>
        <v>30507.260301866281</v>
      </c>
      <c r="N144">
        <f>[4]data!N144*1000000000/(_xlfn.XLOOKUP($B144,[1]data!$C$2:$C$201,[1]data!U$2:U$201)*1000000)</f>
        <v>36723.294623819595</v>
      </c>
      <c r="O144">
        <f>[4]data!O144*1000000000/(_xlfn.XLOOKUP($B144,[1]data!$C$2:$C$201,[1]data!V$2:V$201)*1000000)</f>
        <v>41064.133173304544</v>
      </c>
      <c r="P144">
        <f>[4]data!P144*1000000000/(_xlfn.XLOOKUP($B144,[1]data!$C$2:$C$201,[1]data!W$2:W$201)*1000000)</f>
        <v>45280.628835016629</v>
      </c>
      <c r="Q144">
        <f>[4]data!Q144*1000000000/(_xlfn.XLOOKUP($B144,[1]data!$C$2:$C$201,[1]data!X$2:X$201)*1000000)</f>
        <v>49698.464750932268</v>
      </c>
      <c r="R144">
        <f>[4]data!R144*1000000000/(_xlfn.XLOOKUP($B144,[1]data!$C$2:$C$201,[1]data!Y$2:Y$201)*1000000)</f>
        <v>54069.642252914586</v>
      </c>
      <c r="S144">
        <f>[4]data!S144*1000000000/(_xlfn.XLOOKUP($B144,[1]data!$C$2:$C$201,[1]data!Z$2:Z$201)*1000000)</f>
        <v>58470.202580612138</v>
      </c>
      <c r="T144">
        <f>[4]data!T144*1000000000/(_xlfn.XLOOKUP($B144,[1]data!$C$2:$C$201,[1]data!AA$2:AA$201)*1000000)</f>
        <v>62912.355957482403</v>
      </c>
      <c r="U144">
        <f>[4]data!U144*1000000000/(_xlfn.XLOOKUP($B144,[1]data!$C$2:$C$201,[1]data!AB$2:AB$201)*1000000)</f>
        <v>67316.727278131177</v>
      </c>
      <c r="V144">
        <f>[4]data!V144*1000000000/(_xlfn.XLOOKUP($B144,[1]data!$C$2:$C$201,[1]data!AC$2:AC$201)*1000000)</f>
        <v>71669.006607251868</v>
      </c>
      <c r="W144">
        <f>[4]data!W144*1000000000/(_xlfn.XLOOKUP($B144,[1]data!$C$2:$C$201,[1]data!AD$2:AD$201)*1000000)</f>
        <v>75717.907985580736</v>
      </c>
      <c r="X144">
        <f>[4]data!X144*1000000000/(_xlfn.XLOOKUP($B144,[1]data!$C$2:$C$201,[1]data!AE$2:AE$201)*1000000)</f>
        <v>79405.473003852196</v>
      </c>
      <c r="Y144">
        <f>[4]data!Y144*1000000000/(_xlfn.XLOOKUP($B144,[1]data!$C$2:$C$201,[1]data!AF$2:AF$201)*1000000)</f>
        <v>82689.4538757923</v>
      </c>
      <c r="Z144">
        <f>[4]data!Z144*1000000000/(_xlfn.XLOOKUP($B144,[1]data!$C$2:$C$201,[1]data!AG$2:AG$201)*1000000)</f>
        <v>85651.896723438913</v>
      </c>
      <c r="AA144">
        <f>[4]data!AA144*1000000000/(_xlfn.XLOOKUP($B144,[1]data!$C$2:$C$201,[1]data!AH$2:AH$201)*1000000)</f>
        <v>88392.385866177123</v>
      </c>
      <c r="AB144">
        <f>[4]data!AB144*1000000000/(_xlfn.XLOOKUP($B144,[1]data!$C$2:$C$201,[1]data!AI$2:AI$201)*1000000)</f>
        <v>90953.094846146589</v>
      </c>
      <c r="AC144">
        <f>[4]data!AC144*1000000000/(_xlfn.XLOOKUP($B144,[1]data!$C$2:$C$201,[1]data!AJ$2:AJ$201)*1000000)</f>
        <v>93307.293918669297</v>
      </c>
    </row>
    <row r="145" spans="1:29" x14ac:dyDescent="0.25">
      <c r="A145" t="s">
        <v>232</v>
      </c>
      <c r="B145" t="s">
        <v>179</v>
      </c>
      <c r="C145" t="s">
        <v>233</v>
      </c>
      <c r="D145" t="s">
        <v>234</v>
      </c>
      <c r="E145">
        <f>[4]data!E145*1000000000/(_xlfn.XLOOKUP($B145,[1]data!$C$2:$C$201,[1]data!L$2:L$201)*1000000)</f>
        <v>8684.7052294408149</v>
      </c>
      <c r="F145">
        <f>[4]data!F145*1000000000/(_xlfn.XLOOKUP($B145,[1]data!$C$2:$C$201,[1]data!M$2:M$201)*1000000)</f>
        <v>8436.5556442317229</v>
      </c>
      <c r="G145">
        <f>[4]data!G145*1000000000/(_xlfn.XLOOKUP($B145,[1]data!$C$2:$C$201,[1]data!N$2:N$201)*1000000)</f>
        <v>8938.4936414190324</v>
      </c>
      <c r="H145">
        <f>[4]data!H145*1000000000/(_xlfn.XLOOKUP($B145,[1]data!$C$2:$C$201,[1]data!O$2:O$201)*1000000)</f>
        <v>9775.9746204061412</v>
      </c>
      <c r="I145">
        <f>[4]data!I145*1000000000/(_xlfn.XLOOKUP($B145,[1]data!$C$2:$C$201,[1]data!P$2:P$201)*1000000)</f>
        <v>8944.8035415181457</v>
      </c>
      <c r="J145">
        <f>[4]data!J145*1000000000/(_xlfn.XLOOKUP($B145,[1]data!$C$2:$C$201,[1]data!Q$2:Q$201)*1000000)</f>
        <v>9162.9670955250294</v>
      </c>
      <c r="K145">
        <f>[4]data!K145*1000000000/(_xlfn.XLOOKUP($B145,[1]data!$C$2:$C$201,[1]data!R$2:R$201)*1000000)</f>
        <v>11352.730450892705</v>
      </c>
      <c r="L145">
        <f>[4]data!L145*1000000000/(_xlfn.XLOOKUP($B145,[1]data!$C$2:$C$201,[1]data!S$2:S$201)*1000000)</f>
        <v>12898.1950117667</v>
      </c>
      <c r="M145">
        <f>[4]data!M145*1000000000/(_xlfn.XLOOKUP($B145,[1]data!$C$2:$C$201,[1]data!T$2:T$201)*1000000)</f>
        <v>13409.830708366728</v>
      </c>
      <c r="N145">
        <f>[4]data!N145*1000000000/(_xlfn.XLOOKUP($B145,[1]data!$C$2:$C$201,[1]data!U$2:U$201)*1000000)</f>
        <v>14749.532137728942</v>
      </c>
      <c r="O145">
        <f>[4]data!O145*1000000000/(_xlfn.XLOOKUP($B145,[1]data!$C$2:$C$201,[1]data!V$2:V$201)*1000000)</f>
        <v>16538.216742829602</v>
      </c>
      <c r="P145">
        <f>[4]data!P145*1000000000/(_xlfn.XLOOKUP($B145,[1]data!$C$2:$C$201,[1]data!W$2:W$201)*1000000)</f>
        <v>18596.711724190365</v>
      </c>
      <c r="Q145">
        <f>[4]data!Q145*1000000000/(_xlfn.XLOOKUP($B145,[1]data!$C$2:$C$201,[1]data!X$2:X$201)*1000000)</f>
        <v>20779.835262966157</v>
      </c>
      <c r="R145">
        <f>[4]data!R145*1000000000/(_xlfn.XLOOKUP($B145,[1]data!$C$2:$C$201,[1]data!Y$2:Y$201)*1000000)</f>
        <v>23213.502532400551</v>
      </c>
      <c r="S145">
        <f>[4]data!S145*1000000000/(_xlfn.XLOOKUP($B145,[1]data!$C$2:$C$201,[1]data!Z$2:Z$201)*1000000)</f>
        <v>25914.577735036255</v>
      </c>
      <c r="T145">
        <f>[4]data!T145*1000000000/(_xlfn.XLOOKUP($B145,[1]data!$C$2:$C$201,[1]data!AA$2:AA$201)*1000000)</f>
        <v>28983.528832035372</v>
      </c>
      <c r="U145">
        <f>[4]data!U145*1000000000/(_xlfn.XLOOKUP($B145,[1]data!$C$2:$C$201,[1]data!AB$2:AB$201)*1000000)</f>
        <v>32454.888236965933</v>
      </c>
      <c r="V145">
        <f>[4]data!V145*1000000000/(_xlfn.XLOOKUP($B145,[1]data!$C$2:$C$201,[1]data!AC$2:AC$201)*1000000)</f>
        <v>36355.871050878093</v>
      </c>
      <c r="W145">
        <f>[4]data!W145*1000000000/(_xlfn.XLOOKUP($B145,[1]data!$C$2:$C$201,[1]data!AD$2:AD$201)*1000000)</f>
        <v>40534.667966552253</v>
      </c>
      <c r="X145">
        <f>[4]data!X145*1000000000/(_xlfn.XLOOKUP($B145,[1]data!$C$2:$C$201,[1]data!AE$2:AE$201)*1000000)</f>
        <v>45019.645464645262</v>
      </c>
      <c r="Y145">
        <f>[4]data!Y145*1000000000/(_xlfn.XLOOKUP($B145,[1]data!$C$2:$C$201,[1]data!AF$2:AF$201)*1000000)</f>
        <v>49786.794837047455</v>
      </c>
      <c r="Z145">
        <f>[4]data!Z145*1000000000/(_xlfn.XLOOKUP($B145,[1]data!$C$2:$C$201,[1]data!AG$2:AG$201)*1000000)</f>
        <v>54867.003723525653</v>
      </c>
      <c r="AA145">
        <f>[4]data!AA145*1000000000/(_xlfn.XLOOKUP($B145,[1]data!$C$2:$C$201,[1]data!AH$2:AH$201)*1000000)</f>
        <v>60299.207286492878</v>
      </c>
      <c r="AB145">
        <f>[4]data!AB145*1000000000/(_xlfn.XLOOKUP($B145,[1]data!$C$2:$C$201,[1]data!AI$2:AI$201)*1000000)</f>
        <v>66058.452088170656</v>
      </c>
      <c r="AC145">
        <f>[4]data!AC145*1000000000/(_xlfn.XLOOKUP($B145,[1]data!$C$2:$C$201,[1]data!AJ$2:AJ$201)*1000000)</f>
        <v>72163.553019942832</v>
      </c>
    </row>
    <row r="146" spans="1:29" x14ac:dyDescent="0.25">
      <c r="A146" t="s">
        <v>232</v>
      </c>
      <c r="B146" t="s">
        <v>181</v>
      </c>
      <c r="C146" t="s">
        <v>233</v>
      </c>
      <c r="D146" t="s">
        <v>234</v>
      </c>
      <c r="E146">
        <f>[4]data!E146*1000000000/(_xlfn.XLOOKUP($B146,[1]data!$C$2:$C$201,[1]data!L$2:L$201)*1000000)</f>
        <v>21814.969163597521</v>
      </c>
      <c r="F146">
        <f>[4]data!F146*1000000000/(_xlfn.XLOOKUP($B146,[1]data!$C$2:$C$201,[1]data!M$2:M$201)*1000000)</f>
        <v>20503.826599453805</v>
      </c>
      <c r="G146">
        <f>[4]data!G146*1000000000/(_xlfn.XLOOKUP($B146,[1]data!$C$2:$C$201,[1]data!N$2:N$201)*1000000)</f>
        <v>20625.215459455318</v>
      </c>
      <c r="H146">
        <f>[4]data!H146*1000000000/(_xlfn.XLOOKUP($B146,[1]data!$C$2:$C$201,[1]data!O$2:O$201)*1000000)</f>
        <v>18526.869123263928</v>
      </c>
      <c r="I146">
        <f>[4]data!I146*1000000000/(_xlfn.XLOOKUP($B146,[1]data!$C$2:$C$201,[1]data!P$2:P$201)*1000000)</f>
        <v>18150.178219094963</v>
      </c>
      <c r="J146">
        <f>[4]data!J146*1000000000/(_xlfn.XLOOKUP($B146,[1]data!$C$2:$C$201,[1]data!Q$2:Q$201)*1000000)</f>
        <v>17448.708467887282</v>
      </c>
      <c r="K146">
        <f>[4]data!K146*1000000000/(_xlfn.XLOOKUP($B146,[1]data!$C$2:$C$201,[1]data!R$2:R$201)*1000000)</f>
        <v>15902.070871066104</v>
      </c>
      <c r="L146">
        <f>[4]data!L146*1000000000/(_xlfn.XLOOKUP($B146,[1]data!$C$2:$C$201,[1]data!S$2:S$201)*1000000)</f>
        <v>15294.079223306311</v>
      </c>
      <c r="M146">
        <f>[4]data!M146*1000000000/(_xlfn.XLOOKUP($B146,[1]data!$C$2:$C$201,[1]data!T$2:T$201)*1000000)</f>
        <v>4567.720260215684</v>
      </c>
      <c r="N146">
        <f>[4]data!N146*1000000000/(_xlfn.XLOOKUP($B146,[1]data!$C$2:$C$201,[1]data!U$2:U$201)*1000000)</f>
        <v>5184.4296431539378</v>
      </c>
      <c r="O146">
        <f>[4]data!O146*1000000000/(_xlfn.XLOOKUP($B146,[1]data!$C$2:$C$201,[1]data!V$2:V$201)*1000000)</f>
        <v>5804.8223562736721</v>
      </c>
      <c r="P146">
        <f>[4]data!P146*1000000000/(_xlfn.XLOOKUP($B146,[1]data!$C$2:$C$201,[1]data!W$2:W$201)*1000000)</f>
        <v>6446.5429069045204</v>
      </c>
      <c r="Q146">
        <f>[4]data!Q146*1000000000/(_xlfn.XLOOKUP($B146,[1]data!$C$2:$C$201,[1]data!X$2:X$201)*1000000)</f>
        <v>7174.8488830486203</v>
      </c>
      <c r="R146">
        <f>[4]data!R146*1000000000/(_xlfn.XLOOKUP($B146,[1]data!$C$2:$C$201,[1]data!Y$2:Y$201)*1000000)</f>
        <v>8021.9068883881064</v>
      </c>
      <c r="S146">
        <f>[4]data!S146*1000000000/(_xlfn.XLOOKUP($B146,[1]data!$C$2:$C$201,[1]data!Z$2:Z$201)*1000000)</f>
        <v>9000.8508569344849</v>
      </c>
      <c r="T146">
        <f>[4]data!T146*1000000000/(_xlfn.XLOOKUP($B146,[1]data!$C$2:$C$201,[1]data!AA$2:AA$201)*1000000)</f>
        <v>10134.247768454898</v>
      </c>
      <c r="U146">
        <f>[4]data!U146*1000000000/(_xlfn.XLOOKUP($B146,[1]data!$C$2:$C$201,[1]data!AB$2:AB$201)*1000000)</f>
        <v>11441.229208324597</v>
      </c>
      <c r="V146">
        <f>[4]data!V146*1000000000/(_xlfn.XLOOKUP($B146,[1]data!$C$2:$C$201,[1]data!AC$2:AC$201)*1000000)</f>
        <v>12893.566087727524</v>
      </c>
      <c r="W146">
        <f>[4]data!W146*1000000000/(_xlfn.XLOOKUP($B146,[1]data!$C$2:$C$201,[1]data!AD$2:AD$201)*1000000)</f>
        <v>14456.440729353153</v>
      </c>
      <c r="X146">
        <f>[4]data!X146*1000000000/(_xlfn.XLOOKUP($B146,[1]data!$C$2:$C$201,[1]data!AE$2:AE$201)*1000000)</f>
        <v>16119.982413058744</v>
      </c>
      <c r="Y146">
        <f>[4]data!Y146*1000000000/(_xlfn.XLOOKUP($B146,[1]data!$C$2:$C$201,[1]data!AF$2:AF$201)*1000000)</f>
        <v>17896.123263529385</v>
      </c>
      <c r="Z146">
        <f>[4]data!Z146*1000000000/(_xlfn.XLOOKUP($B146,[1]data!$C$2:$C$201,[1]data!AG$2:AG$201)*1000000)</f>
        <v>19784.956643617363</v>
      </c>
      <c r="AA146">
        <f>[4]data!AA146*1000000000/(_xlfn.XLOOKUP($B146,[1]data!$C$2:$C$201,[1]data!AH$2:AH$201)*1000000)</f>
        <v>21795.282815247359</v>
      </c>
      <c r="AB146">
        <f>[4]data!AB146*1000000000/(_xlfn.XLOOKUP($B146,[1]data!$C$2:$C$201,[1]data!AI$2:AI$201)*1000000)</f>
        <v>23918.34538227084</v>
      </c>
      <c r="AC146">
        <f>[4]data!AC146*1000000000/(_xlfn.XLOOKUP($B146,[1]data!$C$2:$C$201,[1]data!AJ$2:AJ$201)*1000000)</f>
        <v>26148.264249059812</v>
      </c>
    </row>
    <row r="147" spans="1:29" x14ac:dyDescent="0.25">
      <c r="A147" t="s">
        <v>232</v>
      </c>
      <c r="B147" t="s">
        <v>182</v>
      </c>
      <c r="C147" t="s">
        <v>233</v>
      </c>
      <c r="D147" t="s">
        <v>234</v>
      </c>
      <c r="E147">
        <f>[4]data!E147*1000000000/(_xlfn.XLOOKUP($B147,[1]data!$C$2:$C$201,[1]data!L$2:L$201)*1000000)</f>
        <v>128121.95430433522</v>
      </c>
      <c r="F147">
        <f>[4]data!F147*1000000000/(_xlfn.XLOOKUP($B147,[1]data!$C$2:$C$201,[1]data!M$2:M$201)*1000000)</f>
        <v>81254.008037076957</v>
      </c>
      <c r="G147">
        <f>[4]data!G147*1000000000/(_xlfn.XLOOKUP($B147,[1]data!$C$2:$C$201,[1]data!N$2:N$201)*1000000)</f>
        <v>65791.873333425436</v>
      </c>
      <c r="H147">
        <f>[4]data!H147*1000000000/(_xlfn.XLOOKUP($B147,[1]data!$C$2:$C$201,[1]data!O$2:O$201)*1000000)</f>
        <v>62010.973024156796</v>
      </c>
      <c r="I147">
        <f>[4]data!I147*1000000000/(_xlfn.XLOOKUP($B147,[1]data!$C$2:$C$201,[1]data!P$2:P$201)*1000000)</f>
        <v>81512.091137824988</v>
      </c>
      <c r="J147">
        <f>[4]data!J147*1000000000/(_xlfn.XLOOKUP($B147,[1]data!$C$2:$C$201,[1]data!Q$2:Q$201)*1000000)</f>
        <v>96965.185278027813</v>
      </c>
      <c r="K147">
        <f>[4]data!K147*1000000000/(_xlfn.XLOOKUP($B147,[1]data!$C$2:$C$201,[1]data!R$2:R$201)*1000000)</f>
        <v>108386.01637327921</v>
      </c>
      <c r="L147">
        <f>[4]data!L147*1000000000/(_xlfn.XLOOKUP($B147,[1]data!$C$2:$C$201,[1]data!S$2:S$201)*1000000)</f>
        <v>106371.97595539461</v>
      </c>
      <c r="M147">
        <f>[4]data!M147*1000000000/(_xlfn.XLOOKUP($B147,[1]data!$C$2:$C$201,[1]data!T$2:T$201)*1000000)</f>
        <v>86871.413677792312</v>
      </c>
      <c r="N147">
        <f>[4]data!N147*1000000000/(_xlfn.XLOOKUP($B147,[1]data!$C$2:$C$201,[1]data!U$2:U$201)*1000000)</f>
        <v>90921.748994758847</v>
      </c>
      <c r="O147">
        <f>[4]data!O147*1000000000/(_xlfn.XLOOKUP($B147,[1]data!$C$2:$C$201,[1]data!V$2:V$201)*1000000)</f>
        <v>99489.559873537044</v>
      </c>
      <c r="P147">
        <f>[4]data!P147*1000000000/(_xlfn.XLOOKUP($B147,[1]data!$C$2:$C$201,[1]data!W$2:W$201)*1000000)</f>
        <v>102252.10029164671</v>
      </c>
      <c r="Q147">
        <f>[4]data!Q147*1000000000/(_xlfn.XLOOKUP($B147,[1]data!$C$2:$C$201,[1]data!X$2:X$201)*1000000)</f>
        <v>102206.49142212899</v>
      </c>
      <c r="R147">
        <f>[4]data!R147*1000000000/(_xlfn.XLOOKUP($B147,[1]data!$C$2:$C$201,[1]data!Y$2:Y$201)*1000000)</f>
        <v>101390.82084844062</v>
      </c>
      <c r="S147">
        <f>[4]data!S147*1000000000/(_xlfn.XLOOKUP($B147,[1]data!$C$2:$C$201,[1]data!Z$2:Z$201)*1000000)</f>
        <v>101358.13071508704</v>
      </c>
      <c r="T147">
        <f>[4]data!T147*1000000000/(_xlfn.XLOOKUP($B147,[1]data!$C$2:$C$201,[1]data!AA$2:AA$201)*1000000)</f>
        <v>102247.30386283393</v>
      </c>
      <c r="U147">
        <f>[4]data!U147*1000000000/(_xlfn.XLOOKUP($B147,[1]data!$C$2:$C$201,[1]data!AB$2:AB$201)*1000000)</f>
        <v>104682.11502992823</v>
      </c>
      <c r="V147">
        <f>[4]data!V147*1000000000/(_xlfn.XLOOKUP($B147,[1]data!$C$2:$C$201,[1]data!AC$2:AC$201)*1000000)</f>
        <v>108660.55346158468</v>
      </c>
      <c r="W147">
        <f>[4]data!W147*1000000000/(_xlfn.XLOOKUP($B147,[1]data!$C$2:$C$201,[1]data!AD$2:AD$201)*1000000)</f>
        <v>112818.29412341662</v>
      </c>
      <c r="X147">
        <f>[4]data!X147*1000000000/(_xlfn.XLOOKUP($B147,[1]data!$C$2:$C$201,[1]data!AE$2:AE$201)*1000000)</f>
        <v>116933.7830861563</v>
      </c>
      <c r="Y147">
        <f>[4]data!Y147*1000000000/(_xlfn.XLOOKUP($B147,[1]data!$C$2:$C$201,[1]data!AF$2:AF$201)*1000000)</f>
        <v>121286.74371332512</v>
      </c>
      <c r="Z147">
        <f>[4]data!Z147*1000000000/(_xlfn.XLOOKUP($B147,[1]data!$C$2:$C$201,[1]data!AG$2:AG$201)*1000000)</f>
        <v>125978.65866151729</v>
      </c>
      <c r="AA147">
        <f>[4]data!AA147*1000000000/(_xlfn.XLOOKUP($B147,[1]data!$C$2:$C$201,[1]data!AH$2:AH$201)*1000000)</f>
        <v>130926.79725500067</v>
      </c>
      <c r="AB147">
        <f>[4]data!AB147*1000000000/(_xlfn.XLOOKUP($B147,[1]data!$C$2:$C$201,[1]data!AI$2:AI$201)*1000000)</f>
        <v>136011.38963874787</v>
      </c>
      <c r="AC147">
        <f>[4]data!AC147*1000000000/(_xlfn.XLOOKUP($B147,[1]data!$C$2:$C$201,[1]data!AJ$2:AJ$201)*1000000)</f>
        <v>141187.90103046992</v>
      </c>
    </row>
    <row r="148" spans="1:29" x14ac:dyDescent="0.25">
      <c r="A148" t="s">
        <v>232</v>
      </c>
      <c r="B148" t="s">
        <v>184</v>
      </c>
      <c r="C148" t="s">
        <v>233</v>
      </c>
      <c r="D148" t="s">
        <v>234</v>
      </c>
      <c r="E148">
        <f>[4]data!E148*1000000000/(_xlfn.XLOOKUP($B148,[1]data!$C$2:$C$201,[1]data!L$2:L$201)*1000000)</f>
        <v>13195.667264255801</v>
      </c>
      <c r="F148">
        <f>[4]data!F148*1000000000/(_xlfn.XLOOKUP($B148,[1]data!$C$2:$C$201,[1]data!M$2:M$201)*1000000)</f>
        <v>15109.193098693706</v>
      </c>
      <c r="G148">
        <f>[4]data!G148*1000000000/(_xlfn.XLOOKUP($B148,[1]data!$C$2:$C$201,[1]data!N$2:N$201)*1000000)</f>
        <v>13595.864085695292</v>
      </c>
      <c r="H148">
        <f>[4]data!H148*1000000000/(_xlfn.XLOOKUP($B148,[1]data!$C$2:$C$201,[1]data!O$2:O$201)*1000000)</f>
        <v>12236.756217366197</v>
      </c>
      <c r="I148">
        <f>[4]data!I148*1000000000/(_xlfn.XLOOKUP($B148,[1]data!$C$2:$C$201,[1]data!P$2:P$201)*1000000)</f>
        <v>11233.636201622809</v>
      </c>
      <c r="J148">
        <f>[4]data!J148*1000000000/(_xlfn.XLOOKUP($B148,[1]data!$C$2:$C$201,[1]data!Q$2:Q$201)*1000000)</f>
        <v>15330.353696325743</v>
      </c>
      <c r="K148">
        <f>[4]data!K148*1000000000/(_xlfn.XLOOKUP($B148,[1]data!$C$2:$C$201,[1]data!R$2:R$201)*1000000)</f>
        <v>18303.837557393243</v>
      </c>
      <c r="L148">
        <f>[4]data!L148*1000000000/(_xlfn.XLOOKUP($B148,[1]data!$C$2:$C$201,[1]data!S$2:S$201)*1000000)</f>
        <v>21467.733167663275</v>
      </c>
      <c r="M148">
        <f>[4]data!M148*1000000000/(_xlfn.XLOOKUP($B148,[1]data!$C$2:$C$201,[1]data!T$2:T$201)*1000000)</f>
        <v>25950.648354453435</v>
      </c>
      <c r="N148">
        <f>[4]data!N148*1000000000/(_xlfn.XLOOKUP($B148,[1]data!$C$2:$C$201,[1]data!U$2:U$201)*1000000)</f>
        <v>32073.493234655551</v>
      </c>
      <c r="O148">
        <f>[4]data!O148*1000000000/(_xlfn.XLOOKUP($B148,[1]data!$C$2:$C$201,[1]data!V$2:V$201)*1000000)</f>
        <v>37475.172813384808</v>
      </c>
      <c r="P148">
        <f>[4]data!P148*1000000000/(_xlfn.XLOOKUP($B148,[1]data!$C$2:$C$201,[1]data!W$2:W$201)*1000000)</f>
        <v>42609.344978841829</v>
      </c>
      <c r="Q148">
        <f>[4]data!Q148*1000000000/(_xlfn.XLOOKUP($B148,[1]data!$C$2:$C$201,[1]data!X$2:X$201)*1000000)</f>
        <v>47112.667930302749</v>
      </c>
      <c r="R148">
        <f>[4]data!R148*1000000000/(_xlfn.XLOOKUP($B148,[1]data!$C$2:$C$201,[1]data!Y$2:Y$201)*1000000)</f>
        <v>51003.444706110269</v>
      </c>
      <c r="S148">
        <f>[4]data!S148*1000000000/(_xlfn.XLOOKUP($B148,[1]data!$C$2:$C$201,[1]data!Z$2:Z$201)*1000000)</f>
        <v>54550.085362651967</v>
      </c>
      <c r="T148">
        <f>[4]data!T148*1000000000/(_xlfn.XLOOKUP($B148,[1]data!$C$2:$C$201,[1]data!AA$2:AA$201)*1000000)</f>
        <v>58096.922085021906</v>
      </c>
      <c r="U148">
        <f>[4]data!U148*1000000000/(_xlfn.XLOOKUP($B148,[1]data!$C$2:$C$201,[1]data!AB$2:AB$201)*1000000)</f>
        <v>61850.61067568115</v>
      </c>
      <c r="V148">
        <f>[4]data!V148*1000000000/(_xlfn.XLOOKUP($B148,[1]data!$C$2:$C$201,[1]data!AC$2:AC$201)*1000000)</f>
        <v>65864.867495156723</v>
      </c>
      <c r="W148">
        <f>[4]data!W148*1000000000/(_xlfn.XLOOKUP($B148,[1]data!$C$2:$C$201,[1]data!AD$2:AD$201)*1000000)</f>
        <v>69870.538137790063</v>
      </c>
      <c r="X148">
        <f>[4]data!X148*1000000000/(_xlfn.XLOOKUP($B148,[1]data!$C$2:$C$201,[1]data!AE$2:AE$201)*1000000)</f>
        <v>73817.787165049594</v>
      </c>
      <c r="Y148">
        <f>[4]data!Y148*1000000000/(_xlfn.XLOOKUP($B148,[1]data!$C$2:$C$201,[1]data!AF$2:AF$201)*1000000)</f>
        <v>77646.789302024656</v>
      </c>
      <c r="Z148">
        <f>[4]data!Z148*1000000000/(_xlfn.XLOOKUP($B148,[1]data!$C$2:$C$201,[1]data!AG$2:AG$201)*1000000)</f>
        <v>81395.248084230581</v>
      </c>
      <c r="AA148">
        <f>[4]data!AA148*1000000000/(_xlfn.XLOOKUP($B148,[1]data!$C$2:$C$201,[1]data!AH$2:AH$201)*1000000)</f>
        <v>85127.53475890914</v>
      </c>
      <c r="AB148">
        <f>[4]data!AB148*1000000000/(_xlfn.XLOOKUP($B148,[1]data!$C$2:$C$201,[1]data!AI$2:AI$201)*1000000)</f>
        <v>88911.939395731941</v>
      </c>
      <c r="AC148">
        <f>[4]data!AC148*1000000000/(_xlfn.XLOOKUP($B148,[1]data!$C$2:$C$201,[1]data!AJ$2:AJ$201)*1000000)</f>
        <v>92749.754877678744</v>
      </c>
    </row>
    <row r="149" spans="1:29" x14ac:dyDescent="0.25">
      <c r="A149" t="s">
        <v>232</v>
      </c>
      <c r="B149" t="s">
        <v>185</v>
      </c>
      <c r="C149" t="s">
        <v>233</v>
      </c>
      <c r="D149" t="s">
        <v>234</v>
      </c>
      <c r="E149" t="e">
        <f>[4]data!E149*1000000000/(_xlfn.XLOOKUP($B149,[1]data!$C$2:$C$201,[1]data!L$2:L$201)*1000000)</f>
        <v>#VALUE!</v>
      </c>
      <c r="F149" t="e">
        <f>[4]data!F149*1000000000/(_xlfn.XLOOKUP($B149,[1]data!$C$2:$C$201,[1]data!M$2:M$201)*1000000)</f>
        <v>#VALUE!</v>
      </c>
      <c r="G149">
        <f>[4]data!G149*1000000000/(_xlfn.XLOOKUP($B149,[1]data!$C$2:$C$201,[1]data!N$2:N$201)*1000000)</f>
        <v>21313.981002886772</v>
      </c>
      <c r="H149">
        <f>[4]data!H149*1000000000/(_xlfn.XLOOKUP($B149,[1]data!$C$2:$C$201,[1]data!O$2:O$201)*1000000)</f>
        <v>13147.704828553431</v>
      </c>
      <c r="I149">
        <f>[4]data!I149*1000000000/(_xlfn.XLOOKUP($B149,[1]data!$C$2:$C$201,[1]data!P$2:P$201)*1000000)</f>
        <v>13537.845316343703</v>
      </c>
      <c r="J149">
        <f>[4]data!J149*1000000000/(_xlfn.XLOOKUP($B149,[1]data!$C$2:$C$201,[1]data!Q$2:Q$201)*1000000)</f>
        <v>18607.54478012399</v>
      </c>
      <c r="K149">
        <f>[4]data!K149*1000000000/(_xlfn.XLOOKUP($B149,[1]data!$C$2:$C$201,[1]data!R$2:R$201)*1000000)</f>
        <v>22546.491194104288</v>
      </c>
      <c r="L149">
        <f>[4]data!L149*1000000000/(_xlfn.XLOOKUP($B149,[1]data!$C$2:$C$201,[1]data!S$2:S$201)*1000000)</f>
        <v>24372.158644893691</v>
      </c>
      <c r="M149">
        <f>[4]data!M149*1000000000/(_xlfn.XLOOKUP($B149,[1]data!$C$2:$C$201,[1]data!T$2:T$201)*1000000)</f>
        <v>25198.464224416322</v>
      </c>
      <c r="N149">
        <f>[4]data!N149*1000000000/(_xlfn.XLOOKUP($B149,[1]data!$C$2:$C$201,[1]data!U$2:U$201)*1000000)</f>
        <v>27036.022495238649</v>
      </c>
      <c r="O149">
        <f>[4]data!O149*1000000000/(_xlfn.XLOOKUP($B149,[1]data!$C$2:$C$201,[1]data!V$2:V$201)*1000000)</f>
        <v>29461.770747673163</v>
      </c>
      <c r="P149">
        <f>[4]data!P149*1000000000/(_xlfn.XLOOKUP($B149,[1]data!$C$2:$C$201,[1]data!W$2:W$201)*1000000)</f>
        <v>32743.058221388135</v>
      </c>
      <c r="Q149">
        <f>[4]data!Q149*1000000000/(_xlfn.XLOOKUP($B149,[1]data!$C$2:$C$201,[1]data!X$2:X$201)*1000000)</f>
        <v>36099.471245274864</v>
      </c>
      <c r="R149">
        <f>[4]data!R149*1000000000/(_xlfn.XLOOKUP($B149,[1]data!$C$2:$C$201,[1]data!Y$2:Y$201)*1000000)</f>
        <v>39418.931340248761</v>
      </c>
      <c r="S149">
        <f>[4]data!S149*1000000000/(_xlfn.XLOOKUP($B149,[1]data!$C$2:$C$201,[1]data!Z$2:Z$201)*1000000)</f>
        <v>42711.393717298182</v>
      </c>
      <c r="T149">
        <f>[4]data!T149*1000000000/(_xlfn.XLOOKUP($B149,[1]data!$C$2:$C$201,[1]data!AA$2:AA$201)*1000000)</f>
        <v>46408.076918572006</v>
      </c>
      <c r="U149">
        <f>[4]data!U149*1000000000/(_xlfn.XLOOKUP($B149,[1]data!$C$2:$C$201,[1]data!AB$2:AB$201)*1000000)</f>
        <v>50774.5203184395</v>
      </c>
      <c r="V149">
        <f>[4]data!V149*1000000000/(_xlfn.XLOOKUP($B149,[1]data!$C$2:$C$201,[1]data!AC$2:AC$201)*1000000)</f>
        <v>55572.041199042447</v>
      </c>
      <c r="W149">
        <f>[4]data!W149*1000000000/(_xlfn.XLOOKUP($B149,[1]data!$C$2:$C$201,[1]data!AD$2:AD$201)*1000000)</f>
        <v>60704.633585184616</v>
      </c>
      <c r="X149">
        <f>[4]data!X149*1000000000/(_xlfn.XLOOKUP($B149,[1]data!$C$2:$C$201,[1]data!AE$2:AE$201)*1000000)</f>
        <v>66007.36076604476</v>
      </c>
      <c r="Y149">
        <f>[4]data!Y149*1000000000/(_xlfn.XLOOKUP($B149,[1]data!$C$2:$C$201,[1]data!AF$2:AF$201)*1000000)</f>
        <v>71487.928594102268</v>
      </c>
      <c r="Z149">
        <f>[4]data!Z149*1000000000/(_xlfn.XLOOKUP($B149,[1]data!$C$2:$C$201,[1]data!AG$2:AG$201)*1000000)</f>
        <v>77297.423602125971</v>
      </c>
      <c r="AA149">
        <f>[4]data!AA149*1000000000/(_xlfn.XLOOKUP($B149,[1]data!$C$2:$C$201,[1]data!AH$2:AH$201)*1000000)</f>
        <v>83607.347093646982</v>
      </c>
      <c r="AB149">
        <f>[4]data!AB149*1000000000/(_xlfn.XLOOKUP($B149,[1]data!$C$2:$C$201,[1]data!AI$2:AI$201)*1000000)</f>
        <v>90467.334616602937</v>
      </c>
      <c r="AC149">
        <f>[4]data!AC149*1000000000/(_xlfn.XLOOKUP($B149,[1]data!$C$2:$C$201,[1]data!AJ$2:AJ$201)*1000000)</f>
        <v>97806.328048031268</v>
      </c>
    </row>
    <row r="150" spans="1:29" x14ac:dyDescent="0.25">
      <c r="A150" t="s">
        <v>232</v>
      </c>
      <c r="B150" t="s">
        <v>186</v>
      </c>
      <c r="C150" t="s">
        <v>233</v>
      </c>
      <c r="D150" t="s">
        <v>234</v>
      </c>
      <c r="E150">
        <f>[4]data!E150*1000000000/(_xlfn.XLOOKUP($B150,[1]data!$C$2:$C$201,[1]data!L$2:L$201)*1000000)</f>
        <v>1039.5488487901794</v>
      </c>
      <c r="F150">
        <f>[4]data!F150*1000000000/(_xlfn.XLOOKUP($B150,[1]data!$C$2:$C$201,[1]data!M$2:M$201)*1000000)</f>
        <v>1088.2439090244059</v>
      </c>
      <c r="G150">
        <f>[4]data!G150*1000000000/(_xlfn.XLOOKUP($B150,[1]data!$C$2:$C$201,[1]data!N$2:N$201)*1000000)</f>
        <v>925.57246101389603</v>
      </c>
      <c r="H150">
        <f>[4]data!H150*1000000000/(_xlfn.XLOOKUP($B150,[1]data!$C$2:$C$201,[1]data!O$2:O$201)*1000000)</f>
        <v>818.6412701042151</v>
      </c>
      <c r="I150">
        <f>[4]data!I150*1000000000/(_xlfn.XLOOKUP($B150,[1]data!$C$2:$C$201,[1]data!P$2:P$201)*1000000)</f>
        <v>854.7099986025105</v>
      </c>
      <c r="J150">
        <f>[4]data!J150*1000000000/(_xlfn.XLOOKUP($B150,[1]data!$C$2:$C$201,[1]data!Q$2:Q$201)*1000000)</f>
        <v>1139.885460209767</v>
      </c>
      <c r="K150">
        <f>[4]data!K150*1000000000/(_xlfn.XLOOKUP($B150,[1]data!$C$2:$C$201,[1]data!R$2:R$201)*1000000)</f>
        <v>1487.5339097761871</v>
      </c>
      <c r="L150">
        <f>[4]data!L150*1000000000/(_xlfn.XLOOKUP($B150,[1]data!$C$2:$C$201,[1]data!S$2:S$201)*1000000)</f>
        <v>1867.8349885825746</v>
      </c>
      <c r="M150">
        <f>[4]data!M150*1000000000/(_xlfn.XLOOKUP($B150,[1]data!$C$2:$C$201,[1]data!T$2:T$201)*1000000)</f>
        <v>2091.9081975978283</v>
      </c>
      <c r="N150">
        <f>[4]data!N150*1000000000/(_xlfn.XLOOKUP($B150,[1]data!$C$2:$C$201,[1]data!U$2:U$201)*1000000)</f>
        <v>2718.0059788842723</v>
      </c>
      <c r="O150">
        <f>[4]data!O150*1000000000/(_xlfn.XLOOKUP($B150,[1]data!$C$2:$C$201,[1]data!V$2:V$201)*1000000)</f>
        <v>3449.0969227571413</v>
      </c>
      <c r="P150">
        <f>[4]data!P150*1000000000/(_xlfn.XLOOKUP($B150,[1]data!$C$2:$C$201,[1]data!W$2:W$201)*1000000)</f>
        <v>4237.1947348415351</v>
      </c>
      <c r="Q150">
        <f>[4]data!Q150*1000000000/(_xlfn.XLOOKUP($B150,[1]data!$C$2:$C$201,[1]data!X$2:X$201)*1000000)</f>
        <v>5084.2488648356239</v>
      </c>
      <c r="R150">
        <f>[4]data!R150*1000000000/(_xlfn.XLOOKUP($B150,[1]data!$C$2:$C$201,[1]data!Y$2:Y$201)*1000000)</f>
        <v>6052.9836269996131</v>
      </c>
      <c r="S150">
        <f>[4]data!S150*1000000000/(_xlfn.XLOOKUP($B150,[1]data!$C$2:$C$201,[1]data!Z$2:Z$201)*1000000)</f>
        <v>7186.5314241398992</v>
      </c>
      <c r="T150">
        <f>[4]data!T150*1000000000/(_xlfn.XLOOKUP($B150,[1]data!$C$2:$C$201,[1]data!AA$2:AA$201)*1000000)</f>
        <v>8535.5881054968759</v>
      </c>
      <c r="U150">
        <f>[4]data!U150*1000000000/(_xlfn.XLOOKUP($B150,[1]data!$C$2:$C$201,[1]data!AB$2:AB$201)*1000000)</f>
        <v>10147.559836896102</v>
      </c>
      <c r="V150">
        <f>[4]data!V150*1000000000/(_xlfn.XLOOKUP($B150,[1]data!$C$2:$C$201,[1]data!AC$2:AC$201)*1000000)</f>
        <v>12071.918621159026</v>
      </c>
      <c r="W150">
        <f>[4]data!W150*1000000000/(_xlfn.XLOOKUP($B150,[1]data!$C$2:$C$201,[1]data!AD$2:AD$201)*1000000)</f>
        <v>14314.873455976605</v>
      </c>
      <c r="X150">
        <f>[4]data!X150*1000000000/(_xlfn.XLOOKUP($B150,[1]data!$C$2:$C$201,[1]data!AE$2:AE$201)*1000000)</f>
        <v>16941.98043571899</v>
      </c>
      <c r="Y150">
        <f>[4]data!Y150*1000000000/(_xlfn.XLOOKUP($B150,[1]data!$C$2:$C$201,[1]data!AF$2:AF$201)*1000000)</f>
        <v>19961.966678184184</v>
      </c>
      <c r="Z150">
        <f>[4]data!Z150*1000000000/(_xlfn.XLOOKUP($B150,[1]data!$C$2:$C$201,[1]data!AG$2:AG$201)*1000000)</f>
        <v>23365.866908001961</v>
      </c>
      <c r="AA150">
        <f>[4]data!AA150*1000000000/(_xlfn.XLOOKUP($B150,[1]data!$C$2:$C$201,[1]data!AH$2:AH$201)*1000000)</f>
        <v>27167.452550684546</v>
      </c>
      <c r="AB150">
        <f>[4]data!AB150*1000000000/(_xlfn.XLOOKUP($B150,[1]data!$C$2:$C$201,[1]data!AI$2:AI$201)*1000000)</f>
        <v>31408.250923159045</v>
      </c>
      <c r="AC150">
        <f>[4]data!AC150*1000000000/(_xlfn.XLOOKUP($B150,[1]data!$C$2:$C$201,[1]data!AJ$2:AJ$201)*1000000)</f>
        <v>36150.017166496837</v>
      </c>
    </row>
    <row r="151" spans="1:29" x14ac:dyDescent="0.25">
      <c r="A151" t="s">
        <v>232</v>
      </c>
      <c r="B151" t="s">
        <v>187</v>
      </c>
      <c r="C151" t="s">
        <v>233</v>
      </c>
      <c r="D151" t="s">
        <v>234</v>
      </c>
      <c r="E151">
        <f>[4]data!E151*1000000000/(_xlfn.XLOOKUP($B151,[1]data!$C$2:$C$201,[1]data!L$2:L$201)*1000000)</f>
        <v>59172.544095964076</v>
      </c>
      <c r="F151">
        <f>[4]data!F151*1000000000/(_xlfn.XLOOKUP($B151,[1]data!$C$2:$C$201,[1]data!M$2:M$201)*1000000)</f>
        <v>36917.104461438008</v>
      </c>
      <c r="G151">
        <f>[4]data!G151*1000000000/(_xlfn.XLOOKUP($B151,[1]data!$C$2:$C$201,[1]data!N$2:N$201)*1000000)</f>
        <v>35113.625250914811</v>
      </c>
      <c r="H151">
        <f>[4]data!H151*1000000000/(_xlfn.XLOOKUP($B151,[1]data!$C$2:$C$201,[1]data!O$2:O$201)*1000000)</f>
        <v>34030.236072913372</v>
      </c>
      <c r="I151">
        <f>[4]data!I151*1000000000/(_xlfn.XLOOKUP($B151,[1]data!$C$2:$C$201,[1]data!P$2:P$201)*1000000)</f>
        <v>33572.58846658637</v>
      </c>
      <c r="J151">
        <f>[4]data!J151*1000000000/(_xlfn.XLOOKUP($B151,[1]data!$C$2:$C$201,[1]data!Q$2:Q$201)*1000000)</f>
        <v>37942.196947552555</v>
      </c>
      <c r="K151">
        <f>[4]data!K151*1000000000/(_xlfn.XLOOKUP($B151,[1]data!$C$2:$C$201,[1]data!R$2:R$201)*1000000)</f>
        <v>41516.33844895682</v>
      </c>
      <c r="L151">
        <f>[4]data!L151*1000000000/(_xlfn.XLOOKUP($B151,[1]data!$C$2:$C$201,[1]data!S$2:S$201)*1000000)</f>
        <v>48648.219773659279</v>
      </c>
      <c r="M151">
        <f>[4]data!M151*1000000000/(_xlfn.XLOOKUP($B151,[1]data!$C$2:$C$201,[1]data!T$2:T$201)*1000000)</f>
        <v>44161.782197495115</v>
      </c>
      <c r="N151">
        <f>[4]data!N151*1000000000/(_xlfn.XLOOKUP($B151,[1]data!$C$2:$C$201,[1]data!U$2:U$201)*1000000)</f>
        <v>49508.637222284669</v>
      </c>
      <c r="O151">
        <f>[4]data!O151*1000000000/(_xlfn.XLOOKUP($B151,[1]data!$C$2:$C$201,[1]data!V$2:V$201)*1000000)</f>
        <v>57370.358773619053</v>
      </c>
      <c r="P151">
        <f>[4]data!P151*1000000000/(_xlfn.XLOOKUP($B151,[1]data!$C$2:$C$201,[1]data!W$2:W$201)*1000000)</f>
        <v>63637.671113507524</v>
      </c>
      <c r="Q151">
        <f>[4]data!Q151*1000000000/(_xlfn.XLOOKUP($B151,[1]data!$C$2:$C$201,[1]data!X$2:X$201)*1000000)</f>
        <v>68770.807730113724</v>
      </c>
      <c r="R151">
        <f>[4]data!R151*1000000000/(_xlfn.XLOOKUP($B151,[1]data!$C$2:$C$201,[1]data!Y$2:Y$201)*1000000)</f>
        <v>72959.575544136664</v>
      </c>
      <c r="S151">
        <f>[4]data!S151*1000000000/(_xlfn.XLOOKUP($B151,[1]data!$C$2:$C$201,[1]data!Z$2:Z$201)*1000000)</f>
        <v>76535.366932471647</v>
      </c>
      <c r="T151">
        <f>[4]data!T151*1000000000/(_xlfn.XLOOKUP($B151,[1]data!$C$2:$C$201,[1]data!AA$2:AA$201)*1000000)</f>
        <v>79832.949270684636</v>
      </c>
      <c r="U151">
        <f>[4]data!U151*1000000000/(_xlfn.XLOOKUP($B151,[1]data!$C$2:$C$201,[1]data!AB$2:AB$201)*1000000)</f>
        <v>82830.938648856012</v>
      </c>
      <c r="V151">
        <f>[4]data!V151*1000000000/(_xlfn.XLOOKUP($B151,[1]data!$C$2:$C$201,[1]data!AC$2:AC$201)*1000000)</f>
        <v>85798.307117817531</v>
      </c>
      <c r="W151">
        <f>[4]data!W151*1000000000/(_xlfn.XLOOKUP($B151,[1]data!$C$2:$C$201,[1]data!AD$2:AD$201)*1000000)</f>
        <v>88679.224646379589</v>
      </c>
      <c r="X151">
        <f>[4]data!X151*1000000000/(_xlfn.XLOOKUP($B151,[1]data!$C$2:$C$201,[1]data!AE$2:AE$201)*1000000)</f>
        <v>91383.6175829071</v>
      </c>
      <c r="Y151">
        <f>[4]data!Y151*1000000000/(_xlfn.XLOOKUP($B151,[1]data!$C$2:$C$201,[1]data!AF$2:AF$201)*1000000)</f>
        <v>93991.49729289618</v>
      </c>
      <c r="Z151">
        <f>[4]data!Z151*1000000000/(_xlfn.XLOOKUP($B151,[1]data!$C$2:$C$201,[1]data!AG$2:AG$201)*1000000)</f>
        <v>96516.73297157159</v>
      </c>
      <c r="AA151">
        <f>[4]data!AA151*1000000000/(_xlfn.XLOOKUP($B151,[1]data!$C$2:$C$201,[1]data!AH$2:AH$201)*1000000)</f>
        <v>99023.030731228951</v>
      </c>
      <c r="AB151">
        <f>[4]data!AB151*1000000000/(_xlfn.XLOOKUP($B151,[1]data!$C$2:$C$201,[1]data!AI$2:AI$201)*1000000)</f>
        <v>101588.65604884936</v>
      </c>
      <c r="AC151">
        <f>[4]data!AC151*1000000000/(_xlfn.XLOOKUP($B151,[1]data!$C$2:$C$201,[1]data!AJ$2:AJ$201)*1000000)</f>
        <v>104196.10312551215</v>
      </c>
    </row>
    <row r="152" spans="1:29" x14ac:dyDescent="0.25">
      <c r="A152" t="s">
        <v>232</v>
      </c>
      <c r="B152" t="s">
        <v>188</v>
      </c>
      <c r="C152" t="s">
        <v>233</v>
      </c>
      <c r="D152" t="s">
        <v>234</v>
      </c>
      <c r="E152">
        <f>[4]data!E152*1000000000/(_xlfn.XLOOKUP($B152,[1]data!$C$2:$C$201,[1]data!L$2:L$201)*1000000)</f>
        <v>3314.7363508882008</v>
      </c>
      <c r="F152">
        <f>[4]data!F152*1000000000/(_xlfn.XLOOKUP($B152,[1]data!$C$2:$C$201,[1]data!M$2:M$201)*1000000)</f>
        <v>2858.3788766293119</v>
      </c>
      <c r="G152">
        <f>[4]data!G152*1000000000/(_xlfn.XLOOKUP($B152,[1]data!$C$2:$C$201,[1]data!N$2:N$201)*1000000)</f>
        <v>3301.8319842903206</v>
      </c>
      <c r="H152">
        <f>[4]data!H152*1000000000/(_xlfn.XLOOKUP($B152,[1]data!$C$2:$C$201,[1]data!O$2:O$201)*1000000)</f>
        <v>3923.2677731513695</v>
      </c>
      <c r="I152">
        <f>[4]data!I152*1000000000/(_xlfn.XLOOKUP($B152,[1]data!$C$2:$C$201,[1]data!P$2:P$201)*1000000)</f>
        <v>4755.5836291828664</v>
      </c>
      <c r="J152">
        <f>[4]data!J152*1000000000/(_xlfn.XLOOKUP($B152,[1]data!$C$2:$C$201,[1]data!Q$2:Q$201)*1000000)</f>
        <v>5871.1902164340045</v>
      </c>
      <c r="K152">
        <f>[4]data!K152*1000000000/(_xlfn.XLOOKUP($B152,[1]data!$C$2:$C$201,[1]data!R$2:R$201)*1000000)</f>
        <v>6055.969098320882</v>
      </c>
      <c r="L152">
        <f>[4]data!L152*1000000000/(_xlfn.XLOOKUP($B152,[1]data!$C$2:$C$201,[1]data!S$2:S$201)*1000000)</f>
        <v>4839.130994431549</v>
      </c>
      <c r="M152">
        <f>[4]data!M152*1000000000/(_xlfn.XLOOKUP($B152,[1]data!$C$2:$C$201,[1]data!T$2:T$201)*1000000)</f>
        <v>4019.6851058431516</v>
      </c>
      <c r="N152">
        <f>[4]data!N152*1000000000/(_xlfn.XLOOKUP($B152,[1]data!$C$2:$C$201,[1]data!U$2:U$201)*1000000)</f>
        <v>3045.3013143000021</v>
      </c>
      <c r="O152">
        <f>[4]data!O152*1000000000/(_xlfn.XLOOKUP($B152,[1]data!$C$2:$C$201,[1]data!V$2:V$201)*1000000)</f>
        <v>3397.6019753736209</v>
      </c>
      <c r="P152">
        <f>[4]data!P152*1000000000/(_xlfn.XLOOKUP($B152,[1]data!$C$2:$C$201,[1]data!W$2:W$201)*1000000)</f>
        <v>3745.3875903672206</v>
      </c>
      <c r="Q152">
        <f>[4]data!Q152*1000000000/(_xlfn.XLOOKUP($B152,[1]data!$C$2:$C$201,[1]data!X$2:X$201)*1000000)</f>
        <v>4100.1004613708083</v>
      </c>
      <c r="R152">
        <f>[4]data!R152*1000000000/(_xlfn.XLOOKUP($B152,[1]data!$C$2:$C$201,[1]data!Y$2:Y$201)*1000000)</f>
        <v>4495.2039863146774</v>
      </c>
      <c r="S152">
        <f>[4]data!S152*1000000000/(_xlfn.XLOOKUP($B152,[1]data!$C$2:$C$201,[1]data!Z$2:Z$201)*1000000)</f>
        <v>4954.3692754228832</v>
      </c>
      <c r="T152">
        <f>[4]data!T152*1000000000/(_xlfn.XLOOKUP($B152,[1]data!$C$2:$C$201,[1]data!AA$2:AA$201)*1000000)</f>
        <v>5515.6823291783139</v>
      </c>
      <c r="U152">
        <f>[4]data!U152*1000000000/(_xlfn.XLOOKUP($B152,[1]data!$C$2:$C$201,[1]data!AB$2:AB$201)*1000000)</f>
        <v>6217.5377316385484</v>
      </c>
      <c r="V152">
        <f>[4]data!V152*1000000000/(_xlfn.XLOOKUP($B152,[1]data!$C$2:$C$201,[1]data!AC$2:AC$201)*1000000)</f>
        <v>7091.2883541768679</v>
      </c>
      <c r="W152">
        <f>[4]data!W152*1000000000/(_xlfn.XLOOKUP($B152,[1]data!$C$2:$C$201,[1]data!AD$2:AD$201)*1000000)</f>
        <v>8147.0222453821443</v>
      </c>
      <c r="X152">
        <f>[4]data!X152*1000000000/(_xlfn.XLOOKUP($B152,[1]data!$C$2:$C$201,[1]data!AE$2:AE$201)*1000000)</f>
        <v>9418.0699425241091</v>
      </c>
      <c r="Y152">
        <f>[4]data!Y152*1000000000/(_xlfn.XLOOKUP($B152,[1]data!$C$2:$C$201,[1]data!AF$2:AF$201)*1000000)</f>
        <v>10907.020301230496</v>
      </c>
      <c r="Z152">
        <f>[4]data!Z152*1000000000/(_xlfn.XLOOKUP($B152,[1]data!$C$2:$C$201,[1]data!AG$2:AG$201)*1000000)</f>
        <v>12644.847944263867</v>
      </c>
      <c r="AA152">
        <f>[4]data!AA152*1000000000/(_xlfn.XLOOKUP($B152,[1]data!$C$2:$C$201,[1]data!AH$2:AH$201)*1000000)</f>
        <v>14627.878165752702</v>
      </c>
      <c r="AB152">
        <f>[4]data!AB152*1000000000/(_xlfn.XLOOKUP($B152,[1]data!$C$2:$C$201,[1]data!AI$2:AI$201)*1000000)</f>
        <v>16876.847813905508</v>
      </c>
      <c r="AC152">
        <f>[4]data!AC152*1000000000/(_xlfn.XLOOKUP($B152,[1]data!$C$2:$C$201,[1]data!AJ$2:AJ$201)*1000000)</f>
        <v>19399.287558028387</v>
      </c>
    </row>
    <row r="153" spans="1:29" x14ac:dyDescent="0.25">
      <c r="A153" t="s">
        <v>232</v>
      </c>
      <c r="B153" t="s">
        <v>189</v>
      </c>
      <c r="C153" t="s">
        <v>233</v>
      </c>
      <c r="D153" t="s">
        <v>234</v>
      </c>
      <c r="E153">
        <f>[4]data!E153*1000000000/(_xlfn.XLOOKUP($B153,[1]data!$C$2:$C$201,[1]data!L$2:L$201)*1000000)</f>
        <v>2572.4788091880537</v>
      </c>
      <c r="F153">
        <f>[4]data!F153*1000000000/(_xlfn.XLOOKUP($B153,[1]data!$C$2:$C$201,[1]data!M$2:M$201)*1000000)</f>
        <v>2590.6302924352681</v>
      </c>
      <c r="G153">
        <f>[4]data!G153*1000000000/(_xlfn.XLOOKUP($B153,[1]data!$C$2:$C$201,[1]data!N$2:N$201)*1000000)</f>
        <v>2518.2606513341507</v>
      </c>
      <c r="H153">
        <f>[4]data!H153*1000000000/(_xlfn.XLOOKUP($B153,[1]data!$C$2:$C$201,[1]data!O$2:O$201)*1000000)</f>
        <v>2442.6485849454943</v>
      </c>
      <c r="I153">
        <f>[4]data!I153*1000000000/(_xlfn.XLOOKUP($B153,[1]data!$C$2:$C$201,[1]data!P$2:P$201)*1000000)</f>
        <v>2651.4147827315633</v>
      </c>
      <c r="J153">
        <f>[4]data!J153*1000000000/(_xlfn.XLOOKUP($B153,[1]data!$C$2:$C$201,[1]data!Q$2:Q$201)*1000000)</f>
        <v>2823.7751931408361</v>
      </c>
      <c r="K153">
        <f>[4]data!K153*1000000000/(_xlfn.XLOOKUP($B153,[1]data!$C$2:$C$201,[1]data!R$2:R$201)*1000000)</f>
        <v>2869.0657640002069</v>
      </c>
      <c r="L153">
        <f>[4]data!L153*1000000000/(_xlfn.XLOOKUP($B153,[1]data!$C$2:$C$201,[1]data!S$2:S$201)*1000000)</f>
        <v>3053.7840874618473</v>
      </c>
      <c r="M153">
        <f>[4]data!M153*1000000000/(_xlfn.XLOOKUP($B153,[1]data!$C$2:$C$201,[1]data!T$2:T$201)*1000000)</f>
        <v>3430.4837825217251</v>
      </c>
      <c r="N153">
        <f>[4]data!N153*1000000000/(_xlfn.XLOOKUP($B153,[1]data!$C$2:$C$201,[1]data!U$2:U$201)*1000000)</f>
        <v>4187.2697228105526</v>
      </c>
      <c r="O153">
        <f>[4]data!O153*1000000000/(_xlfn.XLOOKUP($B153,[1]data!$C$2:$C$201,[1]data!V$2:V$201)*1000000)</f>
        <v>4910.4485727336933</v>
      </c>
      <c r="P153">
        <f>[4]data!P153*1000000000/(_xlfn.XLOOKUP($B153,[1]data!$C$2:$C$201,[1]data!W$2:W$201)*1000000)</f>
        <v>5939.0623979309339</v>
      </c>
      <c r="Q153">
        <f>[4]data!Q153*1000000000/(_xlfn.XLOOKUP($B153,[1]data!$C$2:$C$201,[1]data!X$2:X$201)*1000000)</f>
        <v>6966.5757874257224</v>
      </c>
      <c r="R153">
        <f>[4]data!R153*1000000000/(_xlfn.XLOOKUP($B153,[1]data!$C$2:$C$201,[1]data!Y$2:Y$201)*1000000)</f>
        <v>8084.0421054271246</v>
      </c>
      <c r="S153">
        <f>[4]data!S153*1000000000/(_xlfn.XLOOKUP($B153,[1]data!$C$2:$C$201,[1]data!Z$2:Z$201)*1000000)</f>
        <v>9366.3670110538551</v>
      </c>
      <c r="T153">
        <f>[4]data!T153*1000000000/(_xlfn.XLOOKUP($B153,[1]data!$C$2:$C$201,[1]data!AA$2:AA$201)*1000000)</f>
        <v>10881.159683135551</v>
      </c>
      <c r="U153">
        <f>[4]data!U153*1000000000/(_xlfn.XLOOKUP($B153,[1]data!$C$2:$C$201,[1]data!AB$2:AB$201)*1000000)</f>
        <v>12675.275770545084</v>
      </c>
      <c r="V153">
        <f>[4]data!V153*1000000000/(_xlfn.XLOOKUP($B153,[1]data!$C$2:$C$201,[1]data!AC$2:AC$201)*1000000)</f>
        <v>14781.130433075026</v>
      </c>
      <c r="W153">
        <f>[4]data!W153*1000000000/(_xlfn.XLOOKUP($B153,[1]data!$C$2:$C$201,[1]data!AD$2:AD$201)*1000000)</f>
        <v>17157.374562852514</v>
      </c>
      <c r="X153">
        <f>[4]data!X153*1000000000/(_xlfn.XLOOKUP($B153,[1]data!$C$2:$C$201,[1]data!AE$2:AE$201)*1000000)</f>
        <v>19856.664085633573</v>
      </c>
      <c r="Y153">
        <f>[4]data!Y153*1000000000/(_xlfn.XLOOKUP($B153,[1]data!$C$2:$C$201,[1]data!AF$2:AF$201)*1000000)</f>
        <v>22907.713279652999</v>
      </c>
      <c r="Z153">
        <f>[4]data!Z153*1000000000/(_xlfn.XLOOKUP($B153,[1]data!$C$2:$C$201,[1]data!AG$2:AG$201)*1000000)</f>
        <v>26336.039939083308</v>
      </c>
      <c r="AA153">
        <f>[4]data!AA153*1000000000/(_xlfn.XLOOKUP($B153,[1]data!$C$2:$C$201,[1]data!AH$2:AH$201)*1000000)</f>
        <v>30152.844879081636</v>
      </c>
      <c r="AB153">
        <f>[4]data!AB153*1000000000/(_xlfn.XLOOKUP($B153,[1]data!$C$2:$C$201,[1]data!AI$2:AI$201)*1000000)</f>
        <v>34362.563887669872</v>
      </c>
      <c r="AC153">
        <f>[4]data!AC153*1000000000/(_xlfn.XLOOKUP($B153,[1]data!$C$2:$C$201,[1]data!AJ$2:AJ$201)*1000000)</f>
        <v>38986.158238406511</v>
      </c>
    </row>
    <row r="154" spans="1:29" x14ac:dyDescent="0.25">
      <c r="A154" t="s">
        <v>232</v>
      </c>
      <c r="B154" t="s">
        <v>190</v>
      </c>
      <c r="C154" t="s">
        <v>233</v>
      </c>
      <c r="D154" t="s">
        <v>234</v>
      </c>
      <c r="E154">
        <f>[4]data!E154*1000000000/(_xlfn.XLOOKUP($B154,[1]data!$C$2:$C$201,[1]data!L$2:L$201)*1000000)</f>
        <v>22726.92853921694</v>
      </c>
      <c r="F154">
        <f>[4]data!F154*1000000000/(_xlfn.XLOOKUP($B154,[1]data!$C$2:$C$201,[1]data!M$2:M$201)*1000000)</f>
        <v>28349.278511455206</v>
      </c>
      <c r="G154">
        <f>[4]data!G154*1000000000/(_xlfn.XLOOKUP($B154,[1]data!$C$2:$C$201,[1]data!N$2:N$201)*1000000)</f>
        <v>38194.221737911306</v>
      </c>
      <c r="H154">
        <f>[4]data!H154*1000000000/(_xlfn.XLOOKUP($B154,[1]data!$C$2:$C$201,[1]data!O$2:O$201)*1000000)</f>
        <v>49196.727322729981</v>
      </c>
      <c r="I154">
        <f>[4]data!I154*1000000000/(_xlfn.XLOOKUP($B154,[1]data!$C$2:$C$201,[1]data!P$2:P$201)*1000000)</f>
        <v>56140.100057236763</v>
      </c>
      <c r="J154">
        <f>[4]data!J154*1000000000/(_xlfn.XLOOKUP($B154,[1]data!$C$2:$C$201,[1]data!Q$2:Q$201)*1000000)</f>
        <v>66641.856155585672</v>
      </c>
      <c r="K154">
        <f>[4]data!K154*1000000000/(_xlfn.XLOOKUP($B154,[1]data!$C$2:$C$201,[1]data!R$2:R$201)*1000000)</f>
        <v>77895.507720516674</v>
      </c>
      <c r="L154">
        <f>[4]data!L154*1000000000/(_xlfn.XLOOKUP($B154,[1]data!$C$2:$C$201,[1]data!S$2:S$201)*1000000)</f>
        <v>87970.820046864304</v>
      </c>
      <c r="M154">
        <f>[4]data!M154*1000000000/(_xlfn.XLOOKUP($B154,[1]data!$C$2:$C$201,[1]data!T$2:T$201)*1000000)</f>
        <v>91564.9575186039</v>
      </c>
      <c r="N154">
        <f>[4]data!N154*1000000000/(_xlfn.XLOOKUP($B154,[1]data!$C$2:$C$201,[1]data!U$2:U$201)*1000000)</f>
        <v>105409.25588440475</v>
      </c>
      <c r="O154">
        <f>[4]data!O154*1000000000/(_xlfn.XLOOKUP($B154,[1]data!$C$2:$C$201,[1]data!V$2:V$201)*1000000)</f>
        <v>116029.14187374183</v>
      </c>
      <c r="P154">
        <f>[4]data!P154*1000000000/(_xlfn.XLOOKUP($B154,[1]data!$C$2:$C$201,[1]data!W$2:W$201)*1000000)</f>
        <v>125172.27332508272</v>
      </c>
      <c r="Q154">
        <f>[4]data!Q154*1000000000/(_xlfn.XLOOKUP($B154,[1]data!$C$2:$C$201,[1]data!X$2:X$201)*1000000)</f>
        <v>130343.33701198055</v>
      </c>
      <c r="R154">
        <f>[4]data!R154*1000000000/(_xlfn.XLOOKUP($B154,[1]data!$C$2:$C$201,[1]data!Y$2:Y$201)*1000000)</f>
        <v>132698.28066563301</v>
      </c>
      <c r="S154">
        <f>[4]data!S154*1000000000/(_xlfn.XLOOKUP($B154,[1]data!$C$2:$C$201,[1]data!Z$2:Z$201)*1000000)</f>
        <v>132813.6365731098</v>
      </c>
      <c r="T154">
        <f>[4]data!T154*1000000000/(_xlfn.XLOOKUP($B154,[1]data!$C$2:$C$201,[1]data!AA$2:AA$201)*1000000)</f>
        <v>132610.50624911545</v>
      </c>
      <c r="U154">
        <f>[4]data!U154*1000000000/(_xlfn.XLOOKUP($B154,[1]data!$C$2:$C$201,[1]data!AB$2:AB$201)*1000000)</f>
        <v>132215.30282058852</v>
      </c>
      <c r="V154">
        <f>[4]data!V154*1000000000/(_xlfn.XLOOKUP($B154,[1]data!$C$2:$C$201,[1]data!AC$2:AC$201)*1000000)</f>
        <v>131977.29831391756</v>
      </c>
      <c r="W154">
        <f>[4]data!W154*1000000000/(_xlfn.XLOOKUP($B154,[1]data!$C$2:$C$201,[1]data!AD$2:AD$201)*1000000)</f>
        <v>131498.86291194079</v>
      </c>
      <c r="X154">
        <f>[4]data!X154*1000000000/(_xlfn.XLOOKUP($B154,[1]data!$C$2:$C$201,[1]data!AE$2:AE$201)*1000000)</f>
        <v>130574.94667065566</v>
      </c>
      <c r="Y154">
        <f>[4]data!Y154*1000000000/(_xlfn.XLOOKUP($B154,[1]data!$C$2:$C$201,[1]data!AF$2:AF$201)*1000000)</f>
        <v>129266.33072816714</v>
      </c>
      <c r="Z154">
        <f>[4]data!Z154*1000000000/(_xlfn.XLOOKUP($B154,[1]data!$C$2:$C$201,[1]data!AG$2:AG$201)*1000000)</f>
        <v>127699.87241218914</v>
      </c>
      <c r="AA154">
        <f>[4]data!AA154*1000000000/(_xlfn.XLOOKUP($B154,[1]data!$C$2:$C$201,[1]data!AH$2:AH$201)*1000000)</f>
        <v>126018.7848538269</v>
      </c>
      <c r="AB154">
        <f>[4]data!AB154*1000000000/(_xlfn.XLOOKUP($B154,[1]data!$C$2:$C$201,[1]data!AI$2:AI$201)*1000000)</f>
        <v>124312.91393169055</v>
      </c>
      <c r="AC154">
        <f>[4]data!AC154*1000000000/(_xlfn.XLOOKUP($B154,[1]data!$C$2:$C$201,[1]data!AJ$2:AJ$201)*1000000)</f>
        <v>122610.79209539578</v>
      </c>
    </row>
    <row r="155" spans="1:29" x14ac:dyDescent="0.25">
      <c r="A155" t="s">
        <v>232</v>
      </c>
      <c r="B155" t="s">
        <v>191</v>
      </c>
      <c r="C155" t="s">
        <v>233</v>
      </c>
      <c r="D155" t="s">
        <v>234</v>
      </c>
      <c r="E155">
        <f>[4]data!E155*1000000000/(_xlfn.XLOOKUP($B155,[1]data!$C$2:$C$201,[1]data!L$2:L$201)*1000000)</f>
        <v>2476.525555836171</v>
      </c>
      <c r="F155">
        <f>[4]data!F155*1000000000/(_xlfn.XLOOKUP($B155,[1]data!$C$2:$C$201,[1]data!M$2:M$201)*1000000)</f>
        <v>2032.0629514357856</v>
      </c>
      <c r="G155">
        <f>[4]data!G155*1000000000/(_xlfn.XLOOKUP($B155,[1]data!$C$2:$C$201,[1]data!N$2:N$201)*1000000)</f>
        <v>2023.9757987235455</v>
      </c>
      <c r="H155">
        <f>[4]data!H155*1000000000/(_xlfn.XLOOKUP($B155,[1]data!$C$2:$C$201,[1]data!O$2:O$201)*1000000)</f>
        <v>2584.3859777220696</v>
      </c>
      <c r="I155">
        <f>[4]data!I155*1000000000/(_xlfn.XLOOKUP($B155,[1]data!$C$2:$C$201,[1]data!P$2:P$201)*1000000)</f>
        <v>1957.5701924774855</v>
      </c>
      <c r="J155">
        <f>[4]data!J155*1000000000/(_xlfn.XLOOKUP($B155,[1]data!$C$2:$C$201,[1]data!Q$2:Q$201)*1000000)</f>
        <v>1869.4068329490674</v>
      </c>
      <c r="K155">
        <f>[4]data!K155*1000000000/(_xlfn.XLOOKUP($B155,[1]data!$C$2:$C$201,[1]data!R$2:R$201)*1000000)</f>
        <v>2156.556462065194</v>
      </c>
      <c r="L155">
        <f>[4]data!L155*1000000000/(_xlfn.XLOOKUP($B155,[1]data!$C$2:$C$201,[1]data!S$2:S$201)*1000000)</f>
        <v>2240.8363981982725</v>
      </c>
      <c r="M155">
        <f>[4]data!M155*1000000000/(_xlfn.XLOOKUP($B155,[1]data!$C$2:$C$201,[1]data!T$2:T$201)*1000000)</f>
        <v>2181.573502299761</v>
      </c>
      <c r="N155">
        <f>[4]data!N155*1000000000/(_xlfn.XLOOKUP($B155,[1]data!$C$2:$C$201,[1]data!U$2:U$201)*1000000)</f>
        <v>2001.2210425464359</v>
      </c>
      <c r="O155">
        <f>[4]data!O155*1000000000/(_xlfn.XLOOKUP($B155,[1]data!$C$2:$C$201,[1]data!V$2:V$201)*1000000)</f>
        <v>2112.6635295824876</v>
      </c>
      <c r="P155">
        <f>[4]data!P155*1000000000/(_xlfn.XLOOKUP($B155,[1]data!$C$2:$C$201,[1]data!W$2:W$201)*1000000)</f>
        <v>2459.2051911095232</v>
      </c>
      <c r="Q155">
        <f>[4]data!Q155*1000000000/(_xlfn.XLOOKUP($B155,[1]data!$C$2:$C$201,[1]data!X$2:X$201)*1000000)</f>
        <v>3059.1001195498093</v>
      </c>
      <c r="R155">
        <f>[4]data!R155*1000000000/(_xlfn.XLOOKUP($B155,[1]data!$C$2:$C$201,[1]data!Y$2:Y$201)*1000000)</f>
        <v>3969.5803482259116</v>
      </c>
      <c r="S155">
        <f>[4]data!S155*1000000000/(_xlfn.XLOOKUP($B155,[1]data!$C$2:$C$201,[1]data!Z$2:Z$201)*1000000)</f>
        <v>5288.7098108816908</v>
      </c>
      <c r="T155">
        <f>[4]data!T155*1000000000/(_xlfn.XLOOKUP($B155,[1]data!$C$2:$C$201,[1]data!AA$2:AA$201)*1000000)</f>
        <v>7149.4278153231226</v>
      </c>
      <c r="U155">
        <f>[4]data!U155*1000000000/(_xlfn.XLOOKUP($B155,[1]data!$C$2:$C$201,[1]data!AB$2:AB$201)*1000000)</f>
        <v>9715.7587042112827</v>
      </c>
      <c r="V155">
        <f>[4]data!V155*1000000000/(_xlfn.XLOOKUP($B155,[1]data!$C$2:$C$201,[1]data!AC$2:AC$201)*1000000)</f>
        <v>13175.338051436845</v>
      </c>
      <c r="W155">
        <f>[4]data!W155*1000000000/(_xlfn.XLOOKUP($B155,[1]data!$C$2:$C$201,[1]data!AD$2:AD$201)*1000000)</f>
        <v>17733.131336345432</v>
      </c>
      <c r="X155">
        <f>[4]data!X155*1000000000/(_xlfn.XLOOKUP($B155,[1]data!$C$2:$C$201,[1]data!AE$2:AE$201)*1000000)</f>
        <v>23588.468522440984</v>
      </c>
      <c r="Y155">
        <f>[4]data!Y155*1000000000/(_xlfn.XLOOKUP($B155,[1]data!$C$2:$C$201,[1]data!AF$2:AF$201)*1000000)</f>
        <v>30960.676718707426</v>
      </c>
      <c r="Z155">
        <f>[4]data!Z155*1000000000/(_xlfn.XLOOKUP($B155,[1]data!$C$2:$C$201,[1]data!AG$2:AG$201)*1000000)</f>
        <v>39984.930486544261</v>
      </c>
      <c r="AA155">
        <f>[4]data!AA155*1000000000/(_xlfn.XLOOKUP($B155,[1]data!$C$2:$C$201,[1]data!AH$2:AH$201)*1000000)</f>
        <v>50816.78339400691</v>
      </c>
      <c r="AB155">
        <f>[4]data!AB155*1000000000/(_xlfn.XLOOKUP($B155,[1]data!$C$2:$C$201,[1]data!AI$2:AI$201)*1000000)</f>
        <v>63566.617627531334</v>
      </c>
      <c r="AC155">
        <f>[4]data!AC155*1000000000/(_xlfn.XLOOKUP($B155,[1]data!$C$2:$C$201,[1]data!AJ$2:AJ$201)*1000000)</f>
        <v>78439.592898361487</v>
      </c>
    </row>
    <row r="156" spans="1:29" x14ac:dyDescent="0.25">
      <c r="A156" t="s">
        <v>232</v>
      </c>
      <c r="B156" t="s">
        <v>192</v>
      </c>
      <c r="C156" t="s">
        <v>233</v>
      </c>
      <c r="D156" t="s">
        <v>234</v>
      </c>
      <c r="E156">
        <f>[4]data!E156*1000000000/(_xlfn.XLOOKUP($B156,[1]data!$C$2:$C$201,[1]data!L$2:L$201)*1000000)</f>
        <v>2351.0011863378527</v>
      </c>
      <c r="F156">
        <f>[4]data!F156*1000000000/(_xlfn.XLOOKUP($B156,[1]data!$C$2:$C$201,[1]data!M$2:M$201)*1000000)</f>
        <v>2045.9623458896488</v>
      </c>
      <c r="G156">
        <f>[4]data!G156*1000000000/(_xlfn.XLOOKUP($B156,[1]data!$C$2:$C$201,[1]data!N$2:N$201)*1000000)</f>
        <v>2011.3883246143112</v>
      </c>
      <c r="H156">
        <f>[4]data!H156*1000000000/(_xlfn.XLOOKUP($B156,[1]data!$C$2:$C$201,[1]data!O$2:O$201)*1000000)</f>
        <v>1514.3732576758136</v>
      </c>
      <c r="I156">
        <f>[4]data!I156*1000000000/(_xlfn.XLOOKUP($B156,[1]data!$C$2:$C$201,[1]data!P$2:P$201)*1000000)</f>
        <v>856.68504660978806</v>
      </c>
      <c r="J156">
        <f>[4]data!J156*1000000000/(_xlfn.XLOOKUP($B156,[1]data!$C$2:$C$201,[1]data!Q$2:Q$201)*1000000)</f>
        <v>1245.4345958369249</v>
      </c>
      <c r="K156">
        <f>[4]data!K156*1000000000/(_xlfn.XLOOKUP($B156,[1]data!$C$2:$C$201,[1]data!R$2:R$201)*1000000)</f>
        <v>1420.7704145880987</v>
      </c>
      <c r="L156">
        <f>[4]data!L156*1000000000/(_xlfn.XLOOKUP($B156,[1]data!$C$2:$C$201,[1]data!S$2:S$201)*1000000)</f>
        <v>1533.7719122873452</v>
      </c>
      <c r="M156">
        <f>[4]data!M156*1000000000/(_xlfn.XLOOKUP($B156,[1]data!$C$2:$C$201,[1]data!T$2:T$201)*1000000)</f>
        <v>1604.4555132320345</v>
      </c>
      <c r="N156">
        <f>[4]data!N156*1000000000/(_xlfn.XLOOKUP($B156,[1]data!$C$2:$C$201,[1]data!U$2:U$201)*1000000)</f>
        <v>1764.4381815483805</v>
      </c>
      <c r="O156">
        <f>[4]data!O156*1000000000/(_xlfn.XLOOKUP($B156,[1]data!$C$2:$C$201,[1]data!V$2:V$201)*1000000)</f>
        <v>2017.1455975300157</v>
      </c>
      <c r="P156">
        <f>[4]data!P156*1000000000/(_xlfn.XLOOKUP($B156,[1]data!$C$2:$C$201,[1]data!W$2:W$201)*1000000)</f>
        <v>2398.2071948968928</v>
      </c>
      <c r="Q156">
        <f>[4]data!Q156*1000000000/(_xlfn.XLOOKUP($B156,[1]data!$C$2:$C$201,[1]data!X$2:X$201)*1000000)</f>
        <v>2918.9180085977264</v>
      </c>
      <c r="R156">
        <f>[4]data!R156*1000000000/(_xlfn.XLOOKUP($B156,[1]data!$C$2:$C$201,[1]data!Y$2:Y$201)*1000000)</f>
        <v>3583.9538575969314</v>
      </c>
      <c r="S156">
        <f>[4]data!S156*1000000000/(_xlfn.XLOOKUP($B156,[1]data!$C$2:$C$201,[1]data!Z$2:Z$201)*1000000)</f>
        <v>4402.9889934504363</v>
      </c>
      <c r="T156">
        <f>[4]data!T156*1000000000/(_xlfn.XLOOKUP($B156,[1]data!$C$2:$C$201,[1]data!AA$2:AA$201)*1000000)</f>
        <v>5395.4644756955013</v>
      </c>
      <c r="U156">
        <f>[4]data!U156*1000000000/(_xlfn.XLOOKUP($B156,[1]data!$C$2:$C$201,[1]data!AB$2:AB$201)*1000000)</f>
        <v>6583.9193350295272</v>
      </c>
      <c r="V156">
        <f>[4]data!V156*1000000000/(_xlfn.XLOOKUP($B156,[1]data!$C$2:$C$201,[1]data!AC$2:AC$201)*1000000)</f>
        <v>7994.216068280105</v>
      </c>
      <c r="W156">
        <f>[4]data!W156*1000000000/(_xlfn.XLOOKUP($B156,[1]data!$C$2:$C$201,[1]data!AD$2:AD$201)*1000000)</f>
        <v>9645.0559289426183</v>
      </c>
      <c r="X156">
        <f>[4]data!X156*1000000000/(_xlfn.XLOOKUP($B156,[1]data!$C$2:$C$201,[1]data!AE$2:AE$201)*1000000)</f>
        <v>11565.128042070175</v>
      </c>
      <c r="Y156">
        <f>[4]data!Y156*1000000000/(_xlfn.XLOOKUP($B156,[1]data!$C$2:$C$201,[1]data!AF$2:AF$201)*1000000)</f>
        <v>13744.053966253468</v>
      </c>
      <c r="Z156">
        <f>[4]data!Z156*1000000000/(_xlfn.XLOOKUP($B156,[1]data!$C$2:$C$201,[1]data!AG$2:AG$201)*1000000)</f>
        <v>16182.81199011701</v>
      </c>
      <c r="AA156">
        <f>[4]data!AA156*1000000000/(_xlfn.XLOOKUP($B156,[1]data!$C$2:$C$201,[1]data!AH$2:AH$201)*1000000)</f>
        <v>18907.170818019546</v>
      </c>
      <c r="AB156">
        <f>[4]data!AB156*1000000000/(_xlfn.XLOOKUP($B156,[1]data!$C$2:$C$201,[1]data!AI$2:AI$201)*1000000)</f>
        <v>21957.871377283405</v>
      </c>
      <c r="AC156">
        <f>[4]data!AC156*1000000000/(_xlfn.XLOOKUP($B156,[1]data!$C$2:$C$201,[1]data!AJ$2:AJ$201)*1000000)</f>
        <v>25387.608898885377</v>
      </c>
    </row>
    <row r="157" spans="1:29" x14ac:dyDescent="0.25">
      <c r="A157" t="s">
        <v>232</v>
      </c>
      <c r="B157" t="s">
        <v>193</v>
      </c>
      <c r="C157" t="s">
        <v>233</v>
      </c>
      <c r="D157" t="s">
        <v>234</v>
      </c>
      <c r="E157">
        <f>[4]data!E157*1000000000/(_xlfn.XLOOKUP($B157,[1]data!$C$2:$C$201,[1]data!L$2:L$201)*1000000)</f>
        <v>6148.5502283691685</v>
      </c>
      <c r="F157">
        <f>[4]data!F157*1000000000/(_xlfn.XLOOKUP($B157,[1]data!$C$2:$C$201,[1]data!M$2:M$201)*1000000)</f>
        <v>5210.8728447048561</v>
      </c>
      <c r="G157">
        <f>[4]data!G157*1000000000/(_xlfn.XLOOKUP($B157,[1]data!$C$2:$C$201,[1]data!N$2:N$201)*1000000)</f>
        <v>5240.5317026481707</v>
      </c>
      <c r="H157">
        <f>[4]data!H157*1000000000/(_xlfn.XLOOKUP($B157,[1]data!$C$2:$C$201,[1]data!O$2:O$201)*1000000)</f>
        <v>6137.5884194928276</v>
      </c>
      <c r="I157">
        <f>[4]data!I157*1000000000/(_xlfn.XLOOKUP($B157,[1]data!$C$2:$C$201,[1]data!P$2:P$201)*1000000)</f>
        <v>6517.9318054722753</v>
      </c>
      <c r="J157">
        <f>[4]data!J157*1000000000/(_xlfn.XLOOKUP($B157,[1]data!$C$2:$C$201,[1]data!Q$2:Q$201)*1000000)</f>
        <v>6916.7015387835627</v>
      </c>
      <c r="K157">
        <f>[4]data!K157*1000000000/(_xlfn.XLOOKUP($B157,[1]data!$C$2:$C$201,[1]data!R$2:R$201)*1000000)</f>
        <v>7427.9103379451271</v>
      </c>
      <c r="L157">
        <f>[4]data!L157*1000000000/(_xlfn.XLOOKUP($B157,[1]data!$C$2:$C$201,[1]data!S$2:S$201)*1000000)</f>
        <v>8280.7501003014186</v>
      </c>
      <c r="M157">
        <f>[4]data!M157*1000000000/(_xlfn.XLOOKUP($B157,[1]data!$C$2:$C$201,[1]data!T$2:T$201)*1000000)</f>
        <v>8311.972330150571</v>
      </c>
      <c r="N157">
        <f>[4]data!N157*1000000000/(_xlfn.XLOOKUP($B157,[1]data!$C$2:$C$201,[1]data!U$2:U$201)*1000000)</f>
        <v>9934.4272224391989</v>
      </c>
      <c r="O157">
        <f>[4]data!O157*1000000000/(_xlfn.XLOOKUP($B157,[1]data!$C$2:$C$201,[1]data!V$2:V$201)*1000000)</f>
        <v>10904.678703465332</v>
      </c>
      <c r="P157">
        <f>[4]data!P157*1000000000/(_xlfn.XLOOKUP($B157,[1]data!$C$2:$C$201,[1]data!W$2:W$201)*1000000)</f>
        <v>12338.84888304376</v>
      </c>
      <c r="Q157">
        <f>[4]data!Q157*1000000000/(_xlfn.XLOOKUP($B157,[1]data!$C$2:$C$201,[1]data!X$2:X$201)*1000000)</f>
        <v>14232.612293762486</v>
      </c>
      <c r="R157">
        <f>[4]data!R157*1000000000/(_xlfn.XLOOKUP($B157,[1]data!$C$2:$C$201,[1]data!Y$2:Y$201)*1000000)</f>
        <v>16631.203075677437</v>
      </c>
      <c r="S157">
        <f>[4]data!S157*1000000000/(_xlfn.XLOOKUP($B157,[1]data!$C$2:$C$201,[1]data!Z$2:Z$201)*1000000)</f>
        <v>19575.959609940212</v>
      </c>
      <c r="T157">
        <f>[4]data!T157*1000000000/(_xlfn.XLOOKUP($B157,[1]data!$C$2:$C$201,[1]data!AA$2:AA$201)*1000000)</f>
        <v>23120.285686013402</v>
      </c>
      <c r="U157">
        <f>[4]data!U157*1000000000/(_xlfn.XLOOKUP($B157,[1]data!$C$2:$C$201,[1]data!AB$2:AB$201)*1000000)</f>
        <v>27296.618717941386</v>
      </c>
      <c r="V157">
        <f>[4]data!V157*1000000000/(_xlfn.XLOOKUP($B157,[1]data!$C$2:$C$201,[1]data!AC$2:AC$201)*1000000)</f>
        <v>32182.606685953378</v>
      </c>
      <c r="W157">
        <f>[4]data!W157*1000000000/(_xlfn.XLOOKUP($B157,[1]data!$C$2:$C$201,[1]data!AD$2:AD$201)*1000000)</f>
        <v>37769.49309190426</v>
      </c>
      <c r="X157">
        <f>[4]data!X157*1000000000/(_xlfn.XLOOKUP($B157,[1]data!$C$2:$C$201,[1]data!AE$2:AE$201)*1000000)</f>
        <v>44063.908541702564</v>
      </c>
      <c r="Y157">
        <f>[4]data!Y157*1000000000/(_xlfn.XLOOKUP($B157,[1]data!$C$2:$C$201,[1]data!AF$2:AF$201)*1000000)</f>
        <v>50886.436930931137</v>
      </c>
      <c r="Z157">
        <f>[4]data!Z157*1000000000/(_xlfn.XLOOKUP($B157,[1]data!$C$2:$C$201,[1]data!AG$2:AG$201)*1000000)</f>
        <v>58211.320978086558</v>
      </c>
      <c r="AA157">
        <f>[4]data!AA157*1000000000/(_xlfn.XLOOKUP($B157,[1]data!$C$2:$C$201,[1]data!AH$2:AH$201)*1000000)</f>
        <v>66079.925309056285</v>
      </c>
      <c r="AB157">
        <f>[4]data!AB157*1000000000/(_xlfn.XLOOKUP($B157,[1]data!$C$2:$C$201,[1]data!AI$2:AI$201)*1000000)</f>
        <v>74474.827177892774</v>
      </c>
      <c r="AC157">
        <f>[4]data!AC157*1000000000/(_xlfn.XLOOKUP($B157,[1]data!$C$2:$C$201,[1]data!AJ$2:AJ$201)*1000000)</f>
        <v>83355.423837244089</v>
      </c>
    </row>
    <row r="158" spans="1:29" x14ac:dyDescent="0.25">
      <c r="A158" t="s">
        <v>232</v>
      </c>
      <c r="B158" t="s">
        <v>194</v>
      </c>
      <c r="C158" t="s">
        <v>233</v>
      </c>
      <c r="D158" t="s">
        <v>234</v>
      </c>
      <c r="E158" t="e">
        <f>[4]data!E158*1000000000/(_xlfn.XLOOKUP($B158,[1]data!$C$2:$C$201,[1]data!L$2:L$201)*1000000)</f>
        <v>#VALUE!</v>
      </c>
      <c r="F158" t="e">
        <f>[4]data!F158*1000000000/(_xlfn.XLOOKUP($B158,[1]data!$C$2:$C$201,[1]data!M$2:M$201)*1000000)</f>
        <v>#VALUE!</v>
      </c>
      <c r="G158" t="e">
        <f>[4]data!G158*1000000000/(_xlfn.XLOOKUP($B158,[1]data!$C$2:$C$201,[1]data!N$2:N$201)*1000000)</f>
        <v>#VALUE!</v>
      </c>
      <c r="H158" t="e">
        <f>[4]data!H158*1000000000/(_xlfn.XLOOKUP($B158,[1]data!$C$2:$C$201,[1]data!O$2:O$201)*1000000)</f>
        <v>#VALUE!</v>
      </c>
      <c r="I158" t="e">
        <f>[4]data!I158*1000000000/(_xlfn.XLOOKUP($B158,[1]data!$C$2:$C$201,[1]data!P$2:P$201)*1000000)</f>
        <v>#VALUE!</v>
      </c>
      <c r="J158" t="e">
        <f>[4]data!J158*1000000000/(_xlfn.XLOOKUP($B158,[1]data!$C$2:$C$201,[1]data!Q$2:Q$201)*1000000)</f>
        <v>#VALUE!</v>
      </c>
      <c r="K158" t="e">
        <f>[4]data!K158*1000000000/(_xlfn.XLOOKUP($B158,[1]data!$C$2:$C$201,[1]data!R$2:R$201)*1000000)</f>
        <v>#VALUE!</v>
      </c>
      <c r="L158">
        <f>[4]data!L158*1000000000/(_xlfn.XLOOKUP($B158,[1]data!$C$2:$C$201,[1]data!S$2:S$201)*1000000)</f>
        <v>1582.5764209106233</v>
      </c>
      <c r="M158">
        <f>[4]data!M158*1000000000/(_xlfn.XLOOKUP($B158,[1]data!$C$2:$C$201,[1]data!T$2:T$201)*1000000)</f>
        <v>1480.1759223315528</v>
      </c>
      <c r="N158">
        <f>[4]data!N158*1000000000/(_xlfn.XLOOKUP($B158,[1]data!$C$2:$C$201,[1]data!U$2:U$201)*1000000)</f>
        <v>1484.4412930553985</v>
      </c>
      <c r="O158">
        <f>[4]data!O158*1000000000/(_xlfn.XLOOKUP($B158,[1]data!$C$2:$C$201,[1]data!V$2:V$201)*1000000)</f>
        <v>1592.1666462580927</v>
      </c>
      <c r="P158">
        <f>[4]data!P158*1000000000/(_xlfn.XLOOKUP($B158,[1]data!$C$2:$C$201,[1]data!W$2:W$201)*1000000)</f>
        <v>1853.6496113591759</v>
      </c>
      <c r="Q158">
        <f>[4]data!Q158*1000000000/(_xlfn.XLOOKUP($B158,[1]data!$C$2:$C$201,[1]data!X$2:X$201)*1000000)</f>
        <v>2270.0410229133345</v>
      </c>
      <c r="R158">
        <f>[4]data!R158*1000000000/(_xlfn.XLOOKUP($B158,[1]data!$C$2:$C$201,[1]data!Y$2:Y$201)*1000000)</f>
        <v>2859.5047762157483</v>
      </c>
      <c r="S158">
        <f>[4]data!S158*1000000000/(_xlfn.XLOOKUP($B158,[1]data!$C$2:$C$201,[1]data!Z$2:Z$201)*1000000)</f>
        <v>3620.6776588972234</v>
      </c>
      <c r="T158">
        <f>[4]data!T158*1000000000/(_xlfn.XLOOKUP($B158,[1]data!$C$2:$C$201,[1]data!AA$2:AA$201)*1000000)</f>
        <v>4564.1745008682838</v>
      </c>
      <c r="U158">
        <f>[4]data!U158*1000000000/(_xlfn.XLOOKUP($B158,[1]data!$C$2:$C$201,[1]data!AB$2:AB$201)*1000000)</f>
        <v>5713.1013354682291</v>
      </c>
      <c r="V158">
        <f>[4]data!V158*1000000000/(_xlfn.XLOOKUP($B158,[1]data!$C$2:$C$201,[1]data!AC$2:AC$201)*1000000)</f>
        <v>7086.5854999841004</v>
      </c>
      <c r="W158">
        <f>[4]data!W158*1000000000/(_xlfn.XLOOKUP($B158,[1]data!$C$2:$C$201,[1]data!AD$2:AD$201)*1000000)</f>
        <v>8694.0509398740141</v>
      </c>
      <c r="X158">
        <f>[4]data!X158*1000000000/(_xlfn.XLOOKUP($B158,[1]data!$C$2:$C$201,[1]data!AE$2:AE$201)*1000000)</f>
        <v>10560.752851297102</v>
      </c>
      <c r="Y158">
        <f>[4]data!Y158*1000000000/(_xlfn.XLOOKUP($B158,[1]data!$C$2:$C$201,[1]data!AF$2:AF$201)*1000000)</f>
        <v>12699.69096498607</v>
      </c>
      <c r="Z158">
        <f>[4]data!Z158*1000000000/(_xlfn.XLOOKUP($B158,[1]data!$C$2:$C$201,[1]data!AG$2:AG$201)*1000000)</f>
        <v>15145.75308838958</v>
      </c>
      <c r="AA158">
        <f>[4]data!AA158*1000000000/(_xlfn.XLOOKUP($B158,[1]data!$C$2:$C$201,[1]data!AH$2:AH$201)*1000000)</f>
        <v>17941.307587458039</v>
      </c>
      <c r="AB158">
        <f>[4]data!AB158*1000000000/(_xlfn.XLOOKUP($B158,[1]data!$C$2:$C$201,[1]data!AI$2:AI$201)*1000000)</f>
        <v>21161.536542734844</v>
      </c>
      <c r="AC158">
        <f>[4]data!AC158*1000000000/(_xlfn.XLOOKUP($B158,[1]data!$C$2:$C$201,[1]data!AJ$2:AJ$201)*1000000)</f>
        <v>24828.314522770717</v>
      </c>
    </row>
    <row r="159" spans="1:29" x14ac:dyDescent="0.25">
      <c r="A159" t="s">
        <v>232</v>
      </c>
      <c r="B159" t="s">
        <v>195</v>
      </c>
      <c r="C159" t="s">
        <v>233</v>
      </c>
      <c r="D159" t="s">
        <v>234</v>
      </c>
      <c r="E159" t="e">
        <f>[4]data!E159*1000000000/(_xlfn.XLOOKUP($B159,[1]data!$C$2:$C$201,[1]data!L$2:L$201)*1000000)</f>
        <v>#VALUE!</v>
      </c>
      <c r="F159" t="e">
        <f>[4]data!F159*1000000000/(_xlfn.XLOOKUP($B159,[1]data!$C$2:$C$201,[1]data!M$2:M$201)*1000000)</f>
        <v>#VALUE!</v>
      </c>
      <c r="G159" t="e">
        <f>[4]data!G159*1000000000/(_xlfn.XLOOKUP($B159,[1]data!$C$2:$C$201,[1]data!N$2:N$201)*1000000)</f>
        <v>#VALUE!</v>
      </c>
      <c r="H159">
        <f>[4]data!H159*1000000000/(_xlfn.XLOOKUP($B159,[1]data!$C$2:$C$201,[1]data!O$2:O$201)*1000000)</f>
        <v>7411.8669012853634</v>
      </c>
      <c r="I159">
        <f>[4]data!I159*1000000000/(_xlfn.XLOOKUP($B159,[1]data!$C$2:$C$201,[1]data!P$2:P$201)*1000000)</f>
        <v>8424.5493648867359</v>
      </c>
      <c r="J159">
        <f>[4]data!J159*1000000000/(_xlfn.XLOOKUP($B159,[1]data!$C$2:$C$201,[1]data!Q$2:Q$201)*1000000)</f>
        <v>11647.050489540177</v>
      </c>
      <c r="K159">
        <f>[4]data!K159*1000000000/(_xlfn.XLOOKUP($B159,[1]data!$C$2:$C$201,[1]data!R$2:R$201)*1000000)</f>
        <v>13802.908345653517</v>
      </c>
      <c r="L159">
        <f>[4]data!L159*1000000000/(_xlfn.XLOOKUP($B159,[1]data!$C$2:$C$201,[1]data!S$2:S$201)*1000000)</f>
        <v>14683.266893131551</v>
      </c>
      <c r="M159">
        <f>[4]data!M159*1000000000/(_xlfn.XLOOKUP($B159,[1]data!$C$2:$C$201,[1]data!T$2:T$201)*1000000)</f>
        <v>17074.068842587069</v>
      </c>
      <c r="N159">
        <f>[4]data!N159*1000000000/(_xlfn.XLOOKUP($B159,[1]data!$C$2:$C$201,[1]data!U$2:U$201)*1000000)</f>
        <v>21265.385643928577</v>
      </c>
      <c r="O159">
        <f>[4]data!O159*1000000000/(_xlfn.XLOOKUP($B159,[1]data!$C$2:$C$201,[1]data!V$2:V$201)*1000000)</f>
        <v>26232.79706607715</v>
      </c>
      <c r="P159">
        <f>[4]data!P159*1000000000/(_xlfn.XLOOKUP($B159,[1]data!$C$2:$C$201,[1]data!W$2:W$201)*1000000)</f>
        <v>31210.62047453288</v>
      </c>
      <c r="Q159">
        <f>[4]data!Q159*1000000000/(_xlfn.XLOOKUP($B159,[1]data!$C$2:$C$201,[1]data!X$2:X$201)*1000000)</f>
        <v>35873.674389401276</v>
      </c>
      <c r="R159">
        <f>[4]data!R159*1000000000/(_xlfn.XLOOKUP($B159,[1]data!$C$2:$C$201,[1]data!Y$2:Y$201)*1000000)</f>
        <v>40345.350103489363</v>
      </c>
      <c r="S159">
        <f>[4]data!S159*1000000000/(_xlfn.XLOOKUP($B159,[1]data!$C$2:$C$201,[1]data!Z$2:Z$201)*1000000)</f>
        <v>44673.857509780086</v>
      </c>
      <c r="T159">
        <f>[4]data!T159*1000000000/(_xlfn.XLOOKUP($B159,[1]data!$C$2:$C$201,[1]data!AA$2:AA$201)*1000000)</f>
        <v>48941.862965724576</v>
      </c>
      <c r="U159">
        <f>[4]data!U159*1000000000/(_xlfn.XLOOKUP($B159,[1]data!$C$2:$C$201,[1]data!AB$2:AB$201)*1000000)</f>
        <v>53262.05275532099</v>
      </c>
      <c r="V159">
        <f>[4]data!V159*1000000000/(_xlfn.XLOOKUP($B159,[1]data!$C$2:$C$201,[1]data!AC$2:AC$201)*1000000)</f>
        <v>57770.128901739561</v>
      </c>
      <c r="W159">
        <f>[4]data!W159*1000000000/(_xlfn.XLOOKUP($B159,[1]data!$C$2:$C$201,[1]data!AD$2:AD$201)*1000000)</f>
        <v>62415.064911820918</v>
      </c>
      <c r="X159">
        <f>[4]data!X159*1000000000/(_xlfn.XLOOKUP($B159,[1]data!$C$2:$C$201,[1]data!AE$2:AE$201)*1000000)</f>
        <v>67164.575668783204</v>
      </c>
      <c r="Y159">
        <f>[4]data!Y159*1000000000/(_xlfn.XLOOKUP($B159,[1]data!$C$2:$C$201,[1]data!AF$2:AF$201)*1000000)</f>
        <v>72050.19722179677</v>
      </c>
      <c r="Z159">
        <f>[4]data!Z159*1000000000/(_xlfn.XLOOKUP($B159,[1]data!$C$2:$C$201,[1]data!AG$2:AG$201)*1000000)</f>
        <v>77079.575249016125</v>
      </c>
      <c r="AA159">
        <f>[4]data!AA159*1000000000/(_xlfn.XLOOKUP($B159,[1]data!$C$2:$C$201,[1]data!AH$2:AH$201)*1000000)</f>
        <v>82345.112788527738</v>
      </c>
      <c r="AB159">
        <f>[4]data!AB159*1000000000/(_xlfn.XLOOKUP($B159,[1]data!$C$2:$C$201,[1]data!AI$2:AI$201)*1000000)</f>
        <v>87931.079067504965</v>
      </c>
      <c r="AC159">
        <f>[4]data!AC159*1000000000/(_xlfn.XLOOKUP($B159,[1]data!$C$2:$C$201,[1]data!AJ$2:AJ$201)*1000000)</f>
        <v>93919.997116511644</v>
      </c>
    </row>
    <row r="160" spans="1:29" x14ac:dyDescent="0.25">
      <c r="A160" t="s">
        <v>232</v>
      </c>
      <c r="B160" t="s">
        <v>196</v>
      </c>
      <c r="C160" t="s">
        <v>233</v>
      </c>
      <c r="D160" t="s">
        <v>234</v>
      </c>
      <c r="E160" t="e">
        <f>[4]data!E160*1000000000/(_xlfn.XLOOKUP($B160,[1]data!$C$2:$C$201,[1]data!L$2:L$201)*1000000)</f>
        <v>#VALUE!</v>
      </c>
      <c r="F160" t="e">
        <f>[4]data!F160*1000000000/(_xlfn.XLOOKUP($B160,[1]data!$C$2:$C$201,[1]data!M$2:M$201)*1000000)</f>
        <v>#VALUE!</v>
      </c>
      <c r="G160" t="e">
        <f>[4]data!G160*1000000000/(_xlfn.XLOOKUP($B160,[1]data!$C$2:$C$201,[1]data!N$2:N$201)*1000000)</f>
        <v>#VALUE!</v>
      </c>
      <c r="H160" t="e">
        <f>[4]data!H160*1000000000/(_xlfn.XLOOKUP($B160,[1]data!$C$2:$C$201,[1]data!O$2:O$201)*1000000)</f>
        <v>#VALUE!</v>
      </c>
      <c r="I160" t="e">
        <f>[4]data!I160*1000000000/(_xlfn.XLOOKUP($B160,[1]data!$C$2:$C$201,[1]data!P$2:P$201)*1000000)</f>
        <v>#VALUE!</v>
      </c>
      <c r="J160" t="e">
        <f>[4]data!J160*1000000000/(_xlfn.XLOOKUP($B160,[1]data!$C$2:$C$201,[1]data!Q$2:Q$201)*1000000)</f>
        <v>#VALUE!</v>
      </c>
      <c r="K160" t="e">
        <f>[4]data!K160*1000000000/(_xlfn.XLOOKUP($B160,[1]data!$C$2:$C$201,[1]data!R$2:R$201)*1000000)</f>
        <v>#VALUE!</v>
      </c>
      <c r="L160">
        <f>[4]data!L160*1000000000/(_xlfn.XLOOKUP($B160,[1]data!$C$2:$C$201,[1]data!S$2:S$201)*1000000)</f>
        <v>635.0318251624675</v>
      </c>
      <c r="M160">
        <f>[4]data!M160*1000000000/(_xlfn.XLOOKUP($B160,[1]data!$C$2:$C$201,[1]data!T$2:T$201)*1000000)</f>
        <v>505.27626208828292</v>
      </c>
      <c r="N160">
        <f>[4]data!N160*1000000000/(_xlfn.XLOOKUP($B160,[1]data!$C$2:$C$201,[1]data!U$2:U$201)*1000000)</f>
        <v>578.47042819050955</v>
      </c>
      <c r="O160">
        <f>[4]data!O160*1000000000/(_xlfn.XLOOKUP($B160,[1]data!$C$2:$C$201,[1]data!V$2:V$201)*1000000)</f>
        <v>707.06228977214721</v>
      </c>
      <c r="P160">
        <f>[4]data!P160*1000000000/(_xlfn.XLOOKUP($B160,[1]data!$C$2:$C$201,[1]data!W$2:W$201)*1000000)</f>
        <v>834.76319804283764</v>
      </c>
      <c r="Q160">
        <f>[4]data!Q160*1000000000/(_xlfn.XLOOKUP($B160,[1]data!$C$2:$C$201,[1]data!X$2:X$201)*1000000)</f>
        <v>975.74880951478542</v>
      </c>
      <c r="R160">
        <f>[4]data!R160*1000000000/(_xlfn.XLOOKUP($B160,[1]data!$C$2:$C$201,[1]data!Y$2:Y$201)*1000000)</f>
        <v>1175.5965455457849</v>
      </c>
      <c r="S160">
        <f>[4]data!S160*1000000000/(_xlfn.XLOOKUP($B160,[1]data!$C$2:$C$201,[1]data!Z$2:Z$201)*1000000)</f>
        <v>1460.2047068705936</v>
      </c>
      <c r="T160">
        <f>[4]data!T160*1000000000/(_xlfn.XLOOKUP($B160,[1]data!$C$2:$C$201,[1]data!AA$2:AA$201)*1000000)</f>
        <v>1843.0555884470677</v>
      </c>
      <c r="U160">
        <f>[4]data!U160*1000000000/(_xlfn.XLOOKUP($B160,[1]data!$C$2:$C$201,[1]data!AB$2:AB$201)*1000000)</f>
        <v>2324.9443306123558</v>
      </c>
      <c r="V160">
        <f>[4]data!V160*1000000000/(_xlfn.XLOOKUP($B160,[1]data!$C$2:$C$201,[1]data!AC$2:AC$201)*1000000)</f>
        <v>2909.8802965932414</v>
      </c>
      <c r="W160">
        <f>[4]data!W160*1000000000/(_xlfn.XLOOKUP($B160,[1]data!$C$2:$C$201,[1]data!AD$2:AD$201)*1000000)</f>
        <v>3620.8676591635763</v>
      </c>
      <c r="X160">
        <f>[4]data!X160*1000000000/(_xlfn.XLOOKUP($B160,[1]data!$C$2:$C$201,[1]data!AE$2:AE$201)*1000000)</f>
        <v>4502.67176935928</v>
      </c>
      <c r="Y160">
        <f>[4]data!Y160*1000000000/(_xlfn.XLOOKUP($B160,[1]data!$C$2:$C$201,[1]data!AF$2:AF$201)*1000000)</f>
        <v>5588.2580623189997</v>
      </c>
      <c r="Z160">
        <f>[4]data!Z160*1000000000/(_xlfn.XLOOKUP($B160,[1]data!$C$2:$C$201,[1]data!AG$2:AG$201)*1000000)</f>
        <v>6891.6617171885619</v>
      </c>
      <c r="AA160">
        <f>[4]data!AA160*1000000000/(_xlfn.XLOOKUP($B160,[1]data!$C$2:$C$201,[1]data!AH$2:AH$201)*1000000)</f>
        <v>8413.4576203041488</v>
      </c>
      <c r="AB160">
        <f>[4]data!AB160*1000000000/(_xlfn.XLOOKUP($B160,[1]data!$C$2:$C$201,[1]data!AI$2:AI$201)*1000000)</f>
        <v>10161.083612419408</v>
      </c>
      <c r="AC160">
        <f>[4]data!AC160*1000000000/(_xlfn.XLOOKUP($B160,[1]data!$C$2:$C$201,[1]data!AJ$2:AJ$201)*1000000)</f>
        <v>12175.550394393882</v>
      </c>
    </row>
    <row r="161" spans="1:29" x14ac:dyDescent="0.25">
      <c r="A161" t="s">
        <v>232</v>
      </c>
      <c r="B161" t="s">
        <v>197</v>
      </c>
      <c r="C161" t="s">
        <v>233</v>
      </c>
      <c r="D161" t="s">
        <v>234</v>
      </c>
      <c r="E161">
        <f>[4]data!E161*1000000000/(_xlfn.XLOOKUP($B161,[1]data!$C$2:$C$201,[1]data!L$2:L$201)*1000000)</f>
        <v>3579.4087368847941</v>
      </c>
      <c r="F161">
        <f>[4]data!F161*1000000000/(_xlfn.XLOOKUP($B161,[1]data!$C$2:$C$201,[1]data!M$2:M$201)*1000000)</f>
        <v>2979.7859127153433</v>
      </c>
      <c r="G161">
        <f>[4]data!G161*1000000000/(_xlfn.XLOOKUP($B161,[1]data!$C$2:$C$201,[1]data!N$2:N$201)*1000000)</f>
        <v>2486.5887815094243</v>
      </c>
      <c r="H161">
        <f>[4]data!H161*1000000000/(_xlfn.XLOOKUP($B161,[1]data!$C$2:$C$201,[1]data!O$2:O$201)*1000000)</f>
        <v>2408.6163364647546</v>
      </c>
      <c r="I161">
        <f>[4]data!I161*1000000000/(_xlfn.XLOOKUP($B161,[1]data!$C$2:$C$201,[1]data!P$2:P$201)*1000000)</f>
        <v>2406.7400149871482</v>
      </c>
      <c r="J161">
        <f>[4]data!J161*1000000000/(_xlfn.XLOOKUP($B161,[1]data!$C$2:$C$201,[1]data!Q$2:Q$201)*1000000)</f>
        <v>2673.4575014404168</v>
      </c>
      <c r="K161">
        <f>[4]data!K161*1000000000/(_xlfn.XLOOKUP($B161,[1]data!$C$2:$C$201,[1]data!R$2:R$201)*1000000)</f>
        <v>3026.6853153063157</v>
      </c>
      <c r="L161">
        <f>[4]data!L161*1000000000/(_xlfn.XLOOKUP($B161,[1]data!$C$2:$C$201,[1]data!S$2:S$201)*1000000)</f>
        <v>3216.4560581510259</v>
      </c>
      <c r="M161">
        <f>[4]data!M161*1000000000/(_xlfn.XLOOKUP($B161,[1]data!$C$2:$C$201,[1]data!T$2:T$201)*1000000)</f>
        <v>3548.0205346406433</v>
      </c>
      <c r="N161">
        <f>[4]data!N161*1000000000/(_xlfn.XLOOKUP($B161,[1]data!$C$2:$C$201,[1]data!U$2:U$201)*1000000)</f>
        <v>3494.5698632675144</v>
      </c>
      <c r="O161">
        <f>[4]data!O161*1000000000/(_xlfn.XLOOKUP($B161,[1]data!$C$2:$C$201,[1]data!V$2:V$201)*1000000)</f>
        <v>3859.1266314805212</v>
      </c>
      <c r="P161">
        <f>[4]data!P161*1000000000/(_xlfn.XLOOKUP($B161,[1]data!$C$2:$C$201,[1]data!W$2:W$201)*1000000)</f>
        <v>4358.0681049871391</v>
      </c>
      <c r="Q161">
        <f>[4]data!Q161*1000000000/(_xlfn.XLOOKUP($B161,[1]data!$C$2:$C$201,[1]data!X$2:X$201)*1000000)</f>
        <v>4990.8136526857934</v>
      </c>
      <c r="R161">
        <f>[4]data!R161*1000000000/(_xlfn.XLOOKUP($B161,[1]data!$C$2:$C$201,[1]data!Y$2:Y$201)*1000000)</f>
        <v>5789.1326951459632</v>
      </c>
      <c r="S161">
        <f>[4]data!S161*1000000000/(_xlfn.XLOOKUP($B161,[1]data!$C$2:$C$201,[1]data!Z$2:Z$201)*1000000)</f>
        <v>6786.3591558423941</v>
      </c>
      <c r="T161">
        <f>[4]data!T161*1000000000/(_xlfn.XLOOKUP($B161,[1]data!$C$2:$C$201,[1]data!AA$2:AA$201)*1000000)</f>
        <v>8020.9234915858742</v>
      </c>
      <c r="U161">
        <f>[4]data!U161*1000000000/(_xlfn.XLOOKUP($B161,[1]data!$C$2:$C$201,[1]data!AB$2:AB$201)*1000000)</f>
        <v>9518.8584459421327</v>
      </c>
      <c r="V161">
        <f>[4]data!V161*1000000000/(_xlfn.XLOOKUP($B161,[1]data!$C$2:$C$201,[1]data!AC$2:AC$201)*1000000)</f>
        <v>11300.111274018514</v>
      </c>
      <c r="W161">
        <f>[4]data!W161*1000000000/(_xlfn.XLOOKUP($B161,[1]data!$C$2:$C$201,[1]data!AD$2:AD$201)*1000000)</f>
        <v>13370.544212507206</v>
      </c>
      <c r="X161">
        <f>[4]data!X161*1000000000/(_xlfn.XLOOKUP($B161,[1]data!$C$2:$C$201,[1]data!AE$2:AE$201)*1000000)</f>
        <v>15776.913567944755</v>
      </c>
      <c r="Y161">
        <f>[4]data!Y161*1000000000/(_xlfn.XLOOKUP($B161,[1]data!$C$2:$C$201,[1]data!AF$2:AF$201)*1000000)</f>
        <v>18509.367647019459</v>
      </c>
      <c r="Z161">
        <f>[4]data!Z161*1000000000/(_xlfn.XLOOKUP($B161,[1]data!$C$2:$C$201,[1]data!AG$2:AG$201)*1000000)</f>
        <v>21553.332248069935</v>
      </c>
      <c r="AA161">
        <f>[4]data!AA161*1000000000/(_xlfn.XLOOKUP($B161,[1]data!$C$2:$C$201,[1]data!AH$2:AH$201)*1000000)</f>
        <v>24935.82674957881</v>
      </c>
      <c r="AB161">
        <f>[4]data!AB161*1000000000/(_xlfn.XLOOKUP($B161,[1]data!$C$2:$C$201,[1]data!AI$2:AI$201)*1000000)</f>
        <v>28696.761672961402</v>
      </c>
      <c r="AC161">
        <f>[4]data!AC161*1000000000/(_xlfn.XLOOKUP($B161,[1]data!$C$2:$C$201,[1]data!AJ$2:AJ$201)*1000000)</f>
        <v>32874.842163200556</v>
      </c>
    </row>
    <row r="162" spans="1:29" x14ac:dyDescent="0.25">
      <c r="A162" t="s">
        <v>232</v>
      </c>
      <c r="B162" t="s">
        <v>198</v>
      </c>
      <c r="C162" t="s">
        <v>233</v>
      </c>
      <c r="D162" t="s">
        <v>234</v>
      </c>
      <c r="E162">
        <f>[4]data!E162*1000000000/(_xlfn.XLOOKUP($B162,[1]data!$C$2:$C$201,[1]data!L$2:L$201)*1000000)</f>
        <v>17245.398462108828</v>
      </c>
      <c r="F162">
        <f>[4]data!F162*1000000000/(_xlfn.XLOOKUP($B162,[1]data!$C$2:$C$201,[1]data!M$2:M$201)*1000000)</f>
        <v>14643.510007306879</v>
      </c>
      <c r="G162">
        <f>[4]data!G162*1000000000/(_xlfn.XLOOKUP($B162,[1]data!$C$2:$C$201,[1]data!N$2:N$201)*1000000)</f>
        <v>13611.030048345834</v>
      </c>
      <c r="H162">
        <f>[4]data!H162*1000000000/(_xlfn.XLOOKUP($B162,[1]data!$C$2:$C$201,[1]data!O$2:O$201)*1000000)</f>
        <v>11808.731953868921</v>
      </c>
      <c r="I162">
        <f>[4]data!I162*1000000000/(_xlfn.XLOOKUP($B162,[1]data!$C$2:$C$201,[1]data!P$2:P$201)*1000000)</f>
        <v>12866.756534743141</v>
      </c>
      <c r="J162">
        <f>[4]data!J162*1000000000/(_xlfn.XLOOKUP($B162,[1]data!$C$2:$C$201,[1]data!Q$2:Q$201)*1000000)</f>
        <v>15482.978673668953</v>
      </c>
      <c r="K162">
        <f>[4]data!K162*1000000000/(_xlfn.XLOOKUP($B162,[1]data!$C$2:$C$201,[1]data!R$2:R$201)*1000000)</f>
        <v>18358.37194398815</v>
      </c>
      <c r="L162">
        <f>[4]data!L162*1000000000/(_xlfn.XLOOKUP($B162,[1]data!$C$2:$C$201,[1]data!S$2:S$201)*1000000)</f>
        <v>18865.386966621838</v>
      </c>
      <c r="M162">
        <f>[4]data!M162*1000000000/(_xlfn.XLOOKUP($B162,[1]data!$C$2:$C$201,[1]data!T$2:T$201)*1000000)</f>
        <v>15413.551018785804</v>
      </c>
      <c r="N162">
        <f>[4]data!N162*1000000000/(_xlfn.XLOOKUP($B162,[1]data!$C$2:$C$201,[1]data!U$2:U$201)*1000000)</f>
        <v>15640.68512813387</v>
      </c>
      <c r="O162">
        <f>[4]data!O162*1000000000/(_xlfn.XLOOKUP($B162,[1]data!$C$2:$C$201,[1]data!V$2:V$201)*1000000)</f>
        <v>17360.958037544904</v>
      </c>
      <c r="P162">
        <f>[4]data!P162*1000000000/(_xlfn.XLOOKUP($B162,[1]data!$C$2:$C$201,[1]data!W$2:W$201)*1000000)</f>
        <v>19383.190771403908</v>
      </c>
      <c r="Q162">
        <f>[4]data!Q162*1000000000/(_xlfn.XLOOKUP($B162,[1]data!$C$2:$C$201,[1]data!X$2:X$201)*1000000)</f>
        <v>21861.108255805932</v>
      </c>
      <c r="R162">
        <f>[4]data!R162*1000000000/(_xlfn.XLOOKUP($B162,[1]data!$C$2:$C$201,[1]data!Y$2:Y$201)*1000000)</f>
        <v>24743.467972614624</v>
      </c>
      <c r="S162">
        <f>[4]data!S162*1000000000/(_xlfn.XLOOKUP($B162,[1]data!$C$2:$C$201,[1]data!Z$2:Z$201)*1000000)</f>
        <v>27967.344084141478</v>
      </c>
      <c r="T162">
        <f>[4]data!T162*1000000000/(_xlfn.XLOOKUP($B162,[1]data!$C$2:$C$201,[1]data!AA$2:AA$201)*1000000)</f>
        <v>31486.052695701961</v>
      </c>
      <c r="U162">
        <f>[4]data!U162*1000000000/(_xlfn.XLOOKUP($B162,[1]data!$C$2:$C$201,[1]data!AB$2:AB$201)*1000000)</f>
        <v>35336.424817608146</v>
      </c>
      <c r="V162">
        <f>[4]data!V162*1000000000/(_xlfn.XLOOKUP($B162,[1]data!$C$2:$C$201,[1]data!AC$2:AC$201)*1000000)</f>
        <v>39455.942322037074</v>
      </c>
      <c r="W162">
        <f>[4]data!W162*1000000000/(_xlfn.XLOOKUP($B162,[1]data!$C$2:$C$201,[1]data!AD$2:AD$201)*1000000)</f>
        <v>43751.963561470628</v>
      </c>
      <c r="X162">
        <f>[4]data!X162*1000000000/(_xlfn.XLOOKUP($B162,[1]data!$C$2:$C$201,[1]data!AE$2:AE$201)*1000000)</f>
        <v>48244.53504354172</v>
      </c>
      <c r="Y162">
        <f>[4]data!Y162*1000000000/(_xlfn.XLOOKUP($B162,[1]data!$C$2:$C$201,[1]data!AF$2:AF$201)*1000000)</f>
        <v>52905.322567961462</v>
      </c>
      <c r="Z162">
        <f>[4]data!Z162*1000000000/(_xlfn.XLOOKUP($B162,[1]data!$C$2:$C$201,[1]data!AG$2:AG$201)*1000000)</f>
        <v>57727.246307550216</v>
      </c>
      <c r="AA162">
        <f>[4]data!AA162*1000000000/(_xlfn.XLOOKUP($B162,[1]data!$C$2:$C$201,[1]data!AH$2:AH$201)*1000000)</f>
        <v>62791.974070392964</v>
      </c>
      <c r="AB162">
        <f>[4]data!AB162*1000000000/(_xlfn.XLOOKUP($B162,[1]data!$C$2:$C$201,[1]data!AI$2:AI$201)*1000000)</f>
        <v>68100.914040492644</v>
      </c>
      <c r="AC162">
        <f>[4]data!AC162*1000000000/(_xlfn.XLOOKUP($B162,[1]data!$C$2:$C$201,[1]data!AJ$2:AJ$201)*1000000)</f>
        <v>73711.880567451983</v>
      </c>
    </row>
    <row r="163" spans="1:29" x14ac:dyDescent="0.25">
      <c r="A163" t="s">
        <v>232</v>
      </c>
      <c r="B163" t="s">
        <v>199</v>
      </c>
      <c r="C163" t="s">
        <v>233</v>
      </c>
      <c r="D163" t="s">
        <v>234</v>
      </c>
      <c r="E163" t="e">
        <f>[4]data!E163*1000000000/(_xlfn.XLOOKUP($B163,[1]data!$C$2:$C$201,[1]data!L$2:L$201)*1000000)</f>
        <v>#VALUE!</v>
      </c>
      <c r="F163" t="e">
        <f>[4]data!F163*1000000000/(_xlfn.XLOOKUP($B163,[1]data!$C$2:$C$201,[1]data!M$2:M$201)*1000000)</f>
        <v>#VALUE!</v>
      </c>
      <c r="G163" t="e">
        <f>[4]data!G163*1000000000/(_xlfn.XLOOKUP($B163,[1]data!$C$2:$C$201,[1]data!N$2:N$201)*1000000)</f>
        <v>#VALUE!</v>
      </c>
      <c r="H163">
        <f>[4]data!H163*1000000000/(_xlfn.XLOOKUP($B163,[1]data!$C$2:$C$201,[1]data!O$2:O$201)*1000000)</f>
        <v>13294.518722204295</v>
      </c>
      <c r="I163">
        <f>[4]data!I163*1000000000/(_xlfn.XLOOKUP($B163,[1]data!$C$2:$C$201,[1]data!P$2:P$201)*1000000)</f>
        <v>16383.847560036516</v>
      </c>
      <c r="J163">
        <f>[4]data!J163*1000000000/(_xlfn.XLOOKUP($B163,[1]data!$C$2:$C$201,[1]data!Q$2:Q$201)*1000000)</f>
        <v>20938.985022030367</v>
      </c>
      <c r="K163">
        <f>[4]data!K163*1000000000/(_xlfn.XLOOKUP($B163,[1]data!$C$2:$C$201,[1]data!R$2:R$201)*1000000)</f>
        <v>26730.960197982942</v>
      </c>
      <c r="L163">
        <f>[4]data!L163*1000000000/(_xlfn.XLOOKUP($B163,[1]data!$C$2:$C$201,[1]data!S$2:S$201)*1000000)</f>
        <v>30063.702020611865</v>
      </c>
      <c r="M163">
        <f>[4]data!M163*1000000000/(_xlfn.XLOOKUP($B163,[1]data!$C$2:$C$201,[1]data!T$2:T$201)*1000000)</f>
        <v>32311.066044017618</v>
      </c>
      <c r="N163">
        <f>[4]data!N163*1000000000/(_xlfn.XLOOKUP($B163,[1]data!$C$2:$C$201,[1]data!U$2:U$201)*1000000)</f>
        <v>36000.472564023337</v>
      </c>
      <c r="O163">
        <f>[4]data!O163*1000000000/(_xlfn.XLOOKUP($B163,[1]data!$C$2:$C$201,[1]data!V$2:V$201)*1000000)</f>
        <v>40212.837880501334</v>
      </c>
      <c r="P163">
        <f>[4]data!P163*1000000000/(_xlfn.XLOOKUP($B163,[1]data!$C$2:$C$201,[1]data!W$2:W$201)*1000000)</f>
        <v>44690.928182392287</v>
      </c>
      <c r="Q163">
        <f>[4]data!Q163*1000000000/(_xlfn.XLOOKUP($B163,[1]data!$C$2:$C$201,[1]data!X$2:X$201)*1000000)</f>
        <v>49299.16528786366</v>
      </c>
      <c r="R163">
        <f>[4]data!R163*1000000000/(_xlfn.XLOOKUP($B163,[1]data!$C$2:$C$201,[1]data!Y$2:Y$201)*1000000)</f>
        <v>53540.913361005172</v>
      </c>
      <c r="S163">
        <f>[4]data!S163*1000000000/(_xlfn.XLOOKUP($B163,[1]data!$C$2:$C$201,[1]data!Z$2:Z$201)*1000000)</f>
        <v>57697.806750026772</v>
      </c>
      <c r="T163">
        <f>[4]data!T163*1000000000/(_xlfn.XLOOKUP($B163,[1]data!$C$2:$C$201,[1]data!AA$2:AA$201)*1000000)</f>
        <v>61818.815204031911</v>
      </c>
      <c r="U163">
        <f>[4]data!U163*1000000000/(_xlfn.XLOOKUP($B163,[1]data!$C$2:$C$201,[1]data!AB$2:AB$201)*1000000)</f>
        <v>65937.477967597777</v>
      </c>
      <c r="V163">
        <f>[4]data!V163*1000000000/(_xlfn.XLOOKUP($B163,[1]data!$C$2:$C$201,[1]data!AC$2:AC$201)*1000000)</f>
        <v>70237.016708973286</v>
      </c>
      <c r="W163">
        <f>[4]data!W163*1000000000/(_xlfn.XLOOKUP($B163,[1]data!$C$2:$C$201,[1]data!AD$2:AD$201)*1000000)</f>
        <v>74670.25041251129</v>
      </c>
      <c r="X163">
        <f>[4]data!X163*1000000000/(_xlfn.XLOOKUP($B163,[1]data!$C$2:$C$201,[1]data!AE$2:AE$201)*1000000)</f>
        <v>78992.185955971887</v>
      </c>
      <c r="Y163">
        <f>[4]data!Y163*1000000000/(_xlfn.XLOOKUP($B163,[1]data!$C$2:$C$201,[1]data!AF$2:AF$201)*1000000)</f>
        <v>83058.83181721525</v>
      </c>
      <c r="Z163">
        <f>[4]data!Z163*1000000000/(_xlfn.XLOOKUP($B163,[1]data!$C$2:$C$201,[1]data!AG$2:AG$201)*1000000)</f>
        <v>86827.152890967613</v>
      </c>
      <c r="AA163">
        <f>[4]data!AA163*1000000000/(_xlfn.XLOOKUP($B163,[1]data!$C$2:$C$201,[1]data!AH$2:AH$201)*1000000)</f>
        <v>90359.782758852249</v>
      </c>
      <c r="AB163">
        <f>[4]data!AB163*1000000000/(_xlfn.XLOOKUP($B163,[1]data!$C$2:$C$201,[1]data!AI$2:AI$201)*1000000)</f>
        <v>93730.872797786986</v>
      </c>
      <c r="AC163">
        <f>[4]data!AC163*1000000000/(_xlfn.XLOOKUP($B163,[1]data!$C$2:$C$201,[1]data!AJ$2:AJ$201)*1000000)</f>
        <v>96967.910213999552</v>
      </c>
    </row>
    <row r="164" spans="1:29" x14ac:dyDescent="0.25">
      <c r="A164" t="s">
        <v>232</v>
      </c>
      <c r="B164" t="s">
        <v>200</v>
      </c>
      <c r="C164" t="s">
        <v>233</v>
      </c>
      <c r="D164" t="s">
        <v>234</v>
      </c>
      <c r="E164" t="e">
        <f>[4]data!E164*1000000000/(_xlfn.XLOOKUP($B164,[1]data!$C$2:$C$201,[1]data!L$2:L$201)*1000000)</f>
        <v>#VALUE!</v>
      </c>
      <c r="F164" t="e">
        <f>[4]data!F164*1000000000/(_xlfn.XLOOKUP($B164,[1]data!$C$2:$C$201,[1]data!M$2:M$201)*1000000)</f>
        <v>#VALUE!</v>
      </c>
      <c r="G164">
        <f>[4]data!G164*1000000000/(_xlfn.XLOOKUP($B164,[1]data!$C$2:$C$201,[1]data!N$2:N$201)*1000000)</f>
        <v>22189.522150950968</v>
      </c>
      <c r="H164">
        <f>[4]data!H164*1000000000/(_xlfn.XLOOKUP($B164,[1]data!$C$2:$C$201,[1]data!O$2:O$201)*1000000)</f>
        <v>21464.549072070931</v>
      </c>
      <c r="I164">
        <f>[4]data!I164*1000000000/(_xlfn.XLOOKUP($B164,[1]data!$C$2:$C$201,[1]data!P$2:P$201)*1000000)</f>
        <v>24634.907713797667</v>
      </c>
      <c r="J164">
        <f>[4]data!J164*1000000000/(_xlfn.XLOOKUP($B164,[1]data!$C$2:$C$201,[1]data!Q$2:Q$201)*1000000)</f>
        <v>29125.77005260724</v>
      </c>
      <c r="K164">
        <f>[4]data!K164*1000000000/(_xlfn.XLOOKUP($B164,[1]data!$C$2:$C$201,[1]data!R$2:R$201)*1000000)</f>
        <v>31166.519036060698</v>
      </c>
      <c r="L164">
        <f>[4]data!L164*1000000000/(_xlfn.XLOOKUP($B164,[1]data!$C$2:$C$201,[1]data!S$2:S$201)*1000000)</f>
        <v>31435.416446911164</v>
      </c>
      <c r="M164">
        <f>[4]data!M164*1000000000/(_xlfn.XLOOKUP($B164,[1]data!$C$2:$C$201,[1]data!T$2:T$201)*1000000)</f>
        <v>34540.386418278315</v>
      </c>
      <c r="N164">
        <f>[4]data!N164*1000000000/(_xlfn.XLOOKUP($B164,[1]data!$C$2:$C$201,[1]data!U$2:U$201)*1000000)</f>
        <v>40603.556149960226</v>
      </c>
      <c r="O164">
        <f>[4]data!O164*1000000000/(_xlfn.XLOOKUP($B164,[1]data!$C$2:$C$201,[1]data!V$2:V$201)*1000000)</f>
        <v>46001.030838621453</v>
      </c>
      <c r="P164">
        <f>[4]data!P164*1000000000/(_xlfn.XLOOKUP($B164,[1]data!$C$2:$C$201,[1]data!W$2:W$201)*1000000)</f>
        <v>50348.944548076593</v>
      </c>
      <c r="Q164">
        <f>[4]data!Q164*1000000000/(_xlfn.XLOOKUP($B164,[1]data!$C$2:$C$201,[1]data!X$2:X$201)*1000000)</f>
        <v>53890.107600824231</v>
      </c>
      <c r="R164">
        <f>[4]data!R164*1000000000/(_xlfn.XLOOKUP($B164,[1]data!$C$2:$C$201,[1]data!Y$2:Y$201)*1000000)</f>
        <v>56688.841302813737</v>
      </c>
      <c r="S164">
        <f>[4]data!S164*1000000000/(_xlfn.XLOOKUP($B164,[1]data!$C$2:$C$201,[1]data!Z$2:Z$201)*1000000)</f>
        <v>59526.327436661195</v>
      </c>
      <c r="T164">
        <f>[4]data!T164*1000000000/(_xlfn.XLOOKUP($B164,[1]data!$C$2:$C$201,[1]data!AA$2:AA$201)*1000000)</f>
        <v>62435.575260702361</v>
      </c>
      <c r="U164">
        <f>[4]data!U164*1000000000/(_xlfn.XLOOKUP($B164,[1]data!$C$2:$C$201,[1]data!AB$2:AB$201)*1000000)</f>
        <v>65480.674306136985</v>
      </c>
      <c r="V164">
        <f>[4]data!V164*1000000000/(_xlfn.XLOOKUP($B164,[1]data!$C$2:$C$201,[1]data!AC$2:AC$201)*1000000)</f>
        <v>68477.334927398988</v>
      </c>
      <c r="W164">
        <f>[4]data!W164*1000000000/(_xlfn.XLOOKUP($B164,[1]data!$C$2:$C$201,[1]data!AD$2:AD$201)*1000000)</f>
        <v>71317.395333475914</v>
      </c>
      <c r="X164">
        <f>[4]data!X164*1000000000/(_xlfn.XLOOKUP($B164,[1]data!$C$2:$C$201,[1]data!AE$2:AE$201)*1000000)</f>
        <v>73914.168818371196</v>
      </c>
      <c r="Y164">
        <f>[4]data!Y164*1000000000/(_xlfn.XLOOKUP($B164,[1]data!$C$2:$C$201,[1]data!AF$2:AF$201)*1000000)</f>
        <v>76253.803234751234</v>
      </c>
      <c r="Z164">
        <f>[4]data!Z164*1000000000/(_xlfn.XLOOKUP($B164,[1]data!$C$2:$C$201,[1]data!AG$2:AG$201)*1000000)</f>
        <v>78403.609231303155</v>
      </c>
      <c r="AA164">
        <f>[4]data!AA164*1000000000/(_xlfn.XLOOKUP($B164,[1]data!$C$2:$C$201,[1]data!AH$2:AH$201)*1000000)</f>
        <v>80425.452004872757</v>
      </c>
      <c r="AB164">
        <f>[4]data!AB164*1000000000/(_xlfn.XLOOKUP($B164,[1]data!$C$2:$C$201,[1]data!AI$2:AI$201)*1000000)</f>
        <v>82327.538903887093</v>
      </c>
      <c r="AC164">
        <f>[4]data!AC164*1000000000/(_xlfn.XLOOKUP($B164,[1]data!$C$2:$C$201,[1]data!AJ$2:AJ$201)*1000000)</f>
        <v>84066.195117522453</v>
      </c>
    </row>
    <row r="165" spans="1:29" x14ac:dyDescent="0.25">
      <c r="A165" t="s">
        <v>232</v>
      </c>
      <c r="B165" t="s">
        <v>201</v>
      </c>
      <c r="C165" t="s">
        <v>233</v>
      </c>
      <c r="D165" t="s">
        <v>234</v>
      </c>
      <c r="E165">
        <f>[4]data!E165*1000000000/(_xlfn.XLOOKUP($B165,[1]data!$C$2:$C$201,[1]data!L$2:L$201)*1000000)</f>
        <v>28300.651839516482</v>
      </c>
      <c r="F165">
        <f>[4]data!F165*1000000000/(_xlfn.XLOOKUP($B165,[1]data!$C$2:$C$201,[1]data!M$2:M$201)*1000000)</f>
        <v>30947.47626885225</v>
      </c>
      <c r="G165">
        <f>[4]data!G165*1000000000/(_xlfn.XLOOKUP($B165,[1]data!$C$2:$C$201,[1]data!N$2:N$201)*1000000)</f>
        <v>34247.546621147776</v>
      </c>
      <c r="H165">
        <f>[4]data!H165*1000000000/(_xlfn.XLOOKUP($B165,[1]data!$C$2:$C$201,[1]data!O$2:O$201)*1000000)</f>
        <v>34543.746250758428</v>
      </c>
      <c r="I165">
        <f>[4]data!I165*1000000000/(_xlfn.XLOOKUP($B165,[1]data!$C$2:$C$201,[1]data!P$2:P$201)*1000000)</f>
        <v>39223.514986748196</v>
      </c>
      <c r="J165">
        <f>[4]data!J165*1000000000/(_xlfn.XLOOKUP($B165,[1]data!$C$2:$C$201,[1]data!Q$2:Q$201)*1000000)</f>
        <v>43718.560066411643</v>
      </c>
      <c r="K165">
        <f>[4]data!K165*1000000000/(_xlfn.XLOOKUP($B165,[1]data!$C$2:$C$201,[1]data!R$2:R$201)*1000000)</f>
        <v>46165.686639183499</v>
      </c>
      <c r="L165">
        <f>[4]data!L165*1000000000/(_xlfn.XLOOKUP($B165,[1]data!$C$2:$C$201,[1]data!S$2:S$201)*1000000)</f>
        <v>49096.494117944829</v>
      </c>
      <c r="M165">
        <f>[4]data!M165*1000000000/(_xlfn.XLOOKUP($B165,[1]data!$C$2:$C$201,[1]data!T$2:T$201)*1000000)</f>
        <v>49613.744783418239</v>
      </c>
      <c r="N165">
        <f>[4]data!N165*1000000000/(_xlfn.XLOOKUP($B165,[1]data!$C$2:$C$201,[1]data!U$2:U$201)*1000000)</f>
        <v>54414.042567924611</v>
      </c>
      <c r="O165">
        <f>[4]data!O165*1000000000/(_xlfn.XLOOKUP($B165,[1]data!$C$2:$C$201,[1]data!V$2:V$201)*1000000)</f>
        <v>60617.984328262894</v>
      </c>
      <c r="P165">
        <f>[4]data!P165*1000000000/(_xlfn.XLOOKUP($B165,[1]data!$C$2:$C$201,[1]data!W$2:W$201)*1000000)</f>
        <v>65457.994295732729</v>
      </c>
      <c r="Q165">
        <f>[4]data!Q165*1000000000/(_xlfn.XLOOKUP($B165,[1]data!$C$2:$C$201,[1]data!X$2:X$201)*1000000)</f>
        <v>69437.260784110898</v>
      </c>
      <c r="R165">
        <f>[4]data!R165*1000000000/(_xlfn.XLOOKUP($B165,[1]data!$C$2:$C$201,[1]data!Y$2:Y$201)*1000000)</f>
        <v>72826.416656625908</v>
      </c>
      <c r="S165">
        <f>[4]data!S165*1000000000/(_xlfn.XLOOKUP($B165,[1]data!$C$2:$C$201,[1]data!Z$2:Z$201)*1000000)</f>
        <v>75793.945794817366</v>
      </c>
      <c r="T165">
        <f>[4]data!T165*1000000000/(_xlfn.XLOOKUP($B165,[1]data!$C$2:$C$201,[1]data!AA$2:AA$201)*1000000)</f>
        <v>78875.369881447419</v>
      </c>
      <c r="U165">
        <f>[4]data!U165*1000000000/(_xlfn.XLOOKUP($B165,[1]data!$C$2:$C$201,[1]data!AB$2:AB$201)*1000000)</f>
        <v>82285.132906762519</v>
      </c>
      <c r="V165">
        <f>[4]data!V165*1000000000/(_xlfn.XLOOKUP($B165,[1]data!$C$2:$C$201,[1]data!AC$2:AC$201)*1000000)</f>
        <v>86019.280030729497</v>
      </c>
      <c r="W165">
        <f>[4]data!W165*1000000000/(_xlfn.XLOOKUP($B165,[1]data!$C$2:$C$201,[1]data!AD$2:AD$201)*1000000)</f>
        <v>89682.54465165647</v>
      </c>
      <c r="X165">
        <f>[4]data!X165*1000000000/(_xlfn.XLOOKUP($B165,[1]data!$C$2:$C$201,[1]data!AE$2:AE$201)*1000000)</f>
        <v>93119.504574166145</v>
      </c>
      <c r="Y165">
        <f>[4]data!Y165*1000000000/(_xlfn.XLOOKUP($B165,[1]data!$C$2:$C$201,[1]data!AF$2:AF$201)*1000000)</f>
        <v>96396.461708558374</v>
      </c>
      <c r="Z165">
        <f>[4]data!Z165*1000000000/(_xlfn.XLOOKUP($B165,[1]data!$C$2:$C$201,[1]data!AG$2:AG$201)*1000000)</f>
        <v>99647.387112172568</v>
      </c>
      <c r="AA165">
        <f>[4]data!AA165*1000000000/(_xlfn.XLOOKUP($B165,[1]data!$C$2:$C$201,[1]data!AH$2:AH$201)*1000000)</f>
        <v>102938.26519180145</v>
      </c>
      <c r="AB165">
        <f>[4]data!AB165*1000000000/(_xlfn.XLOOKUP($B165,[1]data!$C$2:$C$201,[1]data!AI$2:AI$201)*1000000)</f>
        <v>106197.60287573877</v>
      </c>
      <c r="AC165">
        <f>[4]data!AC165*1000000000/(_xlfn.XLOOKUP($B165,[1]data!$C$2:$C$201,[1]data!AJ$2:AJ$201)*1000000)</f>
        <v>109281.8524254224</v>
      </c>
    </row>
    <row r="166" spans="1:29" x14ac:dyDescent="0.25">
      <c r="A166" t="s">
        <v>232</v>
      </c>
      <c r="B166" t="s">
        <v>202</v>
      </c>
      <c r="C166" t="s">
        <v>233</v>
      </c>
      <c r="D166" t="s">
        <v>234</v>
      </c>
      <c r="E166">
        <f>[4]data!E166*1000000000/(_xlfn.XLOOKUP($B166,[1]data!$C$2:$C$201,[1]data!L$2:L$201)*1000000)</f>
        <v>3747.8617015674345</v>
      </c>
      <c r="F166">
        <f>[4]data!F166*1000000000/(_xlfn.XLOOKUP($B166,[1]data!$C$2:$C$201,[1]data!M$2:M$201)*1000000)</f>
        <v>3609.750287939371</v>
      </c>
      <c r="G166">
        <f>[4]data!G166*1000000000/(_xlfn.XLOOKUP($B166,[1]data!$C$2:$C$201,[1]data!N$2:N$201)*1000000)</f>
        <v>5012.5663589841697</v>
      </c>
      <c r="H166">
        <f>[4]data!H166*1000000000/(_xlfn.XLOOKUP($B166,[1]data!$C$2:$C$201,[1]data!O$2:O$201)*1000000)</f>
        <v>5167.8008189646944</v>
      </c>
      <c r="I166">
        <f>[4]data!I166*1000000000/(_xlfn.XLOOKUP($B166,[1]data!$C$2:$C$201,[1]data!P$2:P$201)*1000000)</f>
        <v>5473.9139005505886</v>
      </c>
      <c r="J166">
        <f>[4]data!J166*1000000000/(_xlfn.XLOOKUP($B166,[1]data!$C$2:$C$201,[1]data!Q$2:Q$201)*1000000)</f>
        <v>6315.0672245561154</v>
      </c>
      <c r="K166">
        <f>[4]data!K166*1000000000/(_xlfn.XLOOKUP($B166,[1]data!$C$2:$C$201,[1]data!R$2:R$201)*1000000)</f>
        <v>7238.1878444177328</v>
      </c>
      <c r="L166">
        <f>[4]data!L166*1000000000/(_xlfn.XLOOKUP($B166,[1]data!$C$2:$C$201,[1]data!S$2:S$201)*1000000)</f>
        <v>8118.4487950474177</v>
      </c>
      <c r="M166">
        <f>[4]data!M166*1000000000/(_xlfn.XLOOKUP($B166,[1]data!$C$2:$C$201,[1]data!T$2:T$201)*1000000)</f>
        <v>8335.6270545553652</v>
      </c>
      <c r="N166">
        <f>[4]data!N166*1000000000/(_xlfn.XLOOKUP($B166,[1]data!$C$2:$C$201,[1]data!U$2:U$201)*1000000)</f>
        <v>9748.6057346651123</v>
      </c>
      <c r="O166">
        <f>[4]data!O166*1000000000/(_xlfn.XLOOKUP($B166,[1]data!$C$2:$C$201,[1]data!V$2:V$201)*1000000)</f>
        <v>10821.978083486742</v>
      </c>
      <c r="P166">
        <f>[4]data!P166*1000000000/(_xlfn.XLOOKUP($B166,[1]data!$C$2:$C$201,[1]data!W$2:W$201)*1000000)</f>
        <v>12337.955430526838</v>
      </c>
      <c r="Q166">
        <f>[4]data!Q166*1000000000/(_xlfn.XLOOKUP($B166,[1]data!$C$2:$C$201,[1]data!X$2:X$201)*1000000)</f>
        <v>14141.285237265653</v>
      </c>
      <c r="R166">
        <f>[4]data!R166*1000000000/(_xlfn.XLOOKUP($B166,[1]data!$C$2:$C$201,[1]data!Y$2:Y$201)*1000000)</f>
        <v>16258.056674662272</v>
      </c>
      <c r="S166">
        <f>[4]data!S166*1000000000/(_xlfn.XLOOKUP($B166,[1]data!$C$2:$C$201,[1]data!Z$2:Z$201)*1000000)</f>
        <v>18732.755083270837</v>
      </c>
      <c r="T166">
        <f>[4]data!T166*1000000000/(_xlfn.XLOOKUP($B166,[1]data!$C$2:$C$201,[1]data!AA$2:AA$201)*1000000)</f>
        <v>21612.484848056487</v>
      </c>
      <c r="U166">
        <f>[4]data!U166*1000000000/(_xlfn.XLOOKUP($B166,[1]data!$C$2:$C$201,[1]data!AB$2:AB$201)*1000000)</f>
        <v>24942.181359996979</v>
      </c>
      <c r="V166">
        <f>[4]data!V166*1000000000/(_xlfn.XLOOKUP($B166,[1]data!$C$2:$C$201,[1]data!AC$2:AC$201)*1000000)</f>
        <v>28667.061466262647</v>
      </c>
      <c r="W166">
        <f>[4]data!W166*1000000000/(_xlfn.XLOOKUP($B166,[1]data!$C$2:$C$201,[1]data!AD$2:AD$201)*1000000)</f>
        <v>32619.123854304213</v>
      </c>
      <c r="X166">
        <f>[4]data!X166*1000000000/(_xlfn.XLOOKUP($B166,[1]data!$C$2:$C$201,[1]data!AE$2:AE$201)*1000000)</f>
        <v>36819.019434109781</v>
      </c>
      <c r="Y166">
        <f>[4]data!Y166*1000000000/(_xlfn.XLOOKUP($B166,[1]data!$C$2:$C$201,[1]data!AF$2:AF$201)*1000000)</f>
        <v>41343.623938942612</v>
      </c>
      <c r="Z166">
        <f>[4]data!Z166*1000000000/(_xlfn.XLOOKUP($B166,[1]data!$C$2:$C$201,[1]data!AG$2:AG$201)*1000000)</f>
        <v>46249.691375757582</v>
      </c>
      <c r="AA166">
        <f>[4]data!AA166*1000000000/(_xlfn.XLOOKUP($B166,[1]data!$C$2:$C$201,[1]data!AH$2:AH$201)*1000000)</f>
        <v>51560.387257288116</v>
      </c>
      <c r="AB166">
        <f>[4]data!AB166*1000000000/(_xlfn.XLOOKUP($B166,[1]data!$C$2:$C$201,[1]data!AI$2:AI$201)*1000000)</f>
        <v>57279.392212105835</v>
      </c>
      <c r="AC166">
        <f>[4]data!AC166*1000000000/(_xlfn.XLOOKUP($B166,[1]data!$C$2:$C$201,[1]data!AJ$2:AJ$201)*1000000)</f>
        <v>63376.90358513761</v>
      </c>
    </row>
    <row r="167" spans="1:29" x14ac:dyDescent="0.25">
      <c r="A167" t="s">
        <v>232</v>
      </c>
      <c r="B167" t="s">
        <v>203</v>
      </c>
      <c r="C167" t="s">
        <v>233</v>
      </c>
      <c r="D167" t="s">
        <v>234</v>
      </c>
      <c r="E167">
        <f>[4]data!E167*1000000000/(_xlfn.XLOOKUP($B167,[1]data!$C$2:$C$201,[1]data!L$2:L$201)*1000000)</f>
        <v>10125.721586798232</v>
      </c>
      <c r="F167">
        <f>[4]data!F167*1000000000/(_xlfn.XLOOKUP($B167,[1]data!$C$2:$C$201,[1]data!M$2:M$201)*1000000)</f>
        <v>10473.129890685324</v>
      </c>
      <c r="G167">
        <f>[4]data!G167*1000000000/(_xlfn.XLOOKUP($B167,[1]data!$C$2:$C$201,[1]data!N$2:N$201)*1000000)</f>
        <v>13204.578555167487</v>
      </c>
      <c r="H167">
        <f>[4]data!H167*1000000000/(_xlfn.XLOOKUP($B167,[1]data!$C$2:$C$201,[1]data!O$2:O$201)*1000000)</f>
        <v>14554.688551056101</v>
      </c>
      <c r="I167">
        <f>[4]data!I167*1000000000/(_xlfn.XLOOKUP($B167,[1]data!$C$2:$C$201,[1]data!P$2:P$201)*1000000)</f>
        <v>18289.925856925267</v>
      </c>
      <c r="J167">
        <f>[4]data!J167*1000000000/(_xlfn.XLOOKUP($B167,[1]data!$C$2:$C$201,[1]data!Q$2:Q$201)*1000000)</f>
        <v>16799.113373286265</v>
      </c>
      <c r="K167">
        <f>[4]data!K167*1000000000/(_xlfn.XLOOKUP($B167,[1]data!$C$2:$C$201,[1]data!R$2:R$201)*1000000)</f>
        <v>19420.171365033686</v>
      </c>
      <c r="L167">
        <f>[4]data!L167*1000000000/(_xlfn.XLOOKUP($B167,[1]data!$C$2:$C$201,[1]data!S$2:S$201)*1000000)</f>
        <v>24224.353839445961</v>
      </c>
      <c r="M167">
        <f>[4]data!M167*1000000000/(_xlfn.XLOOKUP($B167,[1]data!$C$2:$C$201,[1]data!T$2:T$201)*1000000)</f>
        <v>27918.979916389711</v>
      </c>
      <c r="N167">
        <f>[4]data!N167*1000000000/(_xlfn.XLOOKUP($B167,[1]data!$C$2:$C$201,[1]data!U$2:U$201)*1000000)</f>
        <v>33746.721687299403</v>
      </c>
      <c r="O167">
        <f>[4]data!O167*1000000000/(_xlfn.XLOOKUP($B167,[1]data!$C$2:$C$201,[1]data!V$2:V$201)*1000000)</f>
        <v>39154.40850293664</v>
      </c>
      <c r="P167">
        <f>[4]data!P167*1000000000/(_xlfn.XLOOKUP($B167,[1]data!$C$2:$C$201,[1]data!W$2:W$201)*1000000)</f>
        <v>44571.16945931939</v>
      </c>
      <c r="Q167">
        <f>[4]data!Q167*1000000000/(_xlfn.XLOOKUP($B167,[1]data!$C$2:$C$201,[1]data!X$2:X$201)*1000000)</f>
        <v>49674.037216623088</v>
      </c>
      <c r="R167">
        <f>[4]data!R167*1000000000/(_xlfn.XLOOKUP($B167,[1]data!$C$2:$C$201,[1]data!Y$2:Y$201)*1000000)</f>
        <v>54719.024202907021</v>
      </c>
      <c r="S167">
        <f>[4]data!S167*1000000000/(_xlfn.XLOOKUP($B167,[1]data!$C$2:$C$201,[1]data!Z$2:Z$201)*1000000)</f>
        <v>59934.965411540536</v>
      </c>
      <c r="T167">
        <f>[4]data!T167*1000000000/(_xlfn.XLOOKUP($B167,[1]data!$C$2:$C$201,[1]data!AA$2:AA$201)*1000000)</f>
        <v>65342.930769611972</v>
      </c>
      <c r="U167">
        <f>[4]data!U167*1000000000/(_xlfn.XLOOKUP($B167,[1]data!$C$2:$C$201,[1]data!AB$2:AB$201)*1000000)</f>
        <v>70865.191479512985</v>
      </c>
      <c r="V167">
        <f>[4]data!V167*1000000000/(_xlfn.XLOOKUP($B167,[1]data!$C$2:$C$201,[1]data!AC$2:AC$201)*1000000)</f>
        <v>76701.744485202595</v>
      </c>
      <c r="W167">
        <f>[4]data!W167*1000000000/(_xlfn.XLOOKUP($B167,[1]data!$C$2:$C$201,[1]data!AD$2:AD$201)*1000000)</f>
        <v>82730.531117627906</v>
      </c>
      <c r="X167">
        <f>[4]data!X167*1000000000/(_xlfn.XLOOKUP($B167,[1]data!$C$2:$C$201,[1]data!AE$2:AE$201)*1000000)</f>
        <v>88912.768647281919</v>
      </c>
      <c r="Y167">
        <f>[4]data!Y167*1000000000/(_xlfn.XLOOKUP($B167,[1]data!$C$2:$C$201,[1]data!AF$2:AF$201)*1000000)</f>
        <v>95292.404136074809</v>
      </c>
      <c r="Z167">
        <f>[4]data!Z167*1000000000/(_xlfn.XLOOKUP($B167,[1]data!$C$2:$C$201,[1]data!AG$2:AG$201)*1000000)</f>
        <v>101949.07072169925</v>
      </c>
      <c r="AA167">
        <f>[4]data!AA167*1000000000/(_xlfn.XLOOKUP($B167,[1]data!$C$2:$C$201,[1]data!AH$2:AH$201)*1000000)</f>
        <v>108967.46495991046</v>
      </c>
      <c r="AB167">
        <f>[4]data!AB167*1000000000/(_xlfn.XLOOKUP($B167,[1]data!$C$2:$C$201,[1]data!AI$2:AI$201)*1000000)</f>
        <v>116419.09200882372</v>
      </c>
      <c r="AC167">
        <f>[4]data!AC167*1000000000/(_xlfn.XLOOKUP($B167,[1]data!$C$2:$C$201,[1]data!AJ$2:AJ$201)*1000000)</f>
        <v>124315.12135768056</v>
      </c>
    </row>
    <row r="168" spans="1:29" x14ac:dyDescent="0.25">
      <c r="A168" t="s">
        <v>232</v>
      </c>
      <c r="B168" t="s">
        <v>205</v>
      </c>
      <c r="C168" t="s">
        <v>233</v>
      </c>
      <c r="D168" t="s">
        <v>234</v>
      </c>
      <c r="E168">
        <f>[4]data!E168*1000000000/(_xlfn.XLOOKUP($B168,[1]data!$C$2:$C$201,[1]data!L$2:L$201)*1000000)</f>
        <v>906.8488906947664</v>
      </c>
      <c r="F168">
        <f>[4]data!F168*1000000000/(_xlfn.XLOOKUP($B168,[1]data!$C$2:$C$201,[1]data!M$2:M$201)*1000000)</f>
        <v>1015.3545279661942</v>
      </c>
      <c r="G168">
        <f>[4]data!G168*1000000000/(_xlfn.XLOOKUP($B168,[1]data!$C$2:$C$201,[1]data!N$2:N$201)*1000000)</f>
        <v>1075.328719314962</v>
      </c>
      <c r="H168">
        <f>[4]data!H168*1000000000/(_xlfn.XLOOKUP($B168,[1]data!$C$2:$C$201,[1]data!O$2:O$201)*1000000)</f>
        <v>1071.8335406255419</v>
      </c>
      <c r="I168">
        <f>[4]data!I168*1000000000/(_xlfn.XLOOKUP($B168,[1]data!$C$2:$C$201,[1]data!P$2:P$201)*1000000)</f>
        <v>1004.2442268900497</v>
      </c>
      <c r="J168">
        <f>[4]data!J168*1000000000/(_xlfn.XLOOKUP($B168,[1]data!$C$2:$C$201,[1]data!Q$2:Q$201)*1000000)</f>
        <v>1669.6995177827775</v>
      </c>
      <c r="K168">
        <f>[4]data!K168*1000000000/(_xlfn.XLOOKUP($B168,[1]data!$C$2:$C$201,[1]data!R$2:R$201)*1000000)</f>
        <v>1778.7405110659681</v>
      </c>
      <c r="L168">
        <f>[4]data!L168*1000000000/(_xlfn.XLOOKUP($B168,[1]data!$C$2:$C$201,[1]data!S$2:S$201)*1000000)</f>
        <v>1870.5009225039946</v>
      </c>
      <c r="M168">
        <f>[4]data!M168*1000000000/(_xlfn.XLOOKUP($B168,[1]data!$C$2:$C$201,[1]data!T$2:T$201)*1000000)</f>
        <v>1519.605059835071</v>
      </c>
      <c r="N168">
        <f>[4]data!N168*1000000000/(_xlfn.XLOOKUP($B168,[1]data!$C$2:$C$201,[1]data!U$2:U$201)*1000000)</f>
        <v>1470.3448311746422</v>
      </c>
      <c r="O168">
        <f>[4]data!O168*1000000000/(_xlfn.XLOOKUP($B168,[1]data!$C$2:$C$201,[1]data!V$2:V$201)*1000000)</f>
        <v>1533.1729640298345</v>
      </c>
      <c r="P168">
        <f>[4]data!P168*1000000000/(_xlfn.XLOOKUP($B168,[1]data!$C$2:$C$201,[1]data!W$2:W$201)*1000000)</f>
        <v>1823.564867452407</v>
      </c>
      <c r="Q168">
        <f>[4]data!Q168*1000000000/(_xlfn.XLOOKUP($B168,[1]data!$C$2:$C$201,[1]data!X$2:X$201)*1000000)</f>
        <v>2180.571010603474</v>
      </c>
      <c r="R168">
        <f>[4]data!R168*1000000000/(_xlfn.XLOOKUP($B168,[1]data!$C$2:$C$201,[1]data!Y$2:Y$201)*1000000)</f>
        <v>2620.418508637395</v>
      </c>
      <c r="S168">
        <f>[4]data!S168*1000000000/(_xlfn.XLOOKUP($B168,[1]data!$C$2:$C$201,[1]data!Z$2:Z$201)*1000000)</f>
        <v>3166.0834779013594</v>
      </c>
      <c r="T168">
        <f>[4]data!T168*1000000000/(_xlfn.XLOOKUP($B168,[1]data!$C$2:$C$201,[1]data!AA$2:AA$201)*1000000)</f>
        <v>3841.6998966754836</v>
      </c>
      <c r="U168">
        <f>[4]data!U168*1000000000/(_xlfn.XLOOKUP($B168,[1]data!$C$2:$C$201,[1]data!AB$2:AB$201)*1000000)</f>
        <v>4672.0311672083526</v>
      </c>
      <c r="V168">
        <f>[4]data!V168*1000000000/(_xlfn.XLOOKUP($B168,[1]data!$C$2:$C$201,[1]data!AC$2:AC$201)*1000000)</f>
        <v>5681.5121032480811</v>
      </c>
      <c r="W168">
        <f>[4]data!W168*1000000000/(_xlfn.XLOOKUP($B168,[1]data!$C$2:$C$201,[1]data!AD$2:AD$201)*1000000)</f>
        <v>6893.8124135609123</v>
      </c>
      <c r="X168">
        <f>[4]data!X168*1000000000/(_xlfn.XLOOKUP($B168,[1]data!$C$2:$C$201,[1]data!AE$2:AE$201)*1000000)</f>
        <v>8323.016083704324</v>
      </c>
      <c r="Y168">
        <f>[4]data!Y168*1000000000/(_xlfn.XLOOKUP($B168,[1]data!$C$2:$C$201,[1]data!AF$2:AF$201)*1000000)</f>
        <v>9997.4991361832344</v>
      </c>
      <c r="Z168">
        <f>[4]data!Z168*1000000000/(_xlfn.XLOOKUP($B168,[1]data!$C$2:$C$201,[1]data!AG$2:AG$201)*1000000)</f>
        <v>11929.375348977919</v>
      </c>
      <c r="AA168">
        <f>[4]data!AA168*1000000000/(_xlfn.XLOOKUP($B168,[1]data!$C$2:$C$201,[1]data!AH$2:AH$201)*1000000)</f>
        <v>14181.095041090832</v>
      </c>
      <c r="AB168">
        <f>[4]data!AB168*1000000000/(_xlfn.XLOOKUP($B168,[1]data!$C$2:$C$201,[1]data!AI$2:AI$201)*1000000)</f>
        <v>16800.951475769973</v>
      </c>
      <c r="AC168">
        <f>[4]data!AC168*1000000000/(_xlfn.XLOOKUP($B168,[1]data!$C$2:$C$201,[1]data!AJ$2:AJ$201)*1000000)</f>
        <v>19838.641426822796</v>
      </c>
    </row>
    <row r="169" spans="1:29" x14ac:dyDescent="0.25">
      <c r="A169" t="s">
        <v>232</v>
      </c>
      <c r="B169" t="s">
        <v>206</v>
      </c>
      <c r="C169" t="s">
        <v>233</v>
      </c>
      <c r="D169" t="s">
        <v>234</v>
      </c>
      <c r="E169">
        <f>[4]data!E169*1000000000/(_xlfn.XLOOKUP($B169,[1]data!$C$2:$C$201,[1]data!L$2:L$201)*1000000)</f>
        <v>2314.1436354659336</v>
      </c>
      <c r="F169">
        <f>[4]data!F169*1000000000/(_xlfn.XLOOKUP($B169,[1]data!$C$2:$C$201,[1]data!M$2:M$201)*1000000)</f>
        <v>1908.3915792306032</v>
      </c>
      <c r="G169">
        <f>[4]data!G169*1000000000/(_xlfn.XLOOKUP($B169,[1]data!$C$2:$C$201,[1]data!N$2:N$201)*1000000)</f>
        <v>2006.7830035829006</v>
      </c>
      <c r="H169">
        <f>[4]data!H169*1000000000/(_xlfn.XLOOKUP($B169,[1]data!$C$2:$C$201,[1]data!O$2:O$201)*1000000)</f>
        <v>2006.9857806500177</v>
      </c>
      <c r="I169">
        <f>[4]data!I169*1000000000/(_xlfn.XLOOKUP($B169,[1]data!$C$2:$C$201,[1]data!P$2:P$201)*1000000)</f>
        <v>1687.5373582815109</v>
      </c>
      <c r="J169">
        <f>[4]data!J169*1000000000/(_xlfn.XLOOKUP($B169,[1]data!$C$2:$C$201,[1]data!Q$2:Q$201)*1000000)</f>
        <v>1558.8309109596998</v>
      </c>
      <c r="K169">
        <f>[4]data!K169*1000000000/(_xlfn.XLOOKUP($B169,[1]data!$C$2:$C$201,[1]data!R$2:R$201)*1000000)</f>
        <v>1636.0253775173285</v>
      </c>
      <c r="L169">
        <f>[4]data!L169*1000000000/(_xlfn.XLOOKUP($B169,[1]data!$C$2:$C$201,[1]data!S$2:S$201)*1000000)</f>
        <v>1906.3853543425516</v>
      </c>
      <c r="M169">
        <f>[4]data!M169*1000000000/(_xlfn.XLOOKUP($B169,[1]data!$C$2:$C$201,[1]data!T$2:T$201)*1000000)</f>
        <v>2079.5628604999547</v>
      </c>
      <c r="N169">
        <f>[4]data!N169*1000000000/(_xlfn.XLOOKUP($B169,[1]data!$C$2:$C$201,[1]data!U$2:U$201)*1000000)</f>
        <v>2430.8972189543701</v>
      </c>
      <c r="O169">
        <f>[4]data!O169*1000000000/(_xlfn.XLOOKUP($B169,[1]data!$C$2:$C$201,[1]data!V$2:V$201)*1000000)</f>
        <v>2891.4862531544695</v>
      </c>
      <c r="P169">
        <f>[4]data!P169*1000000000/(_xlfn.XLOOKUP($B169,[1]data!$C$2:$C$201,[1]data!W$2:W$201)*1000000)</f>
        <v>3493.2525193630413</v>
      </c>
      <c r="Q169">
        <f>[4]data!Q169*1000000000/(_xlfn.XLOOKUP($B169,[1]data!$C$2:$C$201,[1]data!X$2:X$201)*1000000)</f>
        <v>4172.1184664926905</v>
      </c>
      <c r="R169">
        <f>[4]data!R169*1000000000/(_xlfn.XLOOKUP($B169,[1]data!$C$2:$C$201,[1]data!Y$2:Y$201)*1000000)</f>
        <v>4977.2118221763267</v>
      </c>
      <c r="S169">
        <f>[4]data!S169*1000000000/(_xlfn.XLOOKUP($B169,[1]data!$C$2:$C$201,[1]data!Z$2:Z$201)*1000000)</f>
        <v>5948.4099884707084</v>
      </c>
      <c r="T169">
        <f>[4]data!T169*1000000000/(_xlfn.XLOOKUP($B169,[1]data!$C$2:$C$201,[1]data!AA$2:AA$201)*1000000)</f>
        <v>7118.5680102607294</v>
      </c>
      <c r="U169">
        <f>[4]data!U169*1000000000/(_xlfn.XLOOKUP($B169,[1]data!$C$2:$C$201,[1]data!AB$2:AB$201)*1000000)</f>
        <v>8529.0748541183766</v>
      </c>
      <c r="V169">
        <f>[4]data!V169*1000000000/(_xlfn.XLOOKUP($B169,[1]data!$C$2:$C$201,[1]data!AC$2:AC$201)*1000000)</f>
        <v>10205.932312072591</v>
      </c>
      <c r="W169">
        <f>[4]data!W169*1000000000/(_xlfn.XLOOKUP($B169,[1]data!$C$2:$C$201,[1]data!AD$2:AD$201)*1000000)</f>
        <v>12194.23254657711</v>
      </c>
      <c r="X169">
        <f>[4]data!X169*1000000000/(_xlfn.XLOOKUP($B169,[1]data!$C$2:$C$201,[1]data!AE$2:AE$201)*1000000)</f>
        <v>14512.844552297742</v>
      </c>
      <c r="Y169">
        <f>[4]data!Y169*1000000000/(_xlfn.XLOOKUP($B169,[1]data!$C$2:$C$201,[1]data!AF$2:AF$201)*1000000)</f>
        <v>17194.528176804382</v>
      </c>
      <c r="Z169">
        <f>[4]data!Z169*1000000000/(_xlfn.XLOOKUP($B169,[1]data!$C$2:$C$201,[1]data!AG$2:AG$201)*1000000)</f>
        <v>20236.431453927828</v>
      </c>
      <c r="AA169">
        <f>[4]data!AA169*1000000000/(_xlfn.XLOOKUP($B169,[1]data!$C$2:$C$201,[1]data!AH$2:AH$201)*1000000)</f>
        <v>23663.573538643806</v>
      </c>
      <c r="AB169">
        <f>[4]data!AB169*1000000000/(_xlfn.XLOOKUP($B169,[1]data!$C$2:$C$201,[1]data!AI$2:AI$201)*1000000)</f>
        <v>27505.630419177873</v>
      </c>
      <c r="AC169">
        <f>[4]data!AC169*1000000000/(_xlfn.XLOOKUP($B169,[1]data!$C$2:$C$201,[1]data!AJ$2:AJ$201)*1000000)</f>
        <v>31815.271340951986</v>
      </c>
    </row>
    <row r="170" spans="1:29" x14ac:dyDescent="0.25">
      <c r="A170" t="s">
        <v>232</v>
      </c>
      <c r="B170" t="s">
        <v>207</v>
      </c>
      <c r="C170" t="s">
        <v>233</v>
      </c>
      <c r="D170" t="s">
        <v>234</v>
      </c>
      <c r="E170">
        <f>[4]data!E170*1000000000/(_xlfn.XLOOKUP($B170,[1]data!$C$2:$C$201,[1]data!L$2:L$201)*1000000)</f>
        <v>4099.5589747799995</v>
      </c>
      <c r="F170">
        <f>[4]data!F170*1000000000/(_xlfn.XLOOKUP($B170,[1]data!$C$2:$C$201,[1]data!M$2:M$201)*1000000)</f>
        <v>4824.5510504122076</v>
      </c>
      <c r="G170">
        <f>[4]data!G170*1000000000/(_xlfn.XLOOKUP($B170,[1]data!$C$2:$C$201,[1]data!N$2:N$201)*1000000)</f>
        <v>7238.5390376705927</v>
      </c>
      <c r="H170">
        <f>[4]data!H170*1000000000/(_xlfn.XLOOKUP($B170,[1]data!$C$2:$C$201,[1]data!O$2:O$201)*1000000)</f>
        <v>10092.288689465644</v>
      </c>
      <c r="I170">
        <f>[4]data!I170*1000000000/(_xlfn.XLOOKUP($B170,[1]data!$C$2:$C$201,[1]data!P$2:P$201)*1000000)</f>
        <v>9837.9618658739691</v>
      </c>
      <c r="J170">
        <f>[4]data!J170*1000000000/(_xlfn.XLOOKUP($B170,[1]data!$C$2:$C$201,[1]data!Q$2:Q$201)*1000000)</f>
        <v>12274.492374572183</v>
      </c>
      <c r="K170">
        <f>[4]data!K170*1000000000/(_xlfn.XLOOKUP($B170,[1]data!$C$2:$C$201,[1]data!R$2:R$201)*1000000)</f>
        <v>14217.659316084366</v>
      </c>
      <c r="L170">
        <f>[4]data!L170*1000000000/(_xlfn.XLOOKUP($B170,[1]data!$C$2:$C$201,[1]data!S$2:S$201)*1000000)</f>
        <v>15953.996420929396</v>
      </c>
      <c r="M170">
        <f>[4]data!M170*1000000000/(_xlfn.XLOOKUP($B170,[1]data!$C$2:$C$201,[1]data!T$2:T$201)*1000000)</f>
        <v>16885.986657986195</v>
      </c>
      <c r="N170">
        <f>[4]data!N170*1000000000/(_xlfn.XLOOKUP($B170,[1]data!$C$2:$C$201,[1]data!U$2:U$201)*1000000)</f>
        <v>19044.450971599483</v>
      </c>
      <c r="O170">
        <f>[4]data!O170*1000000000/(_xlfn.XLOOKUP($B170,[1]data!$C$2:$C$201,[1]data!V$2:V$201)*1000000)</f>
        <v>22046.236505874698</v>
      </c>
      <c r="P170">
        <f>[4]data!P170*1000000000/(_xlfn.XLOOKUP($B170,[1]data!$C$2:$C$201,[1]data!W$2:W$201)*1000000)</f>
        <v>25170.566739790902</v>
      </c>
      <c r="Q170">
        <f>[4]data!Q170*1000000000/(_xlfn.XLOOKUP($B170,[1]data!$C$2:$C$201,[1]data!X$2:X$201)*1000000)</f>
        <v>28309.209033317293</v>
      </c>
      <c r="R170">
        <f>[4]data!R170*1000000000/(_xlfn.XLOOKUP($B170,[1]data!$C$2:$C$201,[1]data!Y$2:Y$201)*1000000)</f>
        <v>31557.464132613062</v>
      </c>
      <c r="S170">
        <f>[4]data!S170*1000000000/(_xlfn.XLOOKUP($B170,[1]data!$C$2:$C$201,[1]data!Z$2:Z$201)*1000000)</f>
        <v>34998.947788496924</v>
      </c>
      <c r="T170">
        <f>[4]data!T170*1000000000/(_xlfn.XLOOKUP($B170,[1]data!$C$2:$C$201,[1]data!AA$2:AA$201)*1000000)</f>
        <v>38528.217363086536</v>
      </c>
      <c r="U170">
        <f>[4]data!U170*1000000000/(_xlfn.XLOOKUP($B170,[1]data!$C$2:$C$201,[1]data!AB$2:AB$201)*1000000)</f>
        <v>42200.032482691538</v>
      </c>
      <c r="V170">
        <f>[4]data!V170*1000000000/(_xlfn.XLOOKUP($B170,[1]data!$C$2:$C$201,[1]data!AC$2:AC$201)*1000000)</f>
        <v>46023.083006423374</v>
      </c>
      <c r="W170">
        <f>[4]data!W170*1000000000/(_xlfn.XLOOKUP($B170,[1]data!$C$2:$C$201,[1]data!AD$2:AD$201)*1000000)</f>
        <v>49841.58120153864</v>
      </c>
      <c r="X170">
        <f>[4]data!X170*1000000000/(_xlfn.XLOOKUP($B170,[1]data!$C$2:$C$201,[1]data!AE$2:AE$201)*1000000)</f>
        <v>53743.779887317505</v>
      </c>
      <c r="Y170">
        <f>[4]data!Y170*1000000000/(_xlfn.XLOOKUP($B170,[1]data!$C$2:$C$201,[1]data!AF$2:AF$201)*1000000)</f>
        <v>57698.384968923143</v>
      </c>
      <c r="Z170">
        <f>[4]data!Z170*1000000000/(_xlfn.XLOOKUP($B170,[1]data!$C$2:$C$201,[1]data!AG$2:AG$201)*1000000)</f>
        <v>61766.896728525498</v>
      </c>
      <c r="AA170">
        <f>[4]data!AA170*1000000000/(_xlfn.XLOOKUP($B170,[1]data!$C$2:$C$201,[1]data!AH$2:AH$201)*1000000)</f>
        <v>65979.897621594777</v>
      </c>
      <c r="AB170">
        <f>[4]data!AB170*1000000000/(_xlfn.XLOOKUP($B170,[1]data!$C$2:$C$201,[1]data!AI$2:AI$201)*1000000)</f>
        <v>70344.032401322547</v>
      </c>
      <c r="AC170">
        <f>[4]data!AC170*1000000000/(_xlfn.XLOOKUP($B170,[1]data!$C$2:$C$201,[1]data!AJ$2:AJ$201)*1000000)</f>
        <v>74890.507835517186</v>
      </c>
    </row>
    <row r="171" spans="1:29" x14ac:dyDescent="0.25">
      <c r="A171" t="s">
        <v>232</v>
      </c>
      <c r="B171" t="s">
        <v>208</v>
      </c>
      <c r="C171" t="s">
        <v>233</v>
      </c>
      <c r="D171" t="s">
        <v>234</v>
      </c>
      <c r="E171" t="e">
        <f>[4]data!E171*1000000000/(_xlfn.XLOOKUP($B171,[1]data!$C$2:$C$201,[1]data!L$2:L$201)*1000000)</f>
        <v>#VALUE!</v>
      </c>
      <c r="F171" t="e">
        <f>[4]data!F171*1000000000/(_xlfn.XLOOKUP($B171,[1]data!$C$2:$C$201,[1]data!M$2:M$201)*1000000)</f>
        <v>#VALUE!</v>
      </c>
      <c r="G171">
        <f>[4]data!G171*1000000000/(_xlfn.XLOOKUP($B171,[1]data!$C$2:$C$201,[1]data!N$2:N$201)*1000000)</f>
        <v>4040.7936640534754</v>
      </c>
      <c r="H171">
        <f>[4]data!H171*1000000000/(_xlfn.XLOOKUP($B171,[1]data!$C$2:$C$201,[1]data!O$2:O$201)*1000000)</f>
        <v>1242.5759394362615</v>
      </c>
      <c r="I171">
        <f>[4]data!I171*1000000000/(_xlfn.XLOOKUP($B171,[1]data!$C$2:$C$201,[1]data!P$2:P$201)*1000000)</f>
        <v>1353.5790931865681</v>
      </c>
      <c r="J171">
        <f>[4]data!J171*1000000000/(_xlfn.XLOOKUP($B171,[1]data!$C$2:$C$201,[1]data!Q$2:Q$201)*1000000)</f>
        <v>1908.0830071967323</v>
      </c>
      <c r="K171">
        <f>[4]data!K171*1000000000/(_xlfn.XLOOKUP($B171,[1]data!$C$2:$C$201,[1]data!R$2:R$201)*1000000)</f>
        <v>2389.9143767806131</v>
      </c>
      <c r="L171">
        <f>[4]data!L171*1000000000/(_xlfn.XLOOKUP($B171,[1]data!$C$2:$C$201,[1]data!S$2:S$201)*1000000)</f>
        <v>2990.7180681767195</v>
      </c>
      <c r="M171">
        <f>[4]data!M171*1000000000/(_xlfn.XLOOKUP($B171,[1]data!$C$2:$C$201,[1]data!T$2:T$201)*1000000)</f>
        <v>3687.5871959354454</v>
      </c>
      <c r="N171">
        <f>[4]data!N171*1000000000/(_xlfn.XLOOKUP($B171,[1]data!$C$2:$C$201,[1]data!U$2:U$201)*1000000)</f>
        <v>4611.0669254129953</v>
      </c>
      <c r="O171">
        <f>[4]data!O171*1000000000/(_xlfn.XLOOKUP($B171,[1]data!$C$2:$C$201,[1]data!V$2:V$201)*1000000)</f>
        <v>5303.2846335703234</v>
      </c>
      <c r="P171">
        <f>[4]data!P171*1000000000/(_xlfn.XLOOKUP($B171,[1]data!$C$2:$C$201,[1]data!W$2:W$201)*1000000)</f>
        <v>6142.6887868902922</v>
      </c>
      <c r="Q171">
        <f>[4]data!Q171*1000000000/(_xlfn.XLOOKUP($B171,[1]data!$C$2:$C$201,[1]data!X$2:X$201)*1000000)</f>
        <v>7102.398377460383</v>
      </c>
      <c r="R171">
        <f>[4]data!R171*1000000000/(_xlfn.XLOOKUP($B171,[1]data!$C$2:$C$201,[1]data!Y$2:Y$201)*1000000)</f>
        <v>8195.3355705228187</v>
      </c>
      <c r="S171">
        <f>[4]data!S171*1000000000/(_xlfn.XLOOKUP($B171,[1]data!$C$2:$C$201,[1]data!Z$2:Z$201)*1000000)</f>
        <v>9503.0922435018056</v>
      </c>
      <c r="T171">
        <f>[4]data!T171*1000000000/(_xlfn.XLOOKUP($B171,[1]data!$C$2:$C$201,[1]data!AA$2:AA$201)*1000000)</f>
        <v>11075.387304815211</v>
      </c>
      <c r="U171">
        <f>[4]data!U171*1000000000/(_xlfn.XLOOKUP($B171,[1]data!$C$2:$C$201,[1]data!AB$2:AB$201)*1000000)</f>
        <v>12937.902501834058</v>
      </c>
      <c r="V171">
        <f>[4]data!V171*1000000000/(_xlfn.XLOOKUP($B171,[1]data!$C$2:$C$201,[1]data!AC$2:AC$201)*1000000)</f>
        <v>15074.626095762269</v>
      </c>
      <c r="W171">
        <f>[4]data!W171*1000000000/(_xlfn.XLOOKUP($B171,[1]data!$C$2:$C$201,[1]data!AD$2:AD$201)*1000000)</f>
        <v>17463.09695695628</v>
      </c>
      <c r="X171">
        <f>[4]data!X171*1000000000/(_xlfn.XLOOKUP($B171,[1]data!$C$2:$C$201,[1]data!AE$2:AE$201)*1000000)</f>
        <v>20100.835569400093</v>
      </c>
      <c r="Y171">
        <f>[4]data!Y171*1000000000/(_xlfn.XLOOKUP($B171,[1]data!$C$2:$C$201,[1]data!AF$2:AF$201)*1000000)</f>
        <v>23019.044874690146</v>
      </c>
      <c r="Z171">
        <f>[4]data!Z171*1000000000/(_xlfn.XLOOKUP($B171,[1]data!$C$2:$C$201,[1]data!AG$2:AG$201)*1000000)</f>
        <v>26232.19421939291</v>
      </c>
      <c r="AA171">
        <f>[4]data!AA171*1000000000/(_xlfn.XLOOKUP($B171,[1]data!$C$2:$C$201,[1]data!AH$2:AH$201)*1000000)</f>
        <v>29777.572853499245</v>
      </c>
      <c r="AB171">
        <f>[4]data!AB171*1000000000/(_xlfn.XLOOKUP($B171,[1]data!$C$2:$C$201,[1]data!AI$2:AI$201)*1000000)</f>
        <v>33644.237155576411</v>
      </c>
      <c r="AC171">
        <f>[4]data!AC171*1000000000/(_xlfn.XLOOKUP($B171,[1]data!$C$2:$C$201,[1]data!AJ$2:AJ$201)*1000000)</f>
        <v>37843.07259823753</v>
      </c>
    </row>
    <row r="172" spans="1:29" x14ac:dyDescent="0.25">
      <c r="A172" t="s">
        <v>232</v>
      </c>
      <c r="B172" t="s">
        <v>209</v>
      </c>
      <c r="C172" t="s">
        <v>233</v>
      </c>
      <c r="D172" t="s">
        <v>234</v>
      </c>
      <c r="E172" t="e">
        <f>[4]data!E172*1000000000/(_xlfn.XLOOKUP($B172,[1]data!$C$2:$C$201,[1]data!L$2:L$201)*1000000)</f>
        <v>#VALUE!</v>
      </c>
      <c r="F172" t="e">
        <f>[4]data!F172*1000000000/(_xlfn.XLOOKUP($B172,[1]data!$C$2:$C$201,[1]data!M$2:M$201)*1000000)</f>
        <v>#VALUE!</v>
      </c>
      <c r="G172">
        <f>[4]data!G172*1000000000/(_xlfn.XLOOKUP($B172,[1]data!$C$2:$C$201,[1]data!N$2:N$201)*1000000)</f>
        <v>7234.5671612513006</v>
      </c>
      <c r="H172">
        <f>[4]data!H172*1000000000/(_xlfn.XLOOKUP($B172,[1]data!$C$2:$C$201,[1]data!O$2:O$201)*1000000)</f>
        <v>4012.9708614728547</v>
      </c>
      <c r="I172">
        <f>[4]data!I172*1000000000/(_xlfn.XLOOKUP($B172,[1]data!$C$2:$C$201,[1]data!P$2:P$201)*1000000)</f>
        <v>4513.7734426330717</v>
      </c>
      <c r="J172">
        <f>[4]data!J172*1000000000/(_xlfn.XLOOKUP($B172,[1]data!$C$2:$C$201,[1]data!Q$2:Q$201)*1000000)</f>
        <v>8927.631478610625</v>
      </c>
      <c r="K172">
        <f>[4]data!K172*1000000000/(_xlfn.XLOOKUP($B172,[1]data!$C$2:$C$201,[1]data!R$2:R$201)*1000000)</f>
        <v>14463.367137365169</v>
      </c>
      <c r="L172">
        <f>[4]data!L172*1000000000/(_xlfn.XLOOKUP($B172,[1]data!$C$2:$C$201,[1]data!S$2:S$201)*1000000)</f>
        <v>16874.062092290118</v>
      </c>
      <c r="M172">
        <f>[4]data!M172*1000000000/(_xlfn.XLOOKUP($B172,[1]data!$C$2:$C$201,[1]data!T$2:T$201)*1000000)</f>
        <v>15245.048564219844</v>
      </c>
      <c r="N172">
        <f>[4]data!N172*1000000000/(_xlfn.XLOOKUP($B172,[1]data!$C$2:$C$201,[1]data!U$2:U$201)*1000000)</f>
        <v>15976.894759723284</v>
      </c>
      <c r="O172">
        <f>[4]data!O172*1000000000/(_xlfn.XLOOKUP($B172,[1]data!$C$2:$C$201,[1]data!V$2:V$201)*1000000)</f>
        <v>16648.621372675389</v>
      </c>
      <c r="P172">
        <f>[4]data!P172*1000000000/(_xlfn.XLOOKUP($B172,[1]data!$C$2:$C$201,[1]data!W$2:W$201)*1000000)</f>
        <v>17855.76789709269</v>
      </c>
      <c r="Q172">
        <f>[4]data!Q172*1000000000/(_xlfn.XLOOKUP($B172,[1]data!$C$2:$C$201,[1]data!X$2:X$201)*1000000)</f>
        <v>18834.692441516618</v>
      </c>
      <c r="R172">
        <f>[4]data!R172*1000000000/(_xlfn.XLOOKUP($B172,[1]data!$C$2:$C$201,[1]data!Y$2:Y$201)*1000000)</f>
        <v>19673.539330643849</v>
      </c>
      <c r="S172">
        <f>[4]data!S172*1000000000/(_xlfn.XLOOKUP($B172,[1]data!$C$2:$C$201,[1]data!Z$2:Z$201)*1000000)</f>
        <v>20619.423370949786</v>
      </c>
      <c r="T172">
        <f>[4]data!T172*1000000000/(_xlfn.XLOOKUP($B172,[1]data!$C$2:$C$201,[1]data!AA$2:AA$201)*1000000)</f>
        <v>21731.193467272085</v>
      </c>
      <c r="U172">
        <f>[4]data!U172*1000000000/(_xlfn.XLOOKUP($B172,[1]data!$C$2:$C$201,[1]data!AB$2:AB$201)*1000000)</f>
        <v>23186.678587403829</v>
      </c>
      <c r="V172">
        <f>[4]data!V172*1000000000/(_xlfn.XLOOKUP($B172,[1]data!$C$2:$C$201,[1]data!AC$2:AC$201)*1000000)</f>
        <v>24953.20346616703</v>
      </c>
      <c r="W172">
        <f>[4]data!W172*1000000000/(_xlfn.XLOOKUP($B172,[1]data!$C$2:$C$201,[1]data!AD$2:AD$201)*1000000)</f>
        <v>26850.244449629139</v>
      </c>
      <c r="X172">
        <f>[4]data!X172*1000000000/(_xlfn.XLOOKUP($B172,[1]data!$C$2:$C$201,[1]data!AE$2:AE$201)*1000000)</f>
        <v>28797.45512232725</v>
      </c>
      <c r="Y172">
        <f>[4]data!Y172*1000000000/(_xlfn.XLOOKUP($B172,[1]data!$C$2:$C$201,[1]data!AF$2:AF$201)*1000000)</f>
        <v>30912.282850330121</v>
      </c>
      <c r="Z172">
        <f>[4]data!Z172*1000000000/(_xlfn.XLOOKUP($B172,[1]data!$C$2:$C$201,[1]data!AG$2:AG$201)*1000000)</f>
        <v>33287.146011450735</v>
      </c>
      <c r="AA172">
        <f>[4]data!AA172*1000000000/(_xlfn.XLOOKUP($B172,[1]data!$C$2:$C$201,[1]data!AH$2:AH$201)*1000000)</f>
        <v>36011.469854489784</v>
      </c>
      <c r="AB172">
        <f>[4]data!AB172*1000000000/(_xlfn.XLOOKUP($B172,[1]data!$C$2:$C$201,[1]data!AI$2:AI$201)*1000000)</f>
        <v>39098.540049248448</v>
      </c>
      <c r="AC172">
        <f>[4]data!AC172*1000000000/(_xlfn.XLOOKUP($B172,[1]data!$C$2:$C$201,[1]data!AJ$2:AJ$201)*1000000)</f>
        <v>42529.171603039664</v>
      </c>
    </row>
    <row r="173" spans="1:29" x14ac:dyDescent="0.25">
      <c r="A173" t="s">
        <v>232</v>
      </c>
      <c r="B173" t="s">
        <v>210</v>
      </c>
      <c r="C173" t="s">
        <v>233</v>
      </c>
      <c r="D173" t="s">
        <v>234</v>
      </c>
      <c r="E173" t="e">
        <f>[4]data!E173*1000000000/(_xlfn.XLOOKUP($B173,[1]data!$C$2:$C$201,[1]data!L$2:L$201)*1000000)</f>
        <v>#VALUE!</v>
      </c>
      <c r="F173" t="e">
        <f>[4]data!F173*1000000000/(_xlfn.XLOOKUP($B173,[1]data!$C$2:$C$201,[1]data!M$2:M$201)*1000000)</f>
        <v>#VALUE!</v>
      </c>
      <c r="G173" t="e">
        <f>[4]data!G173*1000000000/(_xlfn.XLOOKUP($B173,[1]data!$C$2:$C$201,[1]data!N$2:N$201)*1000000)</f>
        <v>#VALUE!</v>
      </c>
      <c r="H173" t="e">
        <f>[4]data!H173*1000000000/(_xlfn.XLOOKUP($B173,[1]data!$C$2:$C$201,[1]data!O$2:O$201)*1000000)</f>
        <v>#VALUE!</v>
      </c>
      <c r="I173">
        <f>[4]data!I173*1000000000/(_xlfn.XLOOKUP($B173,[1]data!$C$2:$C$201,[1]data!P$2:P$201)*1000000)</f>
        <v>2332.8619484596265</v>
      </c>
      <c r="J173">
        <f>[4]data!J173*1000000000/(_xlfn.XLOOKUP($B173,[1]data!$C$2:$C$201,[1]data!Q$2:Q$201)*1000000)</f>
        <v>2332.9942955942165</v>
      </c>
      <c r="K173">
        <f>[4]data!K173*1000000000/(_xlfn.XLOOKUP($B173,[1]data!$C$2:$C$201,[1]data!R$2:R$201)*1000000)</f>
        <v>2939.6388362501393</v>
      </c>
      <c r="L173">
        <f>[4]data!L173*1000000000/(_xlfn.XLOOKUP($B173,[1]data!$C$2:$C$201,[1]data!S$2:S$201)*1000000)</f>
        <v>3253.2794161159877</v>
      </c>
      <c r="M173">
        <f>[4]data!M173*1000000000/(_xlfn.XLOOKUP($B173,[1]data!$C$2:$C$201,[1]data!T$2:T$201)*1000000)</f>
        <v>2813.3579686558683</v>
      </c>
      <c r="N173">
        <f>[4]data!N173*1000000000/(_xlfn.XLOOKUP($B173,[1]data!$C$2:$C$201,[1]data!U$2:U$201)*1000000)</f>
        <v>3001.0137760179196</v>
      </c>
      <c r="O173">
        <f>[4]data!O173*1000000000/(_xlfn.XLOOKUP($B173,[1]data!$C$2:$C$201,[1]data!V$2:V$201)*1000000)</f>
        <v>3273.0481723421267</v>
      </c>
      <c r="P173">
        <f>[4]data!P173*1000000000/(_xlfn.XLOOKUP($B173,[1]data!$C$2:$C$201,[1]data!W$2:W$201)*1000000)</f>
        <v>3780.4762291345319</v>
      </c>
      <c r="Q173">
        <f>[4]data!Q173*1000000000/(_xlfn.XLOOKUP($B173,[1]data!$C$2:$C$201,[1]data!X$2:X$201)*1000000)</f>
        <v>4523.0568589371042</v>
      </c>
      <c r="R173">
        <f>[4]data!R173*1000000000/(_xlfn.XLOOKUP($B173,[1]data!$C$2:$C$201,[1]data!Y$2:Y$201)*1000000)</f>
        <v>5557.4814302754285</v>
      </c>
      <c r="S173">
        <f>[4]data!S173*1000000000/(_xlfn.XLOOKUP($B173,[1]data!$C$2:$C$201,[1]data!Z$2:Z$201)*1000000)</f>
        <v>6942.1255149113758</v>
      </c>
      <c r="T173">
        <f>[4]data!T173*1000000000/(_xlfn.XLOOKUP($B173,[1]data!$C$2:$C$201,[1]data!AA$2:AA$201)*1000000)</f>
        <v>8741.9489242674754</v>
      </c>
      <c r="U173">
        <f>[4]data!U173*1000000000/(_xlfn.XLOOKUP($B173,[1]data!$C$2:$C$201,[1]data!AB$2:AB$201)*1000000)</f>
        <v>11038.733211237985</v>
      </c>
      <c r="V173">
        <f>[4]data!V173*1000000000/(_xlfn.XLOOKUP($B173,[1]data!$C$2:$C$201,[1]data!AC$2:AC$201)*1000000)</f>
        <v>13935.750035978701</v>
      </c>
      <c r="W173">
        <f>[4]data!W173*1000000000/(_xlfn.XLOOKUP($B173,[1]data!$C$2:$C$201,[1]data!AD$2:AD$201)*1000000)</f>
        <v>17509.798353907354</v>
      </c>
      <c r="X173">
        <f>[4]data!X173*1000000000/(_xlfn.XLOOKUP($B173,[1]data!$C$2:$C$201,[1]data!AE$2:AE$201)*1000000)</f>
        <v>21834.827477163635</v>
      </c>
      <c r="Y173">
        <f>[4]data!Y173*1000000000/(_xlfn.XLOOKUP($B173,[1]data!$C$2:$C$201,[1]data!AF$2:AF$201)*1000000)</f>
        <v>26963.145380258975</v>
      </c>
      <c r="Z173">
        <f>[4]data!Z173*1000000000/(_xlfn.XLOOKUP($B173,[1]data!$C$2:$C$201,[1]data!AG$2:AG$201)*1000000)</f>
        <v>32927.623450973493</v>
      </c>
      <c r="AA173">
        <f>[4]data!AA173*1000000000/(_xlfn.XLOOKUP($B173,[1]data!$C$2:$C$201,[1]data!AH$2:AH$201)*1000000)</f>
        <v>39822.607615955647</v>
      </c>
      <c r="AB173">
        <f>[4]data!AB173*1000000000/(_xlfn.XLOOKUP($B173,[1]data!$C$2:$C$201,[1]data!AI$2:AI$201)*1000000)</f>
        <v>47708.194226954518</v>
      </c>
      <c r="AC173">
        <f>[4]data!AC173*1000000000/(_xlfn.XLOOKUP($B173,[1]data!$C$2:$C$201,[1]data!AJ$2:AJ$201)*1000000)</f>
        <v>56591.640226055504</v>
      </c>
    </row>
    <row r="174" spans="1:29" x14ac:dyDescent="0.25">
      <c r="A174" t="s">
        <v>232</v>
      </c>
      <c r="B174" t="s">
        <v>211</v>
      </c>
      <c r="C174" t="s">
        <v>233</v>
      </c>
      <c r="D174" t="s">
        <v>234</v>
      </c>
      <c r="E174">
        <f>[4]data!E174*1000000000/(_xlfn.XLOOKUP($B174,[1]data!$C$2:$C$201,[1]data!L$2:L$201)*1000000)</f>
        <v>1760.3932729624839</v>
      </c>
      <c r="F174">
        <f>[4]data!F174*1000000000/(_xlfn.XLOOKUP($B174,[1]data!$C$2:$C$201,[1]data!M$2:M$201)*1000000)</f>
        <v>3629.9036529445098</v>
      </c>
      <c r="G174">
        <f>[4]data!G174*1000000000/(_xlfn.XLOOKUP($B174,[1]data!$C$2:$C$201,[1]data!N$2:N$201)*1000000)</f>
        <v>4034.1060106517866</v>
      </c>
      <c r="H174">
        <f>[4]data!H174*1000000000/(_xlfn.XLOOKUP($B174,[1]data!$C$2:$C$201,[1]data!O$2:O$201)*1000000)</f>
        <v>4465.5370965642232</v>
      </c>
      <c r="I174">
        <f>[4]data!I174*1000000000/(_xlfn.XLOOKUP($B174,[1]data!$C$2:$C$201,[1]data!P$2:P$201)*1000000)</f>
        <v>4707.5349964808001</v>
      </c>
      <c r="J174">
        <f>[4]data!J174*1000000000/(_xlfn.XLOOKUP($B174,[1]data!$C$2:$C$201,[1]data!Q$2:Q$201)*1000000)</f>
        <v>4734.7578050100128</v>
      </c>
      <c r="K174">
        <f>[4]data!K174*1000000000/(_xlfn.XLOOKUP($B174,[1]data!$C$2:$C$201,[1]data!R$2:R$201)*1000000)</f>
        <v>4442.4032749890439</v>
      </c>
      <c r="L174">
        <f>[4]data!L174*1000000000/(_xlfn.XLOOKUP($B174,[1]data!$C$2:$C$201,[1]data!S$2:S$201)*1000000)</f>
        <v>4991.0890530708921</v>
      </c>
      <c r="M174">
        <f>[4]data!M174*1000000000/(_xlfn.XLOOKUP($B174,[1]data!$C$2:$C$201,[1]data!T$2:T$201)*1000000)</f>
        <v>5654.7255806857602</v>
      </c>
      <c r="N174">
        <f>[4]data!N174*1000000000/(_xlfn.XLOOKUP($B174,[1]data!$C$2:$C$201,[1]data!U$2:U$201)*1000000)</f>
        <v>5635.7633679687351</v>
      </c>
      <c r="O174">
        <f>[4]data!O174*1000000000/(_xlfn.XLOOKUP($B174,[1]data!$C$2:$C$201,[1]data!V$2:V$201)*1000000)</f>
        <v>5930.0478529494758</v>
      </c>
      <c r="P174">
        <f>[4]data!P174*1000000000/(_xlfn.XLOOKUP($B174,[1]data!$C$2:$C$201,[1]data!W$2:W$201)*1000000)</f>
        <v>6616.2708070561903</v>
      </c>
      <c r="Q174">
        <f>[4]data!Q174*1000000000/(_xlfn.XLOOKUP($B174,[1]data!$C$2:$C$201,[1]data!X$2:X$201)*1000000)</f>
        <v>7602.999798494845</v>
      </c>
      <c r="R174">
        <f>[4]data!R174*1000000000/(_xlfn.XLOOKUP($B174,[1]data!$C$2:$C$201,[1]data!Y$2:Y$201)*1000000)</f>
        <v>8935.9516721505533</v>
      </c>
      <c r="S174">
        <f>[4]data!S174*1000000000/(_xlfn.XLOOKUP($B174,[1]data!$C$2:$C$201,[1]data!Z$2:Z$201)*1000000)</f>
        <v>10687.981879165396</v>
      </c>
      <c r="T174">
        <f>[4]data!T174*1000000000/(_xlfn.XLOOKUP($B174,[1]data!$C$2:$C$201,[1]data!AA$2:AA$201)*1000000)</f>
        <v>12963.731298676184</v>
      </c>
      <c r="U174">
        <f>[4]data!U174*1000000000/(_xlfn.XLOOKUP($B174,[1]data!$C$2:$C$201,[1]data!AB$2:AB$201)*1000000)</f>
        <v>15858.315983236676</v>
      </c>
      <c r="V174">
        <f>[4]data!V174*1000000000/(_xlfn.XLOOKUP($B174,[1]data!$C$2:$C$201,[1]data!AC$2:AC$201)*1000000)</f>
        <v>19407.885174418603</v>
      </c>
      <c r="W174">
        <f>[4]data!W174*1000000000/(_xlfn.XLOOKUP($B174,[1]data!$C$2:$C$201,[1]data!AD$2:AD$201)*1000000)</f>
        <v>23584.495295321121</v>
      </c>
      <c r="X174">
        <f>[4]data!X174*1000000000/(_xlfn.XLOOKUP($B174,[1]data!$C$2:$C$201,[1]data!AE$2:AE$201)*1000000)</f>
        <v>28366.591447380695</v>
      </c>
      <c r="Y174">
        <f>[4]data!Y174*1000000000/(_xlfn.XLOOKUP($B174,[1]data!$C$2:$C$201,[1]data!AF$2:AF$201)*1000000)</f>
        <v>33771.199999999997</v>
      </c>
      <c r="Z174">
        <f>[4]data!Z174*1000000000/(_xlfn.XLOOKUP($B174,[1]data!$C$2:$C$201,[1]data!AG$2:AG$201)*1000000)</f>
        <v>39850.078232421416</v>
      </c>
      <c r="AA174">
        <f>[4]data!AA174*1000000000/(_xlfn.XLOOKUP($B174,[1]data!$C$2:$C$201,[1]data!AH$2:AH$201)*1000000)</f>
        <v>46677.544944463523</v>
      </c>
      <c r="AB174">
        <f>[4]data!AB174*1000000000/(_xlfn.XLOOKUP($B174,[1]data!$C$2:$C$201,[1]data!AI$2:AI$201)*1000000)</f>
        <v>54247.155687187893</v>
      </c>
      <c r="AC174">
        <f>[4]data!AC174*1000000000/(_xlfn.XLOOKUP($B174,[1]data!$C$2:$C$201,[1]data!AJ$2:AJ$201)*1000000)</f>
        <v>62526.816152110252</v>
      </c>
    </row>
    <row r="175" spans="1:29" x14ac:dyDescent="0.25">
      <c r="A175" t="s">
        <v>232</v>
      </c>
      <c r="B175" t="s">
        <v>212</v>
      </c>
      <c r="C175" t="s">
        <v>233</v>
      </c>
      <c r="D175" t="s">
        <v>234</v>
      </c>
      <c r="E175">
        <f>[4]data!E175*1000000000/(_xlfn.XLOOKUP($B175,[1]data!$C$2:$C$201,[1]data!L$2:L$201)*1000000)</f>
        <v>14474.195111893037</v>
      </c>
      <c r="F175">
        <f>[4]data!F175*1000000000/(_xlfn.XLOOKUP($B175,[1]data!$C$2:$C$201,[1]data!M$2:M$201)*1000000)</f>
        <v>11977.589606735206</v>
      </c>
      <c r="G175">
        <f>[4]data!G175*1000000000/(_xlfn.XLOOKUP($B175,[1]data!$C$2:$C$201,[1]data!N$2:N$201)*1000000)</f>
        <v>10097.032587794598</v>
      </c>
      <c r="H175">
        <f>[4]data!H175*1000000000/(_xlfn.XLOOKUP($B175,[1]data!$C$2:$C$201,[1]data!O$2:O$201)*1000000)</f>
        <v>11835.891336103628</v>
      </c>
      <c r="I175">
        <f>[4]data!I175*1000000000/(_xlfn.XLOOKUP($B175,[1]data!$C$2:$C$201,[1]data!P$2:P$201)*1000000)</f>
        <v>16710.160572630055</v>
      </c>
      <c r="J175">
        <f>[4]data!J175*1000000000/(_xlfn.XLOOKUP($B175,[1]data!$C$2:$C$201,[1]data!Q$2:Q$201)*1000000)</f>
        <v>23400.496065610758</v>
      </c>
      <c r="K175">
        <f>[4]data!K175*1000000000/(_xlfn.XLOOKUP($B175,[1]data!$C$2:$C$201,[1]data!R$2:R$201)*1000000)</f>
        <v>27514.5340151444</v>
      </c>
      <c r="L175">
        <f>[4]data!L175*1000000000/(_xlfn.XLOOKUP($B175,[1]data!$C$2:$C$201,[1]data!S$2:S$201)*1000000)</f>
        <v>29809.069048436962</v>
      </c>
      <c r="M175">
        <f>[4]data!M175*1000000000/(_xlfn.XLOOKUP($B175,[1]data!$C$2:$C$201,[1]data!T$2:T$201)*1000000)</f>
        <v>22883.464638704907</v>
      </c>
      <c r="N175">
        <f>[4]data!N175*1000000000/(_xlfn.XLOOKUP($B175,[1]data!$C$2:$C$201,[1]data!U$2:U$201)*1000000)</f>
        <v>24455.203433916868</v>
      </c>
      <c r="O175">
        <f>[4]data!O175*1000000000/(_xlfn.XLOOKUP($B175,[1]data!$C$2:$C$201,[1]data!V$2:V$201)*1000000)</f>
        <v>26203.238221164673</v>
      </c>
      <c r="P175">
        <f>[4]data!P175*1000000000/(_xlfn.XLOOKUP($B175,[1]data!$C$2:$C$201,[1]data!W$2:W$201)*1000000)</f>
        <v>28182.426523159163</v>
      </c>
      <c r="Q175">
        <f>[4]data!Q175*1000000000/(_xlfn.XLOOKUP($B175,[1]data!$C$2:$C$201,[1]data!X$2:X$201)*1000000)</f>
        <v>30536.735962573894</v>
      </c>
      <c r="R175">
        <f>[4]data!R175*1000000000/(_xlfn.XLOOKUP($B175,[1]data!$C$2:$C$201,[1]data!Y$2:Y$201)*1000000)</f>
        <v>33181.208678957752</v>
      </c>
      <c r="S175">
        <f>[4]data!S175*1000000000/(_xlfn.XLOOKUP($B175,[1]data!$C$2:$C$201,[1]data!Z$2:Z$201)*1000000)</f>
        <v>36287.625192161693</v>
      </c>
      <c r="T175">
        <f>[4]data!T175*1000000000/(_xlfn.XLOOKUP($B175,[1]data!$C$2:$C$201,[1]data!AA$2:AA$201)*1000000)</f>
        <v>39973.967918073264</v>
      </c>
      <c r="U175">
        <f>[4]data!U175*1000000000/(_xlfn.XLOOKUP($B175,[1]data!$C$2:$C$201,[1]data!AB$2:AB$201)*1000000)</f>
        <v>44354.368976378726</v>
      </c>
      <c r="V175">
        <f>[4]data!V175*1000000000/(_xlfn.XLOOKUP($B175,[1]data!$C$2:$C$201,[1]data!AC$2:AC$201)*1000000)</f>
        <v>49285.460684526086</v>
      </c>
      <c r="W175">
        <f>[4]data!W175*1000000000/(_xlfn.XLOOKUP($B175,[1]data!$C$2:$C$201,[1]data!AD$2:AD$201)*1000000)</f>
        <v>54595.759278235164</v>
      </c>
      <c r="X175">
        <f>[4]data!X175*1000000000/(_xlfn.XLOOKUP($B175,[1]data!$C$2:$C$201,[1]data!AE$2:AE$201)*1000000)</f>
        <v>60289.453862630173</v>
      </c>
      <c r="Y175">
        <f>[4]data!Y175*1000000000/(_xlfn.XLOOKUP($B175,[1]data!$C$2:$C$201,[1]data!AF$2:AF$201)*1000000)</f>
        <v>66444.984390098864</v>
      </c>
      <c r="Z175">
        <f>[4]data!Z175*1000000000/(_xlfn.XLOOKUP($B175,[1]data!$C$2:$C$201,[1]data!AG$2:AG$201)*1000000)</f>
        <v>73077.484568146116</v>
      </c>
      <c r="AA175">
        <f>[4]data!AA175*1000000000/(_xlfn.XLOOKUP($B175,[1]data!$C$2:$C$201,[1]data!AH$2:AH$201)*1000000)</f>
        <v>80204.690935347578</v>
      </c>
      <c r="AB175">
        <f>[4]data!AB175*1000000000/(_xlfn.XLOOKUP($B175,[1]data!$C$2:$C$201,[1]data!AI$2:AI$201)*1000000)</f>
        <v>87834.703075291618</v>
      </c>
      <c r="AC175">
        <f>[4]data!AC175*1000000000/(_xlfn.XLOOKUP($B175,[1]data!$C$2:$C$201,[1]data!AJ$2:AJ$201)*1000000)</f>
        <v>95944.40024922161</v>
      </c>
    </row>
    <row r="176" spans="1:29" x14ac:dyDescent="0.25">
      <c r="A176" t="s">
        <v>232</v>
      </c>
      <c r="B176" t="s">
        <v>213</v>
      </c>
      <c r="C176" t="s">
        <v>233</v>
      </c>
      <c r="D176" t="s">
        <v>234</v>
      </c>
      <c r="E176">
        <f>[4]data!E176*1000000000/(_xlfn.XLOOKUP($B176,[1]data!$C$2:$C$201,[1]data!L$2:L$201)*1000000)</f>
        <v>5169.0042293769775</v>
      </c>
      <c r="F176">
        <f>[4]data!F176*1000000000/(_xlfn.XLOOKUP($B176,[1]data!$C$2:$C$201,[1]data!M$2:M$201)*1000000)</f>
        <v>5590.7212890707342</v>
      </c>
      <c r="G176">
        <f>[4]data!G176*1000000000/(_xlfn.XLOOKUP($B176,[1]data!$C$2:$C$201,[1]data!N$2:N$201)*1000000)</f>
        <v>5830.571804228829</v>
      </c>
      <c r="H176">
        <f>[4]data!H176*1000000000/(_xlfn.XLOOKUP($B176,[1]data!$C$2:$C$201,[1]data!O$2:O$201)*1000000)</f>
        <v>6379.33647796901</v>
      </c>
      <c r="I176">
        <f>[4]data!I176*1000000000/(_xlfn.XLOOKUP($B176,[1]data!$C$2:$C$201,[1]data!P$2:P$201)*1000000)</f>
        <v>7859.5756281733566</v>
      </c>
      <c r="J176">
        <f>[4]data!J176*1000000000/(_xlfn.XLOOKUP($B176,[1]data!$C$2:$C$201,[1]data!Q$2:Q$201)*1000000)</f>
        <v>9177.2937770674125</v>
      </c>
      <c r="K176">
        <f>[4]data!K176*1000000000/(_xlfn.XLOOKUP($B176,[1]data!$C$2:$C$201,[1]data!R$2:R$201)*1000000)</f>
        <v>10899.944102850754</v>
      </c>
      <c r="L176">
        <f>[4]data!L176*1000000000/(_xlfn.XLOOKUP($B176,[1]data!$C$2:$C$201,[1]data!S$2:S$201)*1000000)</f>
        <v>11106.286120183226</v>
      </c>
      <c r="M176">
        <f>[4]data!M176*1000000000/(_xlfn.XLOOKUP($B176,[1]data!$C$2:$C$201,[1]data!T$2:T$201)*1000000)</f>
        <v>10286.839560904309</v>
      </c>
      <c r="N176">
        <f>[4]data!N176*1000000000/(_xlfn.XLOOKUP($B176,[1]data!$C$2:$C$201,[1]data!U$2:U$201)*1000000)</f>
        <v>10833.812985999846</v>
      </c>
      <c r="O176">
        <f>[4]data!O176*1000000000/(_xlfn.XLOOKUP($B176,[1]data!$C$2:$C$201,[1]data!V$2:V$201)*1000000)</f>
        <v>11923.291396088043</v>
      </c>
      <c r="P176">
        <f>[4]data!P176*1000000000/(_xlfn.XLOOKUP($B176,[1]data!$C$2:$C$201,[1]data!W$2:W$201)*1000000)</f>
        <v>13357.133460725041</v>
      </c>
      <c r="Q176">
        <f>[4]data!Q176*1000000000/(_xlfn.XLOOKUP($B176,[1]data!$C$2:$C$201,[1]data!X$2:X$201)*1000000)</f>
        <v>15136.368091643188</v>
      </c>
      <c r="R176">
        <f>[4]data!R176*1000000000/(_xlfn.XLOOKUP($B176,[1]data!$C$2:$C$201,[1]data!Y$2:Y$201)*1000000)</f>
        <v>17214.305422556929</v>
      </c>
      <c r="S176">
        <f>[4]data!S176*1000000000/(_xlfn.XLOOKUP($B176,[1]data!$C$2:$C$201,[1]data!Z$2:Z$201)*1000000)</f>
        <v>19586.640843972331</v>
      </c>
      <c r="T176">
        <f>[4]data!T176*1000000000/(_xlfn.XLOOKUP($B176,[1]data!$C$2:$C$201,[1]data!AA$2:AA$201)*1000000)</f>
        <v>22360.224689787028</v>
      </c>
      <c r="U176">
        <f>[4]data!U176*1000000000/(_xlfn.XLOOKUP($B176,[1]data!$C$2:$C$201,[1]data!AB$2:AB$201)*1000000)</f>
        <v>25621.106871054664</v>
      </c>
      <c r="V176">
        <f>[4]data!V176*1000000000/(_xlfn.XLOOKUP($B176,[1]data!$C$2:$C$201,[1]data!AC$2:AC$201)*1000000)</f>
        <v>29380.123533604554</v>
      </c>
      <c r="W176">
        <f>[4]data!W176*1000000000/(_xlfn.XLOOKUP($B176,[1]data!$C$2:$C$201,[1]data!AD$2:AD$201)*1000000)</f>
        <v>33598.264326760611</v>
      </c>
      <c r="X176">
        <f>[4]data!X176*1000000000/(_xlfn.XLOOKUP($B176,[1]data!$C$2:$C$201,[1]data!AE$2:AE$201)*1000000)</f>
        <v>38153.184941710679</v>
      </c>
      <c r="Y176">
        <f>[4]data!Y176*1000000000/(_xlfn.XLOOKUP($B176,[1]data!$C$2:$C$201,[1]data!AF$2:AF$201)*1000000)</f>
        <v>42967.900640877437</v>
      </c>
      <c r="Z176">
        <f>[4]data!Z176*1000000000/(_xlfn.XLOOKUP($B176,[1]data!$C$2:$C$201,[1]data!AG$2:AG$201)*1000000)</f>
        <v>48050.062454581042</v>
      </c>
      <c r="AA176">
        <f>[4]data!AA176*1000000000/(_xlfn.XLOOKUP($B176,[1]data!$C$2:$C$201,[1]data!AH$2:AH$201)*1000000)</f>
        <v>53436.733402873993</v>
      </c>
      <c r="AB176">
        <f>[4]data!AB176*1000000000/(_xlfn.XLOOKUP($B176,[1]data!$C$2:$C$201,[1]data!AI$2:AI$201)*1000000)</f>
        <v>59157.614281100963</v>
      </c>
      <c r="AC176">
        <f>[4]data!AC176*1000000000/(_xlfn.XLOOKUP($B176,[1]data!$C$2:$C$201,[1]data!AJ$2:AJ$201)*1000000)</f>
        <v>65208.208482667578</v>
      </c>
    </row>
    <row r="177" spans="1:29" x14ac:dyDescent="0.25">
      <c r="A177" t="s">
        <v>232</v>
      </c>
      <c r="B177" t="s">
        <v>214</v>
      </c>
      <c r="C177" t="s">
        <v>233</v>
      </c>
      <c r="D177" t="s">
        <v>234</v>
      </c>
      <c r="E177">
        <f>[4]data!E177*1000000000/(_xlfn.XLOOKUP($B177,[1]data!$C$2:$C$201,[1]data!L$2:L$201)*1000000)</f>
        <v>9363.9128190462052</v>
      </c>
      <c r="F177">
        <f>[4]data!F177*1000000000/(_xlfn.XLOOKUP($B177,[1]data!$C$2:$C$201,[1]data!M$2:M$201)*1000000)</f>
        <v>10649.505406992828</v>
      </c>
      <c r="G177">
        <f>[4]data!G177*1000000000/(_xlfn.XLOOKUP($B177,[1]data!$C$2:$C$201,[1]data!N$2:N$201)*1000000)</f>
        <v>12614.581561945171</v>
      </c>
      <c r="H177">
        <f>[4]data!H177*1000000000/(_xlfn.XLOOKUP($B177,[1]data!$C$2:$C$201,[1]data!O$2:O$201)*1000000)</f>
        <v>13517.991210344988</v>
      </c>
      <c r="I177">
        <f>[4]data!I177*1000000000/(_xlfn.XLOOKUP($B177,[1]data!$C$2:$C$201,[1]data!P$2:P$201)*1000000)</f>
        <v>15208.447403523644</v>
      </c>
      <c r="J177">
        <f>[4]data!J177*1000000000/(_xlfn.XLOOKUP($B177,[1]data!$C$2:$C$201,[1]data!Q$2:Q$201)*1000000)</f>
        <v>18008.419352525612</v>
      </c>
      <c r="K177">
        <f>[4]data!K177*1000000000/(_xlfn.XLOOKUP($B177,[1]data!$C$2:$C$201,[1]data!R$2:R$201)*1000000)</f>
        <v>19759.028568002523</v>
      </c>
      <c r="L177">
        <f>[4]data!L177*1000000000/(_xlfn.XLOOKUP($B177,[1]data!$C$2:$C$201,[1]data!S$2:S$201)*1000000)</f>
        <v>25601.30113227163</v>
      </c>
      <c r="M177">
        <f>[4]data!M177*1000000000/(_xlfn.XLOOKUP($B177,[1]data!$C$2:$C$201,[1]data!T$2:T$201)*1000000)</f>
        <v>28343.186594393046</v>
      </c>
      <c r="N177">
        <f>[4]data!N177*1000000000/(_xlfn.XLOOKUP($B177,[1]data!$C$2:$C$201,[1]data!U$2:U$201)*1000000)</f>
        <v>35577.478094449965</v>
      </c>
      <c r="O177">
        <f>[4]data!O177*1000000000/(_xlfn.XLOOKUP($B177,[1]data!$C$2:$C$201,[1]data!V$2:V$201)*1000000)</f>
        <v>41675.533223844395</v>
      </c>
      <c r="P177">
        <f>[4]data!P177*1000000000/(_xlfn.XLOOKUP($B177,[1]data!$C$2:$C$201,[1]data!W$2:W$201)*1000000)</f>
        <v>47627.384471545272</v>
      </c>
      <c r="Q177">
        <f>[4]data!Q177*1000000000/(_xlfn.XLOOKUP($B177,[1]data!$C$2:$C$201,[1]data!X$2:X$201)*1000000)</f>
        <v>53005.004282090566</v>
      </c>
      <c r="R177">
        <f>[4]data!R177*1000000000/(_xlfn.XLOOKUP($B177,[1]data!$C$2:$C$201,[1]data!Y$2:Y$201)*1000000)</f>
        <v>58131.905751941871</v>
      </c>
      <c r="S177">
        <f>[4]data!S177*1000000000/(_xlfn.XLOOKUP($B177,[1]data!$C$2:$C$201,[1]data!Z$2:Z$201)*1000000)</f>
        <v>63078.659311896714</v>
      </c>
      <c r="T177">
        <f>[4]data!T177*1000000000/(_xlfn.XLOOKUP($B177,[1]data!$C$2:$C$201,[1]data!AA$2:AA$201)*1000000)</f>
        <v>68047.289282500948</v>
      </c>
      <c r="U177">
        <f>[4]data!U177*1000000000/(_xlfn.XLOOKUP($B177,[1]data!$C$2:$C$201,[1]data!AB$2:AB$201)*1000000)</f>
        <v>73066.782400880373</v>
      </c>
      <c r="V177">
        <f>[4]data!V177*1000000000/(_xlfn.XLOOKUP($B177,[1]data!$C$2:$C$201,[1]data!AC$2:AC$201)*1000000)</f>
        <v>77888.508530296764</v>
      </c>
      <c r="W177">
        <f>[4]data!W177*1000000000/(_xlfn.XLOOKUP($B177,[1]data!$C$2:$C$201,[1]data!AD$2:AD$201)*1000000)</f>
        <v>82287.812915108618</v>
      </c>
      <c r="X177">
        <f>[4]data!X177*1000000000/(_xlfn.XLOOKUP($B177,[1]data!$C$2:$C$201,[1]data!AE$2:AE$201)*1000000)</f>
        <v>86335.541317265917</v>
      </c>
      <c r="Y177">
        <f>[4]data!Y177*1000000000/(_xlfn.XLOOKUP($B177,[1]data!$C$2:$C$201,[1]data!AF$2:AF$201)*1000000)</f>
        <v>90097.817663935974</v>
      </c>
      <c r="Z177">
        <f>[4]data!Z177*1000000000/(_xlfn.XLOOKUP($B177,[1]data!$C$2:$C$201,[1]data!AG$2:AG$201)*1000000)</f>
        <v>93732.875895147256</v>
      </c>
      <c r="AA177">
        <f>[4]data!AA177*1000000000/(_xlfn.XLOOKUP($B177,[1]data!$C$2:$C$201,[1]data!AH$2:AH$201)*1000000)</f>
        <v>97357.808998254273</v>
      </c>
      <c r="AB177">
        <f>[4]data!AB177*1000000000/(_xlfn.XLOOKUP($B177,[1]data!$C$2:$C$201,[1]data!AI$2:AI$201)*1000000)</f>
        <v>101014.62786592986</v>
      </c>
      <c r="AC177">
        <f>[4]data!AC177*1000000000/(_xlfn.XLOOKUP($B177,[1]data!$C$2:$C$201,[1]data!AJ$2:AJ$201)*1000000)</f>
        <v>104701.78613469399</v>
      </c>
    </row>
    <row r="178" spans="1:29" x14ac:dyDescent="0.25">
      <c r="A178" t="s">
        <v>232</v>
      </c>
      <c r="B178" t="s">
        <v>215</v>
      </c>
      <c r="C178" t="s">
        <v>233</v>
      </c>
      <c r="D178" t="s">
        <v>234</v>
      </c>
      <c r="E178">
        <f>[4]data!E178*1000000000/(_xlfn.XLOOKUP($B178,[1]data!$C$2:$C$201,[1]data!L$2:L$201)*1000000)</f>
        <v>8239.1867464307943</v>
      </c>
      <c r="F178">
        <f>[4]data!F178*1000000000/(_xlfn.XLOOKUP($B178,[1]data!$C$2:$C$201,[1]data!M$2:M$201)*1000000)</f>
        <v>10768.840027200818</v>
      </c>
      <c r="G178">
        <f>[4]data!G178*1000000000/(_xlfn.XLOOKUP($B178,[1]data!$C$2:$C$201,[1]data!N$2:N$201)*1000000)</f>
        <v>15872.72389094545</v>
      </c>
      <c r="H178">
        <f>[4]data!H178*1000000000/(_xlfn.XLOOKUP($B178,[1]data!$C$2:$C$201,[1]data!O$2:O$201)*1000000)</f>
        <v>21844.581165886389</v>
      </c>
      <c r="I178">
        <f>[4]data!I178*1000000000/(_xlfn.XLOOKUP($B178,[1]data!$C$2:$C$201,[1]data!P$2:P$201)*1000000)</f>
        <v>28097.212183759035</v>
      </c>
      <c r="J178">
        <f>[4]data!J178*1000000000/(_xlfn.XLOOKUP($B178,[1]data!$C$2:$C$201,[1]data!Q$2:Q$201)*1000000)</f>
        <v>33382.117667885257</v>
      </c>
      <c r="K178">
        <f>[4]data!K178*1000000000/(_xlfn.XLOOKUP($B178,[1]data!$C$2:$C$201,[1]data!R$2:R$201)*1000000)</f>
        <v>40692.499438757935</v>
      </c>
      <c r="L178">
        <f>[4]data!L178*1000000000/(_xlfn.XLOOKUP($B178,[1]data!$C$2:$C$201,[1]data!S$2:S$201)*1000000)</f>
        <v>46154.30177412802</v>
      </c>
      <c r="M178">
        <f>[4]data!M178*1000000000/(_xlfn.XLOOKUP($B178,[1]data!$C$2:$C$201,[1]data!T$2:T$201)*1000000)</f>
        <v>52607.265399053271</v>
      </c>
      <c r="N178">
        <f>[4]data!N178*1000000000/(_xlfn.XLOOKUP($B178,[1]data!$C$2:$C$201,[1]data!U$2:U$201)*1000000)</f>
        <v>62023.714318449966</v>
      </c>
      <c r="O178">
        <f>[4]data!O178*1000000000/(_xlfn.XLOOKUP($B178,[1]data!$C$2:$C$201,[1]data!V$2:V$201)*1000000)</f>
        <v>70719.36046486687</v>
      </c>
      <c r="P178">
        <f>[4]data!P178*1000000000/(_xlfn.XLOOKUP($B178,[1]data!$C$2:$C$201,[1]data!W$2:W$201)*1000000)</f>
        <v>76915.648472779038</v>
      </c>
      <c r="Q178">
        <f>[4]data!Q178*1000000000/(_xlfn.XLOOKUP($B178,[1]data!$C$2:$C$201,[1]data!X$2:X$201)*1000000)</f>
        <v>79912.230469922011</v>
      </c>
      <c r="R178">
        <f>[4]data!R178*1000000000/(_xlfn.XLOOKUP($B178,[1]data!$C$2:$C$201,[1]data!Y$2:Y$201)*1000000)</f>
        <v>80997.414685477517</v>
      </c>
      <c r="S178">
        <f>[4]data!S178*1000000000/(_xlfn.XLOOKUP($B178,[1]data!$C$2:$C$201,[1]data!Z$2:Z$201)*1000000)</f>
        <v>80862.389001041054</v>
      </c>
      <c r="T178">
        <f>[4]data!T178*1000000000/(_xlfn.XLOOKUP($B178,[1]data!$C$2:$C$201,[1]data!AA$2:AA$201)*1000000)</f>
        <v>80307.447128340878</v>
      </c>
      <c r="U178">
        <f>[4]data!U178*1000000000/(_xlfn.XLOOKUP($B178,[1]data!$C$2:$C$201,[1]data!AB$2:AB$201)*1000000)</f>
        <v>79607.064080171665</v>
      </c>
      <c r="V178">
        <f>[4]data!V178*1000000000/(_xlfn.XLOOKUP($B178,[1]data!$C$2:$C$201,[1]data!AC$2:AC$201)*1000000)</f>
        <v>78937.364665440939</v>
      </c>
      <c r="W178">
        <f>[4]data!W178*1000000000/(_xlfn.XLOOKUP($B178,[1]data!$C$2:$C$201,[1]data!AD$2:AD$201)*1000000)</f>
        <v>78320.688831147534</v>
      </c>
      <c r="X178">
        <f>[4]data!X178*1000000000/(_xlfn.XLOOKUP($B178,[1]data!$C$2:$C$201,[1]data!AE$2:AE$201)*1000000)</f>
        <v>77808.544746964108</v>
      </c>
      <c r="Y178">
        <f>[4]data!Y178*1000000000/(_xlfn.XLOOKUP($B178,[1]data!$C$2:$C$201,[1]data!AF$2:AF$201)*1000000)</f>
        <v>77384.761482901187</v>
      </c>
      <c r="Z178">
        <f>[4]data!Z178*1000000000/(_xlfn.XLOOKUP($B178,[1]data!$C$2:$C$201,[1]data!AG$2:AG$201)*1000000)</f>
        <v>77099.227456637309</v>
      </c>
      <c r="AA178">
        <f>[4]data!AA178*1000000000/(_xlfn.XLOOKUP($B178,[1]data!$C$2:$C$201,[1]data!AH$2:AH$201)*1000000)</f>
        <v>77018.371528369942</v>
      </c>
      <c r="AB178">
        <f>[4]data!AB178*1000000000/(_xlfn.XLOOKUP($B178,[1]data!$C$2:$C$201,[1]data!AI$2:AI$201)*1000000)</f>
        <v>77194.970459069504</v>
      </c>
      <c r="AC178">
        <f>[4]data!AC178*1000000000/(_xlfn.XLOOKUP($B178,[1]data!$C$2:$C$201,[1]data!AJ$2:AJ$201)*1000000)</f>
        <v>77672.149619404503</v>
      </c>
    </row>
    <row r="179" spans="1:29" x14ac:dyDescent="0.25">
      <c r="A179" t="s">
        <v>232</v>
      </c>
      <c r="B179" t="s">
        <v>216</v>
      </c>
      <c r="C179" t="s">
        <v>233</v>
      </c>
      <c r="D179" t="s">
        <v>234</v>
      </c>
      <c r="E179">
        <f>[4]data!E179*1000000000/(_xlfn.XLOOKUP($B179,[1]data!$C$2:$C$201,[1]data!L$2:L$201)*1000000)</f>
        <v>1206.1626388193076</v>
      </c>
      <c r="F179">
        <f>[4]data!F179*1000000000/(_xlfn.XLOOKUP($B179,[1]data!$C$2:$C$201,[1]data!M$2:M$201)*1000000)</f>
        <v>1157.1499885467965</v>
      </c>
      <c r="G179">
        <f>[4]data!G179*1000000000/(_xlfn.XLOOKUP($B179,[1]data!$C$2:$C$201,[1]data!N$2:N$201)*1000000)</f>
        <v>1299.5120870958613</v>
      </c>
      <c r="H179">
        <f>[4]data!H179*1000000000/(_xlfn.XLOOKUP($B179,[1]data!$C$2:$C$201,[1]data!O$2:O$201)*1000000)</f>
        <v>1217.1459173401709</v>
      </c>
      <c r="I179">
        <f>[4]data!I179*1000000000/(_xlfn.XLOOKUP($B179,[1]data!$C$2:$C$201,[1]data!P$2:P$201)*1000000)</f>
        <v>1335.4096632527103</v>
      </c>
      <c r="J179">
        <f>[4]data!J179*1000000000/(_xlfn.XLOOKUP($B179,[1]data!$C$2:$C$201,[1]data!Q$2:Q$201)*1000000)</f>
        <v>1639.8707939130409</v>
      </c>
      <c r="K179">
        <f>[4]data!K179*1000000000/(_xlfn.XLOOKUP($B179,[1]data!$C$2:$C$201,[1]data!R$2:R$201)*1000000)</f>
        <v>1925.9435073029995</v>
      </c>
      <c r="L179">
        <f>[4]data!L179*1000000000/(_xlfn.XLOOKUP($B179,[1]data!$C$2:$C$201,[1]data!S$2:S$201)*1000000)</f>
        <v>2278.2719112430004</v>
      </c>
      <c r="M179">
        <f>[4]data!M179*1000000000/(_xlfn.XLOOKUP($B179,[1]data!$C$2:$C$201,[1]data!T$2:T$201)*1000000)</f>
        <v>2647.9478605653821</v>
      </c>
      <c r="N179">
        <f>[4]data!N179*1000000000/(_xlfn.XLOOKUP($B179,[1]data!$C$2:$C$201,[1]data!U$2:U$201)*1000000)</f>
        <v>2983.2848678420369</v>
      </c>
      <c r="O179">
        <f>[4]data!O179*1000000000/(_xlfn.XLOOKUP($B179,[1]data!$C$2:$C$201,[1]data!V$2:V$201)*1000000)</f>
        <v>3663.0545808323814</v>
      </c>
      <c r="P179">
        <f>[4]data!P179*1000000000/(_xlfn.XLOOKUP($B179,[1]data!$C$2:$C$201,[1]data!W$2:W$201)*1000000)</f>
        <v>4439.7871966570747</v>
      </c>
      <c r="Q179">
        <f>[4]data!Q179*1000000000/(_xlfn.XLOOKUP($B179,[1]data!$C$2:$C$201,[1]data!X$2:X$201)*1000000)</f>
        <v>5229.9524201164031</v>
      </c>
      <c r="R179">
        <f>[4]data!R179*1000000000/(_xlfn.XLOOKUP($B179,[1]data!$C$2:$C$201,[1]data!Y$2:Y$201)*1000000)</f>
        <v>6102.0021675925764</v>
      </c>
      <c r="S179">
        <f>[4]data!S179*1000000000/(_xlfn.XLOOKUP($B179,[1]data!$C$2:$C$201,[1]data!Z$2:Z$201)*1000000)</f>
        <v>7104.83852320608</v>
      </c>
      <c r="T179">
        <f>[4]data!T179*1000000000/(_xlfn.XLOOKUP($B179,[1]data!$C$2:$C$201,[1]data!AA$2:AA$201)*1000000)</f>
        <v>8305.5442636738098</v>
      </c>
      <c r="U179">
        <f>[4]data!U179*1000000000/(_xlfn.XLOOKUP($B179,[1]data!$C$2:$C$201,[1]data!AB$2:AB$201)*1000000)</f>
        <v>9748.3996950311011</v>
      </c>
      <c r="V179">
        <f>[4]data!V179*1000000000/(_xlfn.XLOOKUP($B179,[1]data!$C$2:$C$201,[1]data!AC$2:AC$201)*1000000)</f>
        <v>11481.093310528126</v>
      </c>
      <c r="W179">
        <f>[4]data!W179*1000000000/(_xlfn.XLOOKUP($B179,[1]data!$C$2:$C$201,[1]data!AD$2:AD$201)*1000000)</f>
        <v>13520.534815494662</v>
      </c>
      <c r="X179">
        <f>[4]data!X179*1000000000/(_xlfn.XLOOKUP($B179,[1]data!$C$2:$C$201,[1]data!AE$2:AE$201)*1000000)</f>
        <v>15898.023115159091</v>
      </c>
      <c r="Y179">
        <f>[4]data!Y179*1000000000/(_xlfn.XLOOKUP($B179,[1]data!$C$2:$C$201,[1]data!AF$2:AF$201)*1000000)</f>
        <v>18666.663704988703</v>
      </c>
      <c r="Z179">
        <f>[4]data!Z179*1000000000/(_xlfn.XLOOKUP($B179,[1]data!$C$2:$C$201,[1]data!AG$2:AG$201)*1000000)</f>
        <v>21888.292831474242</v>
      </c>
      <c r="AA179">
        <f>[4]data!AA179*1000000000/(_xlfn.XLOOKUP($B179,[1]data!$C$2:$C$201,[1]data!AH$2:AH$201)*1000000)</f>
        <v>25633.079213036672</v>
      </c>
      <c r="AB179">
        <f>[4]data!AB179*1000000000/(_xlfn.XLOOKUP($B179,[1]data!$C$2:$C$201,[1]data!AI$2:AI$201)*1000000)</f>
        <v>29917.619053941045</v>
      </c>
      <c r="AC179">
        <f>[4]data!AC179*1000000000/(_xlfn.XLOOKUP($B179,[1]data!$C$2:$C$201,[1]data!AJ$2:AJ$201)*1000000)</f>
        <v>34742.212190174127</v>
      </c>
    </row>
    <row r="180" spans="1:29" x14ac:dyDescent="0.25">
      <c r="A180" t="s">
        <v>232</v>
      </c>
      <c r="B180" t="s">
        <v>217</v>
      </c>
      <c r="C180" t="s">
        <v>233</v>
      </c>
      <c r="D180" t="s">
        <v>234</v>
      </c>
      <c r="E180">
        <f>[4]data!E180*1000000000/(_xlfn.XLOOKUP($B180,[1]data!$C$2:$C$201,[1]data!L$2:L$201)*1000000)</f>
        <v>891.34019141833596</v>
      </c>
      <c r="F180">
        <f>[4]data!F180*1000000000/(_xlfn.XLOOKUP($B180,[1]data!$C$2:$C$201,[1]data!M$2:M$201)*1000000)</f>
        <v>877.04371216617153</v>
      </c>
      <c r="G180">
        <f>[4]data!G180*1000000000/(_xlfn.XLOOKUP($B180,[1]data!$C$2:$C$201,[1]data!N$2:N$201)*1000000)</f>
        <v>968.10803292100093</v>
      </c>
      <c r="H180">
        <f>[4]data!H180*1000000000/(_xlfn.XLOOKUP($B180,[1]data!$C$2:$C$201,[1]data!O$2:O$201)*1000000)</f>
        <v>1106.8616671536399</v>
      </c>
      <c r="I180">
        <f>[4]data!I180*1000000000/(_xlfn.XLOOKUP($B180,[1]data!$C$2:$C$201,[1]data!P$2:P$201)*1000000)</f>
        <v>1270.7485143905747</v>
      </c>
      <c r="J180">
        <f>[4]data!J180*1000000000/(_xlfn.XLOOKUP($B180,[1]data!$C$2:$C$201,[1]data!Q$2:Q$201)*1000000)</f>
        <v>1569.7692383411786</v>
      </c>
      <c r="K180">
        <f>[4]data!K180*1000000000/(_xlfn.XLOOKUP($B180,[1]data!$C$2:$C$201,[1]data!R$2:R$201)*1000000)</f>
        <v>2012.8445176541052</v>
      </c>
      <c r="L180">
        <f>[4]data!L180*1000000000/(_xlfn.XLOOKUP($B180,[1]data!$C$2:$C$201,[1]data!S$2:S$201)*1000000)</f>
        <v>2274.3827003302536</v>
      </c>
      <c r="M180">
        <f>[4]data!M180*1000000000/(_xlfn.XLOOKUP($B180,[1]data!$C$2:$C$201,[1]data!T$2:T$201)*1000000)</f>
        <v>2306.9248353162861</v>
      </c>
      <c r="N180">
        <f>[4]data!N180*1000000000/(_xlfn.XLOOKUP($B180,[1]data!$C$2:$C$201,[1]data!U$2:U$201)*1000000)</f>
        <v>2653.7516291497809</v>
      </c>
      <c r="O180">
        <f>[4]data!O180*1000000000/(_xlfn.XLOOKUP($B180,[1]data!$C$2:$C$201,[1]data!V$2:V$201)*1000000)</f>
        <v>3202.700386551413</v>
      </c>
      <c r="P180">
        <f>[4]data!P180*1000000000/(_xlfn.XLOOKUP($B180,[1]data!$C$2:$C$201,[1]data!W$2:W$201)*1000000)</f>
        <v>3845.2580605431012</v>
      </c>
      <c r="Q180">
        <f>[4]data!Q180*1000000000/(_xlfn.XLOOKUP($B180,[1]data!$C$2:$C$201,[1]data!X$2:X$201)*1000000)</f>
        <v>4482.5305621554153</v>
      </c>
      <c r="R180">
        <f>[4]data!R180*1000000000/(_xlfn.XLOOKUP($B180,[1]data!$C$2:$C$201,[1]data!Y$2:Y$201)*1000000)</f>
        <v>5182.3133363322868</v>
      </c>
      <c r="S180">
        <f>[4]data!S180*1000000000/(_xlfn.XLOOKUP($B180,[1]data!$C$2:$C$201,[1]data!Z$2:Z$201)*1000000)</f>
        <v>5986.6818222354741</v>
      </c>
      <c r="T180">
        <f>[4]data!T180*1000000000/(_xlfn.XLOOKUP($B180,[1]data!$C$2:$C$201,[1]data!AA$2:AA$201)*1000000)</f>
        <v>6943.687212026055</v>
      </c>
      <c r="U180">
        <f>[4]data!U180*1000000000/(_xlfn.XLOOKUP($B180,[1]data!$C$2:$C$201,[1]data!AB$2:AB$201)*1000000)</f>
        <v>8083.8615702773341</v>
      </c>
      <c r="V180">
        <f>[4]data!V180*1000000000/(_xlfn.XLOOKUP($B180,[1]data!$C$2:$C$201,[1]data!AC$2:AC$201)*1000000)</f>
        <v>9454.1257216110953</v>
      </c>
      <c r="W180">
        <f>[4]data!W180*1000000000/(_xlfn.XLOOKUP($B180,[1]data!$C$2:$C$201,[1]data!AD$2:AD$201)*1000000)</f>
        <v>11050.349124047281</v>
      </c>
      <c r="X180">
        <f>[4]data!X180*1000000000/(_xlfn.XLOOKUP($B180,[1]data!$C$2:$C$201,[1]data!AE$2:AE$201)*1000000)</f>
        <v>12927.414344312669</v>
      </c>
      <c r="Y180">
        <f>[4]data!Y180*1000000000/(_xlfn.XLOOKUP($B180,[1]data!$C$2:$C$201,[1]data!AF$2:AF$201)*1000000)</f>
        <v>15115.279600771959</v>
      </c>
      <c r="Z180">
        <f>[4]data!Z180*1000000000/(_xlfn.XLOOKUP($B180,[1]data!$C$2:$C$201,[1]data!AG$2:AG$201)*1000000)</f>
        <v>17666.681931766081</v>
      </c>
      <c r="AA180">
        <f>[4]data!AA180*1000000000/(_xlfn.XLOOKUP($B180,[1]data!$C$2:$C$201,[1]data!AH$2:AH$201)*1000000)</f>
        <v>20621.013974213045</v>
      </c>
      <c r="AB180">
        <f>[4]data!AB180*1000000000/(_xlfn.XLOOKUP($B180,[1]data!$C$2:$C$201,[1]data!AI$2:AI$201)*1000000)</f>
        <v>23988.755173998205</v>
      </c>
      <c r="AC180">
        <f>[4]data!AC180*1000000000/(_xlfn.XLOOKUP($B180,[1]data!$C$2:$C$201,[1]data!AJ$2:AJ$201)*1000000)</f>
        <v>27778.520596247206</v>
      </c>
    </row>
    <row r="181" spans="1:29" x14ac:dyDescent="0.25">
      <c r="A181" t="s">
        <v>232</v>
      </c>
      <c r="B181" t="s">
        <v>218</v>
      </c>
      <c r="C181" t="s">
        <v>233</v>
      </c>
      <c r="D181" t="s">
        <v>234</v>
      </c>
      <c r="E181" t="e">
        <f>[4]data!E181*1000000000/(_xlfn.XLOOKUP($B181,[1]data!$C$2:$C$201,[1]data!L$2:L$201)*1000000)</f>
        <v>#VALUE!</v>
      </c>
      <c r="F181" t="e">
        <f>[4]data!F181*1000000000/(_xlfn.XLOOKUP($B181,[1]data!$C$2:$C$201,[1]data!M$2:M$201)*1000000)</f>
        <v>#VALUE!</v>
      </c>
      <c r="G181">
        <f>[4]data!G181*1000000000/(_xlfn.XLOOKUP($B181,[1]data!$C$2:$C$201,[1]data!N$2:N$201)*1000000)</f>
        <v>16537.02851577639</v>
      </c>
      <c r="H181">
        <f>[4]data!H181*1000000000/(_xlfn.XLOOKUP($B181,[1]data!$C$2:$C$201,[1]data!O$2:O$201)*1000000)</f>
        <v>7650.4220089866831</v>
      </c>
      <c r="I181">
        <f>[4]data!I181*1000000000/(_xlfn.XLOOKUP($B181,[1]data!$C$2:$C$201,[1]data!P$2:P$201)*1000000)</f>
        <v>7229.9577632886967</v>
      </c>
      <c r="J181">
        <f>[4]data!J181*1000000000/(_xlfn.XLOOKUP($B181,[1]data!$C$2:$C$201,[1]data!Q$2:Q$201)*1000000)</f>
        <v>10902.195571820937</v>
      </c>
      <c r="K181">
        <f>[4]data!K181*1000000000/(_xlfn.XLOOKUP($B181,[1]data!$C$2:$C$201,[1]data!R$2:R$201)*1000000)</f>
        <v>11793.241757196341</v>
      </c>
      <c r="L181">
        <f>[4]data!L181*1000000000/(_xlfn.XLOOKUP($B181,[1]data!$C$2:$C$201,[1]data!S$2:S$201)*1000000)</f>
        <v>10675.694069614774</v>
      </c>
      <c r="M181">
        <f>[4]data!M181*1000000000/(_xlfn.XLOOKUP($B181,[1]data!$C$2:$C$201,[1]data!T$2:T$201)*1000000)</f>
        <v>11754.474832764048</v>
      </c>
      <c r="N181">
        <f>[4]data!N181*1000000000/(_xlfn.XLOOKUP($B181,[1]data!$C$2:$C$201,[1]data!U$2:U$201)*1000000)</f>
        <v>11714.842075911536</v>
      </c>
      <c r="O181">
        <f>[4]data!O181*1000000000/(_xlfn.XLOOKUP($B181,[1]data!$C$2:$C$201,[1]data!V$2:V$201)*1000000)</f>
        <v>14400.883275690432</v>
      </c>
      <c r="P181">
        <f>[4]data!P181*1000000000/(_xlfn.XLOOKUP($B181,[1]data!$C$2:$C$201,[1]data!W$2:W$201)*1000000)</f>
        <v>17439.613250531431</v>
      </c>
      <c r="Q181">
        <f>[4]data!Q181*1000000000/(_xlfn.XLOOKUP($B181,[1]data!$C$2:$C$201,[1]data!X$2:X$201)*1000000)</f>
        <v>20716.803784111537</v>
      </c>
      <c r="R181">
        <f>[4]data!R181*1000000000/(_xlfn.XLOOKUP($B181,[1]data!$C$2:$C$201,[1]data!Y$2:Y$201)*1000000)</f>
        <v>24147.99813572313</v>
      </c>
      <c r="S181">
        <f>[4]data!S181*1000000000/(_xlfn.XLOOKUP($B181,[1]data!$C$2:$C$201,[1]data!Z$2:Z$201)*1000000)</f>
        <v>27798.637834483572</v>
      </c>
      <c r="T181">
        <f>[4]data!T181*1000000000/(_xlfn.XLOOKUP($B181,[1]data!$C$2:$C$201,[1]data!AA$2:AA$201)*1000000)</f>
        <v>31771.135920816636</v>
      </c>
      <c r="U181">
        <f>[4]data!U181*1000000000/(_xlfn.XLOOKUP($B181,[1]data!$C$2:$C$201,[1]data!AB$2:AB$201)*1000000)</f>
        <v>36127.314522152628</v>
      </c>
      <c r="V181">
        <f>[4]data!V181*1000000000/(_xlfn.XLOOKUP($B181,[1]data!$C$2:$C$201,[1]data!AC$2:AC$201)*1000000)</f>
        <v>40806.343747958053</v>
      </c>
      <c r="W181">
        <f>[4]data!W181*1000000000/(_xlfn.XLOOKUP($B181,[1]data!$C$2:$C$201,[1]data!AD$2:AD$201)*1000000)</f>
        <v>45713.520220829647</v>
      </c>
      <c r="X181">
        <f>[4]data!X181*1000000000/(_xlfn.XLOOKUP($B181,[1]data!$C$2:$C$201,[1]data!AE$2:AE$201)*1000000)</f>
        <v>50763.948112718317</v>
      </c>
      <c r="Y181">
        <f>[4]data!Y181*1000000000/(_xlfn.XLOOKUP($B181,[1]data!$C$2:$C$201,[1]data!AF$2:AF$201)*1000000)</f>
        <v>55967.939827163129</v>
      </c>
      <c r="Z181">
        <f>[4]data!Z181*1000000000/(_xlfn.XLOOKUP($B181,[1]data!$C$2:$C$201,[1]data!AG$2:AG$201)*1000000)</f>
        <v>61443.812228425937</v>
      </c>
      <c r="AA181">
        <f>[4]data!AA181*1000000000/(_xlfn.XLOOKUP($B181,[1]data!$C$2:$C$201,[1]data!AH$2:AH$201)*1000000)</f>
        <v>67287.780694663583</v>
      </c>
      <c r="AB181">
        <f>[4]data!AB181*1000000000/(_xlfn.XLOOKUP($B181,[1]data!$C$2:$C$201,[1]data!AI$2:AI$201)*1000000)</f>
        <v>73531.414625110992</v>
      </c>
      <c r="AC181">
        <f>[4]data!AC181*1000000000/(_xlfn.XLOOKUP($B181,[1]data!$C$2:$C$201,[1]data!AJ$2:AJ$201)*1000000)</f>
        <v>80208.938880670918</v>
      </c>
    </row>
    <row r="182" spans="1:29" x14ac:dyDescent="0.25">
      <c r="A182" t="s">
        <v>232</v>
      </c>
      <c r="B182" t="s">
        <v>219</v>
      </c>
      <c r="C182" t="s">
        <v>233</v>
      </c>
      <c r="D182" t="s">
        <v>234</v>
      </c>
      <c r="E182">
        <f>[4]data!E182*1000000000/(_xlfn.XLOOKUP($B182,[1]data!$C$2:$C$201,[1]data!L$2:L$201)*1000000)</f>
        <v>12181.150791631468</v>
      </c>
      <c r="F182">
        <f>[4]data!F182*1000000000/(_xlfn.XLOOKUP($B182,[1]data!$C$2:$C$201,[1]data!M$2:M$201)*1000000)</f>
        <v>10228.578666300611</v>
      </c>
      <c r="G182">
        <f>[4]data!G182*1000000000/(_xlfn.XLOOKUP($B182,[1]data!$C$2:$C$201,[1]data!N$2:N$201)*1000000)</f>
        <v>11516.595531087562</v>
      </c>
      <c r="H182">
        <f>[4]data!H182*1000000000/(_xlfn.XLOOKUP($B182,[1]data!$C$2:$C$201,[1]data!O$2:O$201)*1000000)</f>
        <v>13570.11597510769</v>
      </c>
      <c r="I182">
        <f>[4]data!I182*1000000000/(_xlfn.XLOOKUP($B182,[1]data!$C$2:$C$201,[1]data!P$2:P$201)*1000000)</f>
        <v>14787.316577471773</v>
      </c>
      <c r="J182">
        <f>[4]data!J182*1000000000/(_xlfn.XLOOKUP($B182,[1]data!$C$2:$C$201,[1]data!Q$2:Q$201)*1000000)</f>
        <v>14792.209515537541</v>
      </c>
      <c r="K182">
        <f>[4]data!K182*1000000000/(_xlfn.XLOOKUP($B182,[1]data!$C$2:$C$201,[1]data!R$2:R$201)*1000000)</f>
        <v>19567.940392224322</v>
      </c>
      <c r="L182">
        <f>[4]data!L182*1000000000/(_xlfn.XLOOKUP($B182,[1]data!$C$2:$C$201,[1]data!S$2:S$201)*1000000)</f>
        <v>22770.672417680955</v>
      </c>
      <c r="M182">
        <f>[4]data!M182*1000000000/(_xlfn.XLOOKUP($B182,[1]data!$C$2:$C$201,[1]data!T$2:T$201)*1000000)</f>
        <v>22078.677069201436</v>
      </c>
      <c r="N182">
        <f>[4]data!N182*1000000000/(_xlfn.XLOOKUP($B182,[1]data!$C$2:$C$201,[1]data!U$2:U$201)*1000000)</f>
        <v>26302.875609926999</v>
      </c>
      <c r="O182">
        <f>[4]data!O182*1000000000/(_xlfn.XLOOKUP($B182,[1]data!$C$2:$C$201,[1]data!V$2:V$201)*1000000)</f>
        <v>29584.043130996521</v>
      </c>
      <c r="P182">
        <f>[4]data!P182*1000000000/(_xlfn.XLOOKUP($B182,[1]data!$C$2:$C$201,[1]data!W$2:W$201)*1000000)</f>
        <v>32728.249923958527</v>
      </c>
      <c r="Q182">
        <f>[4]data!Q182*1000000000/(_xlfn.XLOOKUP($B182,[1]data!$C$2:$C$201,[1]data!X$2:X$201)*1000000)</f>
        <v>35758.347251116451</v>
      </c>
      <c r="R182">
        <f>[4]data!R182*1000000000/(_xlfn.XLOOKUP($B182,[1]data!$C$2:$C$201,[1]data!Y$2:Y$201)*1000000)</f>
        <v>38840.953775310561</v>
      </c>
      <c r="S182">
        <f>[4]data!S182*1000000000/(_xlfn.XLOOKUP($B182,[1]data!$C$2:$C$201,[1]data!Z$2:Z$201)*1000000)</f>
        <v>42023.977690640299</v>
      </c>
      <c r="T182">
        <f>[4]data!T182*1000000000/(_xlfn.XLOOKUP($B182,[1]data!$C$2:$C$201,[1]data!AA$2:AA$201)*1000000)</f>
        <v>45375.666478052008</v>
      </c>
      <c r="U182">
        <f>[4]data!U182*1000000000/(_xlfn.XLOOKUP($B182,[1]data!$C$2:$C$201,[1]data!AB$2:AB$201)*1000000)</f>
        <v>48826.795981058589</v>
      </c>
      <c r="V182">
        <f>[4]data!V182*1000000000/(_xlfn.XLOOKUP($B182,[1]data!$C$2:$C$201,[1]data!AC$2:AC$201)*1000000)</f>
        <v>52391.263857734011</v>
      </c>
      <c r="W182">
        <f>[4]data!W182*1000000000/(_xlfn.XLOOKUP($B182,[1]data!$C$2:$C$201,[1]data!AD$2:AD$201)*1000000)</f>
        <v>55857.832732432878</v>
      </c>
      <c r="X182">
        <f>[4]data!X182*1000000000/(_xlfn.XLOOKUP($B182,[1]data!$C$2:$C$201,[1]data!AE$2:AE$201)*1000000)</f>
        <v>59252.57468841345</v>
      </c>
      <c r="Y182">
        <f>[4]data!Y182*1000000000/(_xlfn.XLOOKUP($B182,[1]data!$C$2:$C$201,[1]data!AF$2:AF$201)*1000000)</f>
        <v>62579.925017401394</v>
      </c>
      <c r="Z182">
        <f>[4]data!Z182*1000000000/(_xlfn.XLOOKUP($B182,[1]data!$C$2:$C$201,[1]data!AG$2:AG$201)*1000000)</f>
        <v>65932.675134009289</v>
      </c>
      <c r="AA182">
        <f>[4]data!AA182*1000000000/(_xlfn.XLOOKUP($B182,[1]data!$C$2:$C$201,[1]data!AH$2:AH$201)*1000000)</f>
        <v>69363.342796082099</v>
      </c>
      <c r="AB182">
        <f>[4]data!AB182*1000000000/(_xlfn.XLOOKUP($B182,[1]data!$C$2:$C$201,[1]data!AI$2:AI$201)*1000000)</f>
        <v>72884.710287601047</v>
      </c>
      <c r="AC182">
        <f>[4]data!AC182*1000000000/(_xlfn.XLOOKUP($B182,[1]data!$C$2:$C$201,[1]data!AJ$2:AJ$201)*1000000)</f>
        <v>76487.16912630912</v>
      </c>
    </row>
    <row r="183" spans="1:29" x14ac:dyDescent="0.25">
      <c r="A183" t="s">
        <v>232</v>
      </c>
      <c r="B183" t="s">
        <v>220</v>
      </c>
      <c r="C183" t="s">
        <v>233</v>
      </c>
      <c r="D183" t="s">
        <v>234</v>
      </c>
      <c r="E183">
        <f>[4]data!E183*1000000000/(_xlfn.XLOOKUP($B183,[1]data!$C$2:$C$201,[1]data!L$2:L$201)*1000000)</f>
        <v>32721.421293159659</v>
      </c>
      <c r="F183">
        <f>[4]data!F183*1000000000/(_xlfn.XLOOKUP($B183,[1]data!$C$2:$C$201,[1]data!M$2:M$201)*1000000)</f>
        <v>36491.69854007387</v>
      </c>
      <c r="G183">
        <f>[4]data!G183*1000000000/(_xlfn.XLOOKUP($B183,[1]data!$C$2:$C$201,[1]data!N$2:N$201)*1000000)</f>
        <v>40813.321373927472</v>
      </c>
      <c r="H183">
        <f>[4]data!H183*1000000000/(_xlfn.XLOOKUP($B183,[1]data!$C$2:$C$201,[1]data!O$2:O$201)*1000000)</f>
        <v>43227.061983087522</v>
      </c>
      <c r="I183">
        <f>[4]data!I183*1000000000/(_xlfn.XLOOKUP($B183,[1]data!$C$2:$C$201,[1]data!P$2:P$201)*1000000)</f>
        <v>48848.603255960341</v>
      </c>
      <c r="J183">
        <f>[4]data!J183*1000000000/(_xlfn.XLOOKUP($B183,[1]data!$C$2:$C$201,[1]data!Q$2:Q$201)*1000000)</f>
        <v>52666.725088211839</v>
      </c>
      <c r="K183">
        <f>[4]data!K183*1000000000/(_xlfn.XLOOKUP($B183,[1]data!$C$2:$C$201,[1]data!R$2:R$201)*1000000)</f>
        <v>52725.525117677556</v>
      </c>
      <c r="L183">
        <f>[4]data!L183*1000000000/(_xlfn.XLOOKUP($B183,[1]data!$C$2:$C$201,[1]data!S$2:S$201)*1000000)</f>
        <v>56578.866886611293</v>
      </c>
      <c r="M183">
        <f>[4]data!M183*1000000000/(_xlfn.XLOOKUP($B183,[1]data!$C$2:$C$201,[1]data!T$2:T$201)*1000000)</f>
        <v>58710.168951781598</v>
      </c>
      <c r="N183">
        <f>[4]data!N183*1000000000/(_xlfn.XLOOKUP($B183,[1]data!$C$2:$C$201,[1]data!U$2:U$201)*1000000)</f>
        <v>65661.04176607501</v>
      </c>
      <c r="O183">
        <f>[4]data!O183*1000000000/(_xlfn.XLOOKUP($B183,[1]data!$C$2:$C$201,[1]data!V$2:V$201)*1000000)</f>
        <v>70444.662289345288</v>
      </c>
      <c r="P183">
        <f>[4]data!P183*1000000000/(_xlfn.XLOOKUP($B183,[1]data!$C$2:$C$201,[1]data!W$2:W$201)*1000000)</f>
        <v>74441.537318079776</v>
      </c>
      <c r="Q183">
        <f>[4]data!Q183*1000000000/(_xlfn.XLOOKUP($B183,[1]data!$C$2:$C$201,[1]data!X$2:X$201)*1000000)</f>
        <v>78041.574843389622</v>
      </c>
      <c r="R183">
        <f>[4]data!R183*1000000000/(_xlfn.XLOOKUP($B183,[1]data!$C$2:$C$201,[1]data!Y$2:Y$201)*1000000)</f>
        <v>81496.681416642023</v>
      </c>
      <c r="S183">
        <f>[4]data!S183*1000000000/(_xlfn.XLOOKUP($B183,[1]data!$C$2:$C$201,[1]data!Z$2:Z$201)*1000000)</f>
        <v>84877.363880827688</v>
      </c>
      <c r="T183">
        <f>[4]data!T183*1000000000/(_xlfn.XLOOKUP($B183,[1]data!$C$2:$C$201,[1]data!AA$2:AA$201)*1000000)</f>
        <v>88432.502605372574</v>
      </c>
      <c r="U183">
        <f>[4]data!U183*1000000000/(_xlfn.XLOOKUP($B183,[1]data!$C$2:$C$201,[1]data!AB$2:AB$201)*1000000)</f>
        <v>92070.97626477723</v>
      </c>
      <c r="V183">
        <f>[4]data!V183*1000000000/(_xlfn.XLOOKUP($B183,[1]data!$C$2:$C$201,[1]data!AC$2:AC$201)*1000000)</f>
        <v>95787.490744621333</v>
      </c>
      <c r="W183">
        <f>[4]data!W183*1000000000/(_xlfn.XLOOKUP($B183,[1]data!$C$2:$C$201,[1]data!AD$2:AD$201)*1000000)</f>
        <v>99409.701450242763</v>
      </c>
      <c r="X183">
        <f>[4]data!X183*1000000000/(_xlfn.XLOOKUP($B183,[1]data!$C$2:$C$201,[1]data!AE$2:AE$201)*1000000)</f>
        <v>103002.80452803039</v>
      </c>
      <c r="Y183">
        <f>[4]data!Y183*1000000000/(_xlfn.XLOOKUP($B183,[1]data!$C$2:$C$201,[1]data!AF$2:AF$201)*1000000)</f>
        <v>106697.52438941292</v>
      </c>
      <c r="Z183">
        <f>[4]data!Z183*1000000000/(_xlfn.XLOOKUP($B183,[1]data!$C$2:$C$201,[1]data!AG$2:AG$201)*1000000)</f>
        <v>110592.54703783838</v>
      </c>
      <c r="AA183">
        <f>[4]data!AA183*1000000000/(_xlfn.XLOOKUP($B183,[1]data!$C$2:$C$201,[1]data!AH$2:AH$201)*1000000)</f>
        <v>114706.62031373147</v>
      </c>
      <c r="AB183">
        <f>[4]data!AB183*1000000000/(_xlfn.XLOOKUP($B183,[1]data!$C$2:$C$201,[1]data!AI$2:AI$201)*1000000)</f>
        <v>118978.81437557217</v>
      </c>
      <c r="AC183">
        <f>[4]data!AC183*1000000000/(_xlfn.XLOOKUP($B183,[1]data!$C$2:$C$201,[1]data!AJ$2:AJ$201)*1000000)</f>
        <v>123334.82383729918</v>
      </c>
    </row>
    <row r="184" spans="1:29" x14ac:dyDescent="0.25">
      <c r="A184" t="s">
        <v>232</v>
      </c>
      <c r="B184" t="s">
        <v>221</v>
      </c>
      <c r="C184" t="s">
        <v>233</v>
      </c>
      <c r="D184" t="s">
        <v>234</v>
      </c>
      <c r="E184" t="e">
        <f>[4]data!E184*1000000000/(_xlfn.XLOOKUP($B184,[1]data!$C$2:$C$201,[1]data!L$2:L$201)*1000000)</f>
        <v>#VALUE!</v>
      </c>
      <c r="F184" t="e">
        <f>[4]data!F184*1000000000/(_xlfn.XLOOKUP($B184,[1]data!$C$2:$C$201,[1]data!M$2:M$201)*1000000)</f>
        <v>#VALUE!</v>
      </c>
      <c r="G184">
        <f>[4]data!G184*1000000000/(_xlfn.XLOOKUP($B184,[1]data!$C$2:$C$201,[1]data!N$2:N$201)*1000000)</f>
        <v>3668.5256850719829</v>
      </c>
      <c r="H184">
        <f>[4]data!H184*1000000000/(_xlfn.XLOOKUP($B184,[1]data!$C$2:$C$201,[1]data!O$2:O$201)*1000000)</f>
        <v>2665.1887816650797</v>
      </c>
      <c r="I184">
        <f>[4]data!I184*1000000000/(_xlfn.XLOOKUP($B184,[1]data!$C$2:$C$201,[1]data!P$2:P$201)*1000000)</f>
        <v>2963.9059751719124</v>
      </c>
      <c r="J184">
        <f>[4]data!J184*1000000000/(_xlfn.XLOOKUP($B184,[1]data!$C$2:$C$201,[1]data!Q$2:Q$201)*1000000)</f>
        <v>3607.9607432006592</v>
      </c>
      <c r="K184">
        <f>[4]data!K184*1000000000/(_xlfn.XLOOKUP($B184,[1]data!$C$2:$C$201,[1]data!R$2:R$201)*1000000)</f>
        <v>4983.7025947819066</v>
      </c>
      <c r="L184">
        <f>[4]data!L184*1000000000/(_xlfn.XLOOKUP($B184,[1]data!$C$2:$C$201,[1]data!S$2:S$201)*1000000)</f>
        <v>6527.1987846876345</v>
      </c>
      <c r="M184">
        <f>[4]data!M184*1000000000/(_xlfn.XLOOKUP($B184,[1]data!$C$2:$C$201,[1]data!T$2:T$201)*1000000)</f>
        <v>7628.0239320369419</v>
      </c>
      <c r="N184">
        <f>[4]data!N184*1000000000/(_xlfn.XLOOKUP($B184,[1]data!$C$2:$C$201,[1]data!U$2:U$201)*1000000)</f>
        <v>9370.5743447950244</v>
      </c>
      <c r="O184">
        <f>[4]data!O184*1000000000/(_xlfn.XLOOKUP($B184,[1]data!$C$2:$C$201,[1]data!V$2:V$201)*1000000)</f>
        <v>11446.310510718024</v>
      </c>
      <c r="P184">
        <f>[4]data!P184*1000000000/(_xlfn.XLOOKUP($B184,[1]data!$C$2:$C$201,[1]data!W$2:W$201)*1000000)</f>
        <v>13729.697040394884</v>
      </c>
      <c r="Q184">
        <f>[4]data!Q184*1000000000/(_xlfn.XLOOKUP($B184,[1]data!$C$2:$C$201,[1]data!X$2:X$201)*1000000)</f>
        <v>15970.688612999311</v>
      </c>
      <c r="R184">
        <f>[4]data!R184*1000000000/(_xlfn.XLOOKUP($B184,[1]data!$C$2:$C$201,[1]data!Y$2:Y$201)*1000000)</f>
        <v>18120.76173561106</v>
      </c>
      <c r="S184">
        <f>[4]data!S184*1000000000/(_xlfn.XLOOKUP($B184,[1]data!$C$2:$C$201,[1]data!Z$2:Z$201)*1000000)</f>
        <v>20295.450303062124</v>
      </c>
      <c r="T184">
        <f>[4]data!T184*1000000000/(_xlfn.XLOOKUP($B184,[1]data!$C$2:$C$201,[1]data!AA$2:AA$201)*1000000)</f>
        <v>22687.716865829294</v>
      </c>
      <c r="U184">
        <f>[4]data!U184*1000000000/(_xlfn.XLOOKUP($B184,[1]data!$C$2:$C$201,[1]data!AB$2:AB$201)*1000000)</f>
        <v>25416.132731912134</v>
      </c>
      <c r="V184">
        <f>[4]data!V184*1000000000/(_xlfn.XLOOKUP($B184,[1]data!$C$2:$C$201,[1]data!AC$2:AC$201)*1000000)</f>
        <v>28467.110757065337</v>
      </c>
      <c r="W184">
        <f>[4]data!W184*1000000000/(_xlfn.XLOOKUP($B184,[1]data!$C$2:$C$201,[1]data!AD$2:AD$201)*1000000)</f>
        <v>31760.601996989088</v>
      </c>
      <c r="X184">
        <f>[4]data!X184*1000000000/(_xlfn.XLOOKUP($B184,[1]data!$C$2:$C$201,[1]data!AE$2:AE$201)*1000000)</f>
        <v>35246.041523454252</v>
      </c>
      <c r="Y184">
        <f>[4]data!Y184*1000000000/(_xlfn.XLOOKUP($B184,[1]data!$C$2:$C$201,[1]data!AF$2:AF$201)*1000000)</f>
        <v>38958.578495293332</v>
      </c>
      <c r="Z184">
        <f>[4]data!Z184*1000000000/(_xlfn.XLOOKUP($B184,[1]data!$C$2:$C$201,[1]data!AG$2:AG$201)*1000000)</f>
        <v>42983.947453721979</v>
      </c>
      <c r="AA184">
        <f>[4]data!AA184*1000000000/(_xlfn.XLOOKUP($B184,[1]data!$C$2:$C$201,[1]data!AH$2:AH$201)*1000000)</f>
        <v>47363.096533601078</v>
      </c>
      <c r="AB184">
        <f>[4]data!AB184*1000000000/(_xlfn.XLOOKUP($B184,[1]data!$C$2:$C$201,[1]data!AI$2:AI$201)*1000000)</f>
        <v>52089.161421724966</v>
      </c>
      <c r="AC184">
        <f>[4]data!AC184*1000000000/(_xlfn.XLOOKUP($B184,[1]data!$C$2:$C$201,[1]data!AJ$2:AJ$201)*1000000)</f>
        <v>57183.813440521211</v>
      </c>
    </row>
    <row r="185" spans="1:29" x14ac:dyDescent="0.25">
      <c r="A185" t="s">
        <v>232</v>
      </c>
      <c r="B185" t="s">
        <v>222</v>
      </c>
      <c r="C185" t="s">
        <v>233</v>
      </c>
      <c r="D185" t="s">
        <v>234</v>
      </c>
      <c r="E185">
        <f>[4]data!E185*1000000000/(_xlfn.XLOOKUP($B185,[1]data!$C$2:$C$201,[1]data!L$2:L$201)*1000000)</f>
        <v>4414.3854149172403</v>
      </c>
      <c r="F185">
        <f>[4]data!F185*1000000000/(_xlfn.XLOOKUP($B185,[1]data!$C$2:$C$201,[1]data!M$2:M$201)*1000000)</f>
        <v>5166.308140060376</v>
      </c>
      <c r="G185">
        <f>[4]data!G185*1000000000/(_xlfn.XLOOKUP($B185,[1]data!$C$2:$C$201,[1]data!N$2:N$201)*1000000)</f>
        <v>6604.4331382420451</v>
      </c>
      <c r="H185">
        <f>[4]data!H185*1000000000/(_xlfn.XLOOKUP($B185,[1]data!$C$2:$C$201,[1]data!O$2:O$201)*1000000)</f>
        <v>7795.4101177274997</v>
      </c>
      <c r="I185">
        <f>[4]data!I185*1000000000/(_xlfn.XLOOKUP($B185,[1]data!$C$2:$C$201,[1]data!P$2:P$201)*1000000)</f>
        <v>8883.7870819908167</v>
      </c>
      <c r="J185">
        <f>[4]data!J185*1000000000/(_xlfn.XLOOKUP($B185,[1]data!$C$2:$C$201,[1]data!Q$2:Q$201)*1000000)</f>
        <v>10810.233402766651</v>
      </c>
      <c r="K185">
        <f>[4]data!K185*1000000000/(_xlfn.XLOOKUP($B185,[1]data!$C$2:$C$201,[1]data!R$2:R$201)*1000000)</f>
        <v>11555.981385162881</v>
      </c>
      <c r="L185">
        <f>[4]data!L185*1000000000/(_xlfn.XLOOKUP($B185,[1]data!$C$2:$C$201,[1]data!S$2:S$201)*1000000)</f>
        <v>12697.685315340643</v>
      </c>
      <c r="M185">
        <f>[4]data!M185*1000000000/(_xlfn.XLOOKUP($B185,[1]data!$C$2:$C$201,[1]data!T$2:T$201)*1000000)</f>
        <v>13685.678267181112</v>
      </c>
      <c r="N185">
        <f>[4]data!N185*1000000000/(_xlfn.XLOOKUP($B185,[1]data!$C$2:$C$201,[1]data!U$2:U$201)*1000000)</f>
        <v>17304.592517060159</v>
      </c>
      <c r="O185">
        <f>[4]data!O185*1000000000/(_xlfn.XLOOKUP($B185,[1]data!$C$2:$C$201,[1]data!V$2:V$201)*1000000)</f>
        <v>20008.150607319643</v>
      </c>
      <c r="P185">
        <f>[4]data!P185*1000000000/(_xlfn.XLOOKUP($B185,[1]data!$C$2:$C$201,[1]data!W$2:W$201)*1000000)</f>
        <v>22915.706022731869</v>
      </c>
      <c r="Q185">
        <f>[4]data!Q185*1000000000/(_xlfn.XLOOKUP($B185,[1]data!$C$2:$C$201,[1]data!X$2:X$201)*1000000)</f>
        <v>26106.343476018563</v>
      </c>
      <c r="R185">
        <f>[4]data!R185*1000000000/(_xlfn.XLOOKUP($B185,[1]data!$C$2:$C$201,[1]data!Y$2:Y$201)*1000000)</f>
        <v>29620.40807714219</v>
      </c>
      <c r="S185">
        <f>[4]data!S185*1000000000/(_xlfn.XLOOKUP($B185,[1]data!$C$2:$C$201,[1]data!Z$2:Z$201)*1000000)</f>
        <v>33602.041590359877</v>
      </c>
      <c r="T185">
        <f>[4]data!T185*1000000000/(_xlfn.XLOOKUP($B185,[1]data!$C$2:$C$201,[1]data!AA$2:AA$201)*1000000)</f>
        <v>38193.735693149458</v>
      </c>
      <c r="U185">
        <f>[4]data!U185*1000000000/(_xlfn.XLOOKUP($B185,[1]data!$C$2:$C$201,[1]data!AB$2:AB$201)*1000000)</f>
        <v>43456.267935966433</v>
      </c>
      <c r="V185">
        <f>[4]data!V185*1000000000/(_xlfn.XLOOKUP($B185,[1]data!$C$2:$C$201,[1]data!AC$2:AC$201)*1000000)</f>
        <v>49246.895700277775</v>
      </c>
      <c r="W185">
        <f>[4]data!W185*1000000000/(_xlfn.XLOOKUP($B185,[1]data!$C$2:$C$201,[1]data!AD$2:AD$201)*1000000)</f>
        <v>55463.418204887326</v>
      </c>
      <c r="X185">
        <f>[4]data!X185*1000000000/(_xlfn.XLOOKUP($B185,[1]data!$C$2:$C$201,[1]data!AE$2:AE$201)*1000000)</f>
        <v>62037.069483380059</v>
      </c>
      <c r="Y185">
        <f>[4]data!Y185*1000000000/(_xlfn.XLOOKUP($B185,[1]data!$C$2:$C$201,[1]data!AF$2:AF$201)*1000000)</f>
        <v>68926.794871794875</v>
      </c>
      <c r="Z185">
        <f>[4]data!Z185*1000000000/(_xlfn.XLOOKUP($B185,[1]data!$C$2:$C$201,[1]data!AG$2:AG$201)*1000000)</f>
        <v>76219.278688524573</v>
      </c>
      <c r="AA185">
        <f>[4]data!AA185*1000000000/(_xlfn.XLOOKUP($B185,[1]data!$C$2:$C$201,[1]data!AH$2:AH$201)*1000000)</f>
        <v>83952.606762042546</v>
      </c>
      <c r="AB185">
        <f>[4]data!AB185*1000000000/(_xlfn.XLOOKUP($B185,[1]data!$C$2:$C$201,[1]data!AI$2:AI$201)*1000000)</f>
        <v>92091.857638414687</v>
      </c>
      <c r="AC185">
        <f>[4]data!AC185*1000000000/(_xlfn.XLOOKUP($B185,[1]data!$C$2:$C$201,[1]data!AJ$2:AJ$201)*1000000)</f>
        <v>100620.8918719862</v>
      </c>
    </row>
    <row r="186" spans="1:29" x14ac:dyDescent="0.25">
      <c r="A186" t="s">
        <v>232</v>
      </c>
      <c r="B186" t="s">
        <v>224</v>
      </c>
      <c r="C186" t="s">
        <v>233</v>
      </c>
      <c r="D186" t="s">
        <v>234</v>
      </c>
      <c r="E186" t="e">
        <f>[4]data!E186*1000000000/(_xlfn.XLOOKUP($B186,[1]data!$C$2:$C$201,[1]data!L$2:L$201)*1000000)</f>
        <v>#VALUE!</v>
      </c>
      <c r="F186" t="e">
        <f>[4]data!F186*1000000000/(_xlfn.XLOOKUP($B186,[1]data!$C$2:$C$201,[1]data!M$2:M$201)*1000000)</f>
        <v>#VALUE!</v>
      </c>
      <c r="G186" t="e">
        <f>[4]data!G186*1000000000/(_xlfn.XLOOKUP($B186,[1]data!$C$2:$C$201,[1]data!N$2:N$201)*1000000)</f>
        <v>#VALUE!</v>
      </c>
      <c r="H186" t="e">
        <f>[4]data!H186*1000000000/(_xlfn.XLOOKUP($B186,[1]data!$C$2:$C$201,[1]data!O$2:O$201)*1000000)</f>
        <v>#VALUE!</v>
      </c>
      <c r="I186" t="e">
        <f>[4]data!I186*1000000000/(_xlfn.XLOOKUP($B186,[1]data!$C$2:$C$201,[1]data!P$2:P$201)*1000000)</f>
        <v>#VALUE!</v>
      </c>
      <c r="J186" t="e">
        <f>[4]data!J186*1000000000/(_xlfn.XLOOKUP($B186,[1]data!$C$2:$C$201,[1]data!Q$2:Q$201)*1000000)</f>
        <v>#VALUE!</v>
      </c>
      <c r="K186" t="e">
        <f>[4]data!K186*1000000000/(_xlfn.XLOOKUP($B186,[1]data!$C$2:$C$201,[1]data!R$2:R$201)*1000000)</f>
        <v>#VALUE!</v>
      </c>
      <c r="L186" t="e">
        <f>[4]data!L186*1000000000/(_xlfn.XLOOKUP($B186,[1]data!$C$2:$C$201,[1]data!S$2:S$201)*1000000)</f>
        <v>#VALUE!</v>
      </c>
      <c r="M186">
        <f>[4]data!M186*1000000000/(_xlfn.XLOOKUP($B186,[1]data!$C$2:$C$201,[1]data!T$2:T$201)*1000000)</f>
        <v>30861.911203055377</v>
      </c>
      <c r="N186">
        <f>[4]data!N186*1000000000/(_xlfn.XLOOKUP($B186,[1]data!$C$2:$C$201,[1]data!U$2:U$201)*1000000)</f>
        <v>32985.036644951135</v>
      </c>
      <c r="O186">
        <f>[4]data!O186*1000000000/(_xlfn.XLOOKUP($B186,[1]data!$C$2:$C$201,[1]data!V$2:V$201)*1000000)</f>
        <v>36017.834315467837</v>
      </c>
      <c r="P186">
        <f>[4]data!P186*1000000000/(_xlfn.XLOOKUP($B186,[1]data!$C$2:$C$201,[1]data!W$2:W$201)*1000000)</f>
        <v>38969.779200542733</v>
      </c>
      <c r="Q186">
        <f>[4]data!Q186*1000000000/(_xlfn.XLOOKUP($B186,[1]data!$C$2:$C$201,[1]data!X$2:X$201)*1000000)</f>
        <v>42624.947410435932</v>
      </c>
      <c r="R186">
        <f>[4]data!R186*1000000000/(_xlfn.XLOOKUP($B186,[1]data!$C$2:$C$201,[1]data!Y$2:Y$201)*1000000)</f>
        <v>46693.611901115728</v>
      </c>
      <c r="S186">
        <f>[4]data!S186*1000000000/(_xlfn.XLOOKUP($B186,[1]data!$C$2:$C$201,[1]data!Z$2:Z$201)*1000000)</f>
        <v>50987.29562527618</v>
      </c>
      <c r="T186">
        <f>[4]data!T186*1000000000/(_xlfn.XLOOKUP($B186,[1]data!$C$2:$C$201,[1]data!AA$2:AA$201)*1000000)</f>
        <v>55496.992138417845</v>
      </c>
      <c r="U186">
        <f>[4]data!U186*1000000000/(_xlfn.XLOOKUP($B186,[1]data!$C$2:$C$201,[1]data!AB$2:AB$201)*1000000)</f>
        <v>60370.568860604042</v>
      </c>
      <c r="V186">
        <f>[4]data!V186*1000000000/(_xlfn.XLOOKUP($B186,[1]data!$C$2:$C$201,[1]data!AC$2:AC$201)*1000000)</f>
        <v>65646.001052501932</v>
      </c>
      <c r="W186">
        <f>[4]data!W186*1000000000/(_xlfn.XLOOKUP($B186,[1]data!$C$2:$C$201,[1]data!AD$2:AD$201)*1000000)</f>
        <v>71128.976196082382</v>
      </c>
      <c r="X186">
        <f>[4]data!X186*1000000000/(_xlfn.XLOOKUP($B186,[1]data!$C$2:$C$201,[1]data!AE$2:AE$201)*1000000)</f>
        <v>76689.745571875115</v>
      </c>
      <c r="Y186">
        <f>[4]data!Y186*1000000000/(_xlfn.XLOOKUP($B186,[1]data!$C$2:$C$201,[1]data!AF$2:AF$201)*1000000)</f>
        <v>82382.134550008966</v>
      </c>
      <c r="Z186">
        <f>[4]data!Z186*1000000000/(_xlfn.XLOOKUP($B186,[1]data!$C$2:$C$201,[1]data!AG$2:AG$201)*1000000)</f>
        <v>88333.891306773789</v>
      </c>
      <c r="AA186">
        <f>[4]data!AA186*1000000000/(_xlfn.XLOOKUP($B186,[1]data!$C$2:$C$201,[1]data!AH$2:AH$201)*1000000)</f>
        <v>94642.574577385545</v>
      </c>
      <c r="AB186">
        <f>[4]data!AB186*1000000000/(_xlfn.XLOOKUP($B186,[1]data!$C$2:$C$201,[1]data!AI$2:AI$201)*1000000)</f>
        <v>101398.05673790588</v>
      </c>
      <c r="AC186">
        <f>[4]data!AC186*1000000000/(_xlfn.XLOOKUP($B186,[1]data!$C$2:$C$201,[1]data!AJ$2:AJ$201)*1000000)</f>
        <v>108642.02078380158</v>
      </c>
    </row>
    <row r="187" spans="1:29" x14ac:dyDescent="0.25">
      <c r="A187" t="s">
        <v>232</v>
      </c>
      <c r="B187" t="s">
        <v>225</v>
      </c>
      <c r="C187" t="s">
        <v>233</v>
      </c>
      <c r="D187" t="s">
        <v>234</v>
      </c>
      <c r="E187">
        <f>[4]data!E187*1000000000/(_xlfn.XLOOKUP($B187,[1]data!$C$2:$C$201,[1]data!L$2:L$201)*1000000)</f>
        <v>1488.1436949551967</v>
      </c>
      <c r="F187">
        <f>[4]data!F187*1000000000/(_xlfn.XLOOKUP($B187,[1]data!$C$2:$C$201,[1]data!M$2:M$201)*1000000)</f>
        <v>1848.0834027066717</v>
      </c>
      <c r="G187">
        <f>[4]data!G187*1000000000/(_xlfn.XLOOKUP($B187,[1]data!$C$2:$C$201,[1]data!N$2:N$201)*1000000)</f>
        <v>2081.7936825497745</v>
      </c>
      <c r="H187">
        <f>[4]data!H187*1000000000/(_xlfn.XLOOKUP($B187,[1]data!$C$2:$C$201,[1]data!O$2:O$201)*1000000)</f>
        <v>2791.9067448705532</v>
      </c>
      <c r="I187">
        <f>[4]data!I187*1000000000/(_xlfn.XLOOKUP($B187,[1]data!$C$2:$C$201,[1]data!P$2:P$201)*1000000)</f>
        <v>3636.0062492950819</v>
      </c>
      <c r="J187">
        <f>[4]data!J187*1000000000/(_xlfn.XLOOKUP($B187,[1]data!$C$2:$C$201,[1]data!Q$2:Q$201)*1000000)</f>
        <v>4919.6360173552703</v>
      </c>
      <c r="K187">
        <f>[4]data!K187*1000000000/(_xlfn.XLOOKUP($B187,[1]data!$C$2:$C$201,[1]data!R$2:R$201)*1000000)</f>
        <v>6358.4248430452471</v>
      </c>
      <c r="L187">
        <f>[4]data!L187*1000000000/(_xlfn.XLOOKUP($B187,[1]data!$C$2:$C$201,[1]data!S$2:S$201)*1000000)</f>
        <v>8132.9405730415701</v>
      </c>
      <c r="M187">
        <f>[4]data!M187*1000000000/(_xlfn.XLOOKUP($B187,[1]data!$C$2:$C$201,[1]data!T$2:T$201)*1000000)</f>
        <v>10499.192280670688</v>
      </c>
      <c r="N187">
        <f>[4]data!N187*1000000000/(_xlfn.XLOOKUP($B187,[1]data!$C$2:$C$201,[1]data!U$2:U$201)*1000000)</f>
        <v>13281.475349701795</v>
      </c>
      <c r="O187">
        <f>[4]data!O187*1000000000/(_xlfn.XLOOKUP($B187,[1]data!$C$2:$C$201,[1]data!V$2:V$201)*1000000)</f>
        <v>17945.258461583311</v>
      </c>
      <c r="P187">
        <f>[4]data!P187*1000000000/(_xlfn.XLOOKUP($B187,[1]data!$C$2:$C$201,[1]data!W$2:W$201)*1000000)</f>
        <v>23078.926804849634</v>
      </c>
      <c r="Q187">
        <f>[4]data!Q187*1000000000/(_xlfn.XLOOKUP($B187,[1]data!$C$2:$C$201,[1]data!X$2:X$201)*1000000)</f>
        <v>27829.368563801261</v>
      </c>
      <c r="R187">
        <f>[4]data!R187*1000000000/(_xlfn.XLOOKUP($B187,[1]data!$C$2:$C$201,[1]data!Y$2:Y$201)*1000000)</f>
        <v>32283.491181688296</v>
      </c>
      <c r="S187">
        <f>[4]data!S187*1000000000/(_xlfn.XLOOKUP($B187,[1]data!$C$2:$C$201,[1]data!Z$2:Z$201)*1000000)</f>
        <v>36532.017693054928</v>
      </c>
      <c r="T187">
        <f>[4]data!T187*1000000000/(_xlfn.XLOOKUP($B187,[1]data!$C$2:$C$201,[1]data!AA$2:AA$201)*1000000)</f>
        <v>40770.268769711533</v>
      </c>
      <c r="U187">
        <f>[4]data!U187*1000000000/(_xlfn.XLOOKUP($B187,[1]data!$C$2:$C$201,[1]data!AB$2:AB$201)*1000000)</f>
        <v>45053.878238029363</v>
      </c>
      <c r="V187">
        <f>[4]data!V187*1000000000/(_xlfn.XLOOKUP($B187,[1]data!$C$2:$C$201,[1]data!AC$2:AC$201)*1000000)</f>
        <v>49444.285537970551</v>
      </c>
      <c r="W187">
        <f>[4]data!W187*1000000000/(_xlfn.XLOOKUP($B187,[1]data!$C$2:$C$201,[1]data!AD$2:AD$201)*1000000)</f>
        <v>53908.601731666902</v>
      </c>
      <c r="X187">
        <f>[4]data!X187*1000000000/(_xlfn.XLOOKUP($B187,[1]data!$C$2:$C$201,[1]data!AE$2:AE$201)*1000000)</f>
        <v>58266.528308548062</v>
      </c>
      <c r="Y187">
        <f>[4]data!Y187*1000000000/(_xlfn.XLOOKUP($B187,[1]data!$C$2:$C$201,[1]data!AF$2:AF$201)*1000000)</f>
        <v>62481.224508237043</v>
      </c>
      <c r="Z187">
        <f>[4]data!Z187*1000000000/(_xlfn.XLOOKUP($B187,[1]data!$C$2:$C$201,[1]data!AG$2:AG$201)*1000000)</f>
        <v>66626.312814944002</v>
      </c>
      <c r="AA187">
        <f>[4]data!AA187*1000000000/(_xlfn.XLOOKUP($B187,[1]data!$C$2:$C$201,[1]data!AH$2:AH$201)*1000000)</f>
        <v>70804.771184575118</v>
      </c>
      <c r="AB187">
        <f>[4]data!AB187*1000000000/(_xlfn.XLOOKUP($B187,[1]data!$C$2:$C$201,[1]data!AI$2:AI$201)*1000000)</f>
        <v>75105.92691444869</v>
      </c>
      <c r="AC187">
        <f>[4]data!AC187*1000000000/(_xlfn.XLOOKUP($B187,[1]data!$C$2:$C$201,[1]data!AJ$2:AJ$201)*1000000)</f>
        <v>79588.436441267229</v>
      </c>
    </row>
    <row r="188" spans="1:29" x14ac:dyDescent="0.25">
      <c r="A188" t="s">
        <v>232</v>
      </c>
      <c r="B188" t="s">
        <v>226</v>
      </c>
      <c r="C188" t="s">
        <v>233</v>
      </c>
      <c r="D188" t="s">
        <v>234</v>
      </c>
      <c r="E188">
        <f>[4]data!E188*1000000000/(_xlfn.XLOOKUP($B188,[1]data!$C$2:$C$201,[1]data!L$2:L$201)*1000000)</f>
        <v>2368.7566873528785</v>
      </c>
      <c r="F188">
        <f>[4]data!F188*1000000000/(_xlfn.XLOOKUP($B188,[1]data!$C$2:$C$201,[1]data!M$2:M$201)*1000000)</f>
        <v>2554.3131840966312</v>
      </c>
      <c r="G188">
        <f>[4]data!G188*1000000000/(_xlfn.XLOOKUP($B188,[1]data!$C$2:$C$201,[1]data!N$2:N$201)*1000000)</f>
        <v>2436.0693362324091</v>
      </c>
      <c r="H188">
        <f>[4]data!H188*1000000000/(_xlfn.XLOOKUP($B188,[1]data!$C$2:$C$201,[1]data!O$2:O$201)*1000000)</f>
        <v>2528.927776953878</v>
      </c>
      <c r="I188">
        <f>[4]data!I188*1000000000/(_xlfn.XLOOKUP($B188,[1]data!$C$2:$C$201,[1]data!P$2:P$201)*1000000)</f>
        <v>2594.8726331275143</v>
      </c>
      <c r="J188">
        <f>[4]data!J188*1000000000/(_xlfn.XLOOKUP($B188,[1]data!$C$2:$C$201,[1]data!Q$2:Q$201)*1000000)</f>
        <v>2393.7602611983689</v>
      </c>
      <c r="K188">
        <f>[4]data!K188*1000000000/(_xlfn.XLOOKUP($B188,[1]data!$C$2:$C$201,[1]data!R$2:R$201)*1000000)</f>
        <v>2608.425539633593</v>
      </c>
      <c r="L188">
        <f>[4]data!L188*1000000000/(_xlfn.XLOOKUP($B188,[1]data!$C$2:$C$201,[1]data!S$2:S$201)*1000000)</f>
        <v>2509.595109093571</v>
      </c>
      <c r="M188">
        <f>[4]data!M188*1000000000/(_xlfn.XLOOKUP($B188,[1]data!$C$2:$C$201,[1]data!T$2:T$201)*1000000)</f>
        <v>2500.5130203259946</v>
      </c>
      <c r="N188">
        <f>[4]data!N188*1000000000/(_xlfn.XLOOKUP($B188,[1]data!$C$2:$C$201,[1]data!U$2:U$201)*1000000)</f>
        <v>2477.0614692653671</v>
      </c>
      <c r="O188">
        <f>[4]data!O188*1000000000/(_xlfn.XLOOKUP($B188,[1]data!$C$2:$C$201,[1]data!V$2:V$201)*1000000)</f>
        <v>2645.534374537699</v>
      </c>
      <c r="P188">
        <f>[4]data!P188*1000000000/(_xlfn.XLOOKUP($B188,[1]data!$C$2:$C$201,[1]data!W$2:W$201)*1000000)</f>
        <v>3164.5416583044589</v>
      </c>
      <c r="Q188">
        <f>[4]data!Q188*1000000000/(_xlfn.XLOOKUP($B188,[1]data!$C$2:$C$201,[1]data!X$2:X$201)*1000000)</f>
        <v>3917.7508972365786</v>
      </c>
      <c r="R188">
        <f>[4]data!R188*1000000000/(_xlfn.XLOOKUP($B188,[1]data!$C$2:$C$201,[1]data!Y$2:Y$201)*1000000)</f>
        <v>4966.1714546378189</v>
      </c>
      <c r="S188">
        <f>[4]data!S188*1000000000/(_xlfn.XLOOKUP($B188,[1]data!$C$2:$C$201,[1]data!Z$2:Z$201)*1000000)</f>
        <v>6428.925740407527</v>
      </c>
      <c r="T188">
        <f>[4]data!T188*1000000000/(_xlfn.XLOOKUP($B188,[1]data!$C$2:$C$201,[1]data!AA$2:AA$201)*1000000)</f>
        <v>8465.3159751974126</v>
      </c>
      <c r="U188">
        <f>[4]data!U188*1000000000/(_xlfn.XLOOKUP($B188,[1]data!$C$2:$C$201,[1]data!AB$2:AB$201)*1000000)</f>
        <v>11269.39249458998</v>
      </c>
      <c r="V188">
        <f>[4]data!V188*1000000000/(_xlfn.XLOOKUP($B188,[1]data!$C$2:$C$201,[1]data!AC$2:AC$201)*1000000)</f>
        <v>15078.634841622066</v>
      </c>
      <c r="W188">
        <f>[4]data!W188*1000000000/(_xlfn.XLOOKUP($B188,[1]data!$C$2:$C$201,[1]data!AD$2:AD$201)*1000000)</f>
        <v>20076.909465074517</v>
      </c>
      <c r="X188">
        <f>[4]data!X188*1000000000/(_xlfn.XLOOKUP($B188,[1]data!$C$2:$C$201,[1]data!AE$2:AE$201)*1000000)</f>
        <v>26499.870597519948</v>
      </c>
      <c r="Y188">
        <f>[4]data!Y188*1000000000/(_xlfn.XLOOKUP($B188,[1]data!$C$2:$C$201,[1]data!AF$2:AF$201)*1000000)</f>
        <v>34503.670053645867</v>
      </c>
      <c r="Z188">
        <f>[4]data!Z188*1000000000/(_xlfn.XLOOKUP($B188,[1]data!$C$2:$C$201,[1]data!AG$2:AG$201)*1000000)</f>
        <v>44256.548631132791</v>
      </c>
      <c r="AA188">
        <f>[4]data!AA188*1000000000/(_xlfn.XLOOKUP($B188,[1]data!$C$2:$C$201,[1]data!AH$2:AH$201)*1000000)</f>
        <v>55898.011584891043</v>
      </c>
      <c r="AB188">
        <f>[4]data!AB188*1000000000/(_xlfn.XLOOKUP($B188,[1]data!$C$2:$C$201,[1]data!AI$2:AI$201)*1000000)</f>
        <v>69570.344544708772</v>
      </c>
      <c r="AC188">
        <f>[4]data!AC188*1000000000/(_xlfn.XLOOKUP($B188,[1]data!$C$2:$C$201,[1]data!AJ$2:AJ$201)*1000000)</f>
        <v>85462.258696680627</v>
      </c>
    </row>
    <row r="189" spans="1:29" x14ac:dyDescent="0.25">
      <c r="A189" t="s">
        <v>232</v>
      </c>
      <c r="B189" t="s">
        <v>227</v>
      </c>
      <c r="C189" t="s">
        <v>233</v>
      </c>
      <c r="D189" t="s">
        <v>234</v>
      </c>
      <c r="E189">
        <f>[4]data!E189*1000000000/(_xlfn.XLOOKUP($B189,[1]data!$C$2:$C$201,[1]data!L$2:L$201)*1000000)</f>
        <v>3022.0446739580543</v>
      </c>
      <c r="F189">
        <f>[4]data!F189*1000000000/(_xlfn.XLOOKUP($B189,[1]data!$C$2:$C$201,[1]data!M$2:M$201)*1000000)</f>
        <v>2906.8865994227658</v>
      </c>
      <c r="G189">
        <f>[4]data!G189*1000000000/(_xlfn.XLOOKUP($B189,[1]data!$C$2:$C$201,[1]data!N$2:N$201)*1000000)</f>
        <v>3093.3303185190912</v>
      </c>
      <c r="H189">
        <f>[4]data!H189*1000000000/(_xlfn.XLOOKUP($B189,[1]data!$C$2:$C$201,[1]data!O$2:O$201)*1000000)</f>
        <v>3496.4540229885051</v>
      </c>
      <c r="I189">
        <f>[4]data!I189*1000000000/(_xlfn.XLOOKUP($B189,[1]data!$C$2:$C$201,[1]data!P$2:P$201)*1000000)</f>
        <v>3794.066088893986</v>
      </c>
      <c r="J189">
        <f>[4]data!J189*1000000000/(_xlfn.XLOOKUP($B189,[1]data!$C$2:$C$201,[1]data!Q$2:Q$201)*1000000)</f>
        <v>4838.9889895204014</v>
      </c>
      <c r="K189">
        <f>[4]data!K189*1000000000/(_xlfn.XLOOKUP($B189,[1]data!$C$2:$C$201,[1]data!R$2:R$201)*1000000)</f>
        <v>5097.517318931411</v>
      </c>
      <c r="L189">
        <f>[4]data!L189*1000000000/(_xlfn.XLOOKUP($B189,[1]data!$C$2:$C$201,[1]data!S$2:S$201)*1000000)</f>
        <v>5101.2029882267025</v>
      </c>
      <c r="M189">
        <f>[4]data!M189*1000000000/(_xlfn.XLOOKUP($B189,[1]data!$C$2:$C$201,[1]data!T$2:T$201)*1000000)</f>
        <v>5345.7209638508975</v>
      </c>
      <c r="N189">
        <f>[4]data!N189*1000000000/(_xlfn.XLOOKUP($B189,[1]data!$C$2:$C$201,[1]data!U$2:U$201)*1000000)</f>
        <v>5114.9062705426113</v>
      </c>
      <c r="O189">
        <f>[4]data!O189*1000000000/(_xlfn.XLOOKUP($B189,[1]data!$C$2:$C$201,[1]data!V$2:V$201)*1000000)</f>
        <v>5519.7421096537237</v>
      </c>
      <c r="P189">
        <f>[4]data!P189*1000000000/(_xlfn.XLOOKUP($B189,[1]data!$C$2:$C$201,[1]data!W$2:W$201)*1000000)</f>
        <v>6184.2634125950581</v>
      </c>
      <c r="Q189">
        <f>[4]data!Q189*1000000000/(_xlfn.XLOOKUP($B189,[1]data!$C$2:$C$201,[1]data!X$2:X$201)*1000000)</f>
        <v>7141.6644662245062</v>
      </c>
      <c r="R189">
        <f>[4]data!R189*1000000000/(_xlfn.XLOOKUP($B189,[1]data!$C$2:$C$201,[1]data!Y$2:Y$201)*1000000)</f>
        <v>8401.8338991884157</v>
      </c>
      <c r="S189">
        <f>[4]data!S189*1000000000/(_xlfn.XLOOKUP($B189,[1]data!$C$2:$C$201,[1]data!Z$2:Z$201)*1000000)</f>
        <v>10034.829277320256</v>
      </c>
      <c r="T189">
        <f>[4]data!T189*1000000000/(_xlfn.XLOOKUP($B189,[1]data!$C$2:$C$201,[1]data!AA$2:AA$201)*1000000)</f>
        <v>12139.465929681352</v>
      </c>
      <c r="U189">
        <f>[4]data!U189*1000000000/(_xlfn.XLOOKUP($B189,[1]data!$C$2:$C$201,[1]data!AB$2:AB$201)*1000000)</f>
        <v>14788.849594341582</v>
      </c>
      <c r="V189">
        <f>[4]data!V189*1000000000/(_xlfn.XLOOKUP($B189,[1]data!$C$2:$C$201,[1]data!AC$2:AC$201)*1000000)</f>
        <v>18064.945192700136</v>
      </c>
      <c r="W189">
        <f>[4]data!W189*1000000000/(_xlfn.XLOOKUP($B189,[1]data!$C$2:$C$201,[1]data!AD$2:AD$201)*1000000)</f>
        <v>22004.34999617462</v>
      </c>
      <c r="X189">
        <f>[4]data!X189*1000000000/(_xlfn.XLOOKUP($B189,[1]data!$C$2:$C$201,[1]data!AE$2:AE$201)*1000000)</f>
        <v>26612.01349568968</v>
      </c>
      <c r="Y189">
        <f>[4]data!Y189*1000000000/(_xlfn.XLOOKUP($B189,[1]data!$C$2:$C$201,[1]data!AF$2:AF$201)*1000000)</f>
        <v>31866.09142045764</v>
      </c>
      <c r="Z189">
        <f>[4]data!Z189*1000000000/(_xlfn.XLOOKUP($B189,[1]data!$C$2:$C$201,[1]data!AG$2:AG$201)*1000000)</f>
        <v>37765.03548341382</v>
      </c>
      <c r="AA189">
        <f>[4]data!AA189*1000000000/(_xlfn.XLOOKUP($B189,[1]data!$C$2:$C$201,[1]data!AH$2:AH$201)*1000000)</f>
        <v>44335.964397283409</v>
      </c>
      <c r="AB189">
        <f>[4]data!AB189*1000000000/(_xlfn.XLOOKUP($B189,[1]data!$C$2:$C$201,[1]data!AI$2:AI$201)*1000000)</f>
        <v>51587.576617357212</v>
      </c>
      <c r="AC189">
        <f>[4]data!AC189*1000000000/(_xlfn.XLOOKUP($B189,[1]data!$C$2:$C$201,[1]data!AJ$2:AJ$201)*1000000)</f>
        <v>59573.290990541122</v>
      </c>
    </row>
    <row r="190" spans="1:29" x14ac:dyDescent="0.25">
      <c r="A190" t="s">
        <v>232</v>
      </c>
      <c r="B190" t="s">
        <v>228</v>
      </c>
      <c r="C190" t="s">
        <v>233</v>
      </c>
      <c r="D190" t="s">
        <v>234</v>
      </c>
      <c r="E190" t="e">
        <f>[4]data!E190*1000000000/(_xlfn.XLOOKUP($B190,[1]data!$C$2:$C$201,[1]data!L$2:L$201)*1000000)</f>
        <v>#VALUE!</v>
      </c>
      <c r="F190" t="e">
        <f>[4]data!F190*1000000000/(_xlfn.XLOOKUP($B190,[1]data!$C$2:$C$201,[1]data!M$2:M$201)*1000000)</f>
        <v>#VALUE!</v>
      </c>
      <c r="G190">
        <f>[4]data!G190*1000000000/(_xlfn.XLOOKUP($B190,[1]data!$C$2:$C$201,[1]data!N$2:N$201)*1000000)</f>
        <v>3032.1848591914318</v>
      </c>
      <c r="H190">
        <f>[4]data!H190*1000000000/(_xlfn.XLOOKUP($B190,[1]data!$C$2:$C$201,[1]data!O$2:O$201)*1000000)</f>
        <v>3388.361219184425</v>
      </c>
      <c r="I190">
        <f>[4]data!I190*1000000000/(_xlfn.XLOOKUP($B190,[1]data!$C$2:$C$201,[1]data!P$2:P$201)*1000000)</f>
        <v>3756.9632236841353</v>
      </c>
      <c r="J190">
        <f>[4]data!J190*1000000000/(_xlfn.XLOOKUP($B190,[1]data!$C$2:$C$201,[1]data!Q$2:Q$201)*1000000)</f>
        <v>4036.863354517664</v>
      </c>
      <c r="K190">
        <f>[4]data!K190*1000000000/(_xlfn.XLOOKUP($B190,[1]data!$C$2:$C$201,[1]data!R$2:R$201)*1000000)</f>
        <v>4299.9280727373362</v>
      </c>
      <c r="L190">
        <f>[4]data!L190*1000000000/(_xlfn.XLOOKUP($B190,[1]data!$C$2:$C$201,[1]data!S$2:S$201)*1000000)</f>
        <v>2508.7129683298217</v>
      </c>
      <c r="M190">
        <f>[4]data!M190*1000000000/(_xlfn.XLOOKUP($B190,[1]data!$C$2:$C$201,[1]data!T$2:T$201)*1000000)</f>
        <v>1790.3830641359791</v>
      </c>
      <c r="N190">
        <f>[4]data!N190*1000000000/(_xlfn.XLOOKUP($B190,[1]data!$C$2:$C$201,[1]data!U$2:U$201)*1000000)</f>
        <v>1745.7275847846518</v>
      </c>
      <c r="O190">
        <f>[4]data!O190*1000000000/(_xlfn.XLOOKUP($B190,[1]data!$C$2:$C$201,[1]data!V$2:V$201)*1000000)</f>
        <v>2082.5398774148935</v>
      </c>
      <c r="P190">
        <f>[4]data!P190*1000000000/(_xlfn.XLOOKUP($B190,[1]data!$C$2:$C$201,[1]data!W$2:W$201)*1000000)</f>
        <v>2508.3631493582147</v>
      </c>
      <c r="Q190">
        <f>[4]data!Q190*1000000000/(_xlfn.XLOOKUP($B190,[1]data!$C$2:$C$201,[1]data!X$2:X$201)*1000000)</f>
        <v>3105.2852087744518</v>
      </c>
      <c r="R190">
        <f>[4]data!R190*1000000000/(_xlfn.XLOOKUP($B190,[1]data!$C$2:$C$201,[1]data!Y$2:Y$201)*1000000)</f>
        <v>3883.346156241334</v>
      </c>
      <c r="S190">
        <f>[4]data!S190*1000000000/(_xlfn.XLOOKUP($B190,[1]data!$C$2:$C$201,[1]data!Z$2:Z$201)*1000000)</f>
        <v>4851.8912627320524</v>
      </c>
      <c r="T190">
        <f>[4]data!T190*1000000000/(_xlfn.XLOOKUP($B190,[1]data!$C$2:$C$201,[1]data!AA$2:AA$201)*1000000)</f>
        <v>6037.6029615458156</v>
      </c>
      <c r="U190">
        <f>[4]data!U190*1000000000/(_xlfn.XLOOKUP($B190,[1]data!$C$2:$C$201,[1]data!AB$2:AB$201)*1000000)</f>
        <v>7463.7616316663325</v>
      </c>
      <c r="V190">
        <f>[4]data!V190*1000000000/(_xlfn.XLOOKUP($B190,[1]data!$C$2:$C$201,[1]data!AC$2:AC$201)*1000000)</f>
        <v>9156.1206836333768</v>
      </c>
      <c r="W190">
        <f>[4]data!W190*1000000000/(_xlfn.XLOOKUP($B190,[1]data!$C$2:$C$201,[1]data!AD$2:AD$201)*1000000)</f>
        <v>11123.800299893795</v>
      </c>
      <c r="X190">
        <f>[4]data!X190*1000000000/(_xlfn.XLOOKUP($B190,[1]data!$C$2:$C$201,[1]data!AE$2:AE$201)*1000000)</f>
        <v>13352.737851282986</v>
      </c>
      <c r="Y190">
        <f>[4]data!Y190*1000000000/(_xlfn.XLOOKUP($B190,[1]data!$C$2:$C$201,[1]data!AF$2:AF$201)*1000000)</f>
        <v>15819.917462627121</v>
      </c>
      <c r="Z190">
        <f>[4]data!Z190*1000000000/(_xlfn.XLOOKUP($B190,[1]data!$C$2:$C$201,[1]data!AG$2:AG$201)*1000000)</f>
        <v>18502.98578105904</v>
      </c>
      <c r="AA190">
        <f>[4]data!AA190*1000000000/(_xlfn.XLOOKUP($B190,[1]data!$C$2:$C$201,[1]data!AH$2:AH$201)*1000000)</f>
        <v>21413.388246431889</v>
      </c>
      <c r="AB190">
        <f>[4]data!AB190*1000000000/(_xlfn.XLOOKUP($B190,[1]data!$C$2:$C$201,[1]data!AI$2:AI$201)*1000000)</f>
        <v>24585.62889277712</v>
      </c>
      <c r="AC190">
        <f>[4]data!AC190*1000000000/(_xlfn.XLOOKUP($B190,[1]data!$C$2:$C$201,[1]data!AJ$2:AJ$201)*1000000)</f>
        <v>28068.509225958136</v>
      </c>
    </row>
    <row r="191" spans="1:29" x14ac:dyDescent="0.25">
      <c r="A191" t="s">
        <v>232</v>
      </c>
      <c r="B191" t="s">
        <v>229</v>
      </c>
      <c r="C191" t="s">
        <v>233</v>
      </c>
      <c r="D191" t="s">
        <v>234</v>
      </c>
      <c r="E191">
        <f>[4]data!E191*1000000000/(_xlfn.XLOOKUP($B191,[1]data!$C$2:$C$201,[1]data!L$2:L$201)*1000000)</f>
        <v>12268.393347266763</v>
      </c>
      <c r="F191">
        <f>[4]data!F191*1000000000/(_xlfn.XLOOKUP($B191,[1]data!$C$2:$C$201,[1]data!M$2:M$201)*1000000)</f>
        <v>11480.128198184861</v>
      </c>
      <c r="G191">
        <f>[4]data!G191*1000000000/(_xlfn.XLOOKUP($B191,[1]data!$C$2:$C$201,[1]data!N$2:N$201)*1000000)</f>
        <v>10543.998049592152</v>
      </c>
      <c r="H191">
        <f>[4]data!H191*1000000000/(_xlfn.XLOOKUP($B191,[1]data!$C$2:$C$201,[1]data!O$2:O$201)*1000000)</f>
        <v>9908.4346851610717</v>
      </c>
      <c r="I191">
        <f>[4]data!I191*1000000000/(_xlfn.XLOOKUP($B191,[1]data!$C$2:$C$201,[1]data!P$2:P$201)*1000000)</f>
        <v>10411.630297384361</v>
      </c>
      <c r="J191">
        <f>[4]data!J191*1000000000/(_xlfn.XLOOKUP($B191,[1]data!$C$2:$C$201,[1]data!Q$2:Q$201)*1000000)</f>
        <v>12003.602162896512</v>
      </c>
      <c r="K191">
        <f>[4]data!K191*1000000000/(_xlfn.XLOOKUP($B191,[1]data!$C$2:$C$201,[1]data!R$2:R$201)*1000000)</f>
        <v>13254.827486448168</v>
      </c>
      <c r="L191">
        <f>[4]data!L191*1000000000/(_xlfn.XLOOKUP($B191,[1]data!$C$2:$C$201,[1]data!S$2:S$201)*1000000)</f>
        <v>13743.314259723504</v>
      </c>
      <c r="M191">
        <f>[4]data!M191*1000000000/(_xlfn.XLOOKUP($B191,[1]data!$C$2:$C$201,[1]data!T$2:T$201)*1000000)</f>
        <v>12655.819660149995</v>
      </c>
      <c r="N191">
        <f>[4]data!N191*1000000000/(_xlfn.XLOOKUP($B191,[1]data!$C$2:$C$201,[1]data!U$2:U$201)*1000000)</f>
        <v>13367.912341687772</v>
      </c>
      <c r="O191">
        <f>[4]data!O191*1000000000/(_xlfn.XLOOKUP($B191,[1]data!$C$2:$C$201,[1]data!V$2:V$201)*1000000)</f>
        <v>13934.117231928372</v>
      </c>
      <c r="P191">
        <f>[4]data!P191*1000000000/(_xlfn.XLOOKUP($B191,[1]data!$C$2:$C$201,[1]data!W$2:W$201)*1000000)</f>
        <v>15444.250815148142</v>
      </c>
      <c r="Q191">
        <f>[4]data!Q191*1000000000/(_xlfn.XLOOKUP($B191,[1]data!$C$2:$C$201,[1]data!X$2:X$201)*1000000)</f>
        <v>17675.165974028205</v>
      </c>
      <c r="R191">
        <f>[4]data!R191*1000000000/(_xlfn.XLOOKUP($B191,[1]data!$C$2:$C$201,[1]data!Y$2:Y$201)*1000000)</f>
        <v>20514.047743214553</v>
      </c>
      <c r="S191">
        <f>[4]data!S191*1000000000/(_xlfn.XLOOKUP($B191,[1]data!$C$2:$C$201,[1]data!Z$2:Z$201)*1000000)</f>
        <v>23887.018833667898</v>
      </c>
      <c r="T191">
        <f>[4]data!T191*1000000000/(_xlfn.XLOOKUP($B191,[1]data!$C$2:$C$201,[1]data!AA$2:AA$201)*1000000)</f>
        <v>27790.518181325941</v>
      </c>
      <c r="U191">
        <f>[4]data!U191*1000000000/(_xlfn.XLOOKUP($B191,[1]data!$C$2:$C$201,[1]data!AB$2:AB$201)*1000000)</f>
        <v>32250.64566025215</v>
      </c>
      <c r="V191">
        <f>[4]data!V191*1000000000/(_xlfn.XLOOKUP($B191,[1]data!$C$2:$C$201,[1]data!AC$2:AC$201)*1000000)</f>
        <v>37254.799870064293</v>
      </c>
      <c r="W191">
        <f>[4]data!W191*1000000000/(_xlfn.XLOOKUP($B191,[1]data!$C$2:$C$201,[1]data!AD$2:AD$201)*1000000)</f>
        <v>42803.128568403707</v>
      </c>
      <c r="X191">
        <f>[4]data!X191*1000000000/(_xlfn.XLOOKUP($B191,[1]data!$C$2:$C$201,[1]data!AE$2:AE$201)*1000000)</f>
        <v>48889.384570064598</v>
      </c>
      <c r="Y191">
        <f>[4]data!Y191*1000000000/(_xlfn.XLOOKUP($B191,[1]data!$C$2:$C$201,[1]data!AF$2:AF$201)*1000000)</f>
        <v>55577.604460035989</v>
      </c>
      <c r="Z191">
        <f>[4]data!Z191*1000000000/(_xlfn.XLOOKUP($B191,[1]data!$C$2:$C$201,[1]data!AG$2:AG$201)*1000000)</f>
        <v>62873.265046291854</v>
      </c>
      <c r="AA191">
        <f>[4]data!AA191*1000000000/(_xlfn.XLOOKUP($B191,[1]data!$C$2:$C$201,[1]data!AH$2:AH$201)*1000000)</f>
        <v>70802.614765049002</v>
      </c>
      <c r="AB191">
        <f>[4]data!AB191*1000000000/(_xlfn.XLOOKUP($B191,[1]data!$C$2:$C$201,[1]data!AI$2:AI$201)*1000000)</f>
        <v>79353.328960322455</v>
      </c>
      <c r="AC191">
        <f>[4]data!AC191*1000000000/(_xlfn.XLOOKUP($B191,[1]data!$C$2:$C$201,[1]data!AJ$2:AJ$201)*1000000)</f>
        <v>88530.626991647645</v>
      </c>
    </row>
    <row r="192" spans="1:29" x14ac:dyDescent="0.25">
      <c r="A192" t="s">
        <v>232</v>
      </c>
      <c r="B192" t="s">
        <v>230</v>
      </c>
      <c r="C192" t="s">
        <v>233</v>
      </c>
      <c r="D192" t="s">
        <v>234</v>
      </c>
      <c r="E192">
        <f>[4]data!E192*1000000000/(_xlfn.XLOOKUP($B192,[1]data!$C$2:$C$201,[1]data!L$2:L$201)*1000000)</f>
        <v>3099.6160281242232</v>
      </c>
      <c r="F192">
        <f>[4]data!F192*1000000000/(_xlfn.XLOOKUP($B192,[1]data!$C$2:$C$201,[1]data!M$2:M$201)*1000000)</f>
        <v>2700.812528915586</v>
      </c>
      <c r="G192">
        <f>[4]data!G192*1000000000/(_xlfn.XLOOKUP($B192,[1]data!$C$2:$C$201,[1]data!N$2:N$201)*1000000)</f>
        <v>2531.9613058198725</v>
      </c>
      <c r="H192">
        <f>[4]data!H192*1000000000/(_xlfn.XLOOKUP($B192,[1]data!$C$2:$C$201,[1]data!O$2:O$201)*1000000)</f>
        <v>2024.1229542749913</v>
      </c>
      <c r="I192">
        <f>[4]data!I192*1000000000/(_xlfn.XLOOKUP($B192,[1]data!$C$2:$C$201,[1]data!P$2:P$201)*1000000)</f>
        <v>2126.7814757597043</v>
      </c>
      <c r="J192">
        <f>[4]data!J192*1000000000/(_xlfn.XLOOKUP($B192,[1]data!$C$2:$C$201,[1]data!Q$2:Q$201)*1000000)</f>
        <v>2465.0866936159769</v>
      </c>
      <c r="K192">
        <f>[4]data!K192*1000000000/(_xlfn.XLOOKUP($B192,[1]data!$C$2:$C$201,[1]data!R$2:R$201)*1000000)</f>
        <v>3137.0000442601909</v>
      </c>
      <c r="L192">
        <f>[4]data!L192*1000000000/(_xlfn.XLOOKUP($B192,[1]data!$C$2:$C$201,[1]data!S$2:S$201)*1000000)</f>
        <v>3419.4416399672446</v>
      </c>
      <c r="M192">
        <f>[4]data!M192*1000000000/(_xlfn.XLOOKUP($B192,[1]data!$C$2:$C$201,[1]data!T$2:T$201)*1000000)</f>
        <v>3230.1939483300839</v>
      </c>
      <c r="N192">
        <f>[4]data!N192*1000000000/(_xlfn.XLOOKUP($B192,[1]data!$C$2:$C$201,[1]data!U$2:U$201)*1000000)</f>
        <v>3495.6126608579198</v>
      </c>
      <c r="O192">
        <f>[4]data!O192*1000000000/(_xlfn.XLOOKUP($B192,[1]data!$C$2:$C$201,[1]data!V$2:V$201)*1000000)</f>
        <v>3976.4519273236265</v>
      </c>
      <c r="P192">
        <f>[4]data!P192*1000000000/(_xlfn.XLOOKUP($B192,[1]data!$C$2:$C$201,[1]data!W$2:W$201)*1000000)</f>
        <v>4580.1412548778962</v>
      </c>
      <c r="Q192">
        <f>[4]data!Q192*1000000000/(_xlfn.XLOOKUP($B192,[1]data!$C$2:$C$201,[1]data!X$2:X$201)*1000000)</f>
        <v>5230.3073019985177</v>
      </c>
      <c r="R192">
        <f>[4]data!R192*1000000000/(_xlfn.XLOOKUP($B192,[1]data!$C$2:$C$201,[1]data!Y$2:Y$201)*1000000)</f>
        <v>5986.386137964133</v>
      </c>
      <c r="S192">
        <f>[4]data!S192*1000000000/(_xlfn.XLOOKUP($B192,[1]data!$C$2:$C$201,[1]data!Z$2:Z$201)*1000000)</f>
        <v>6892.6192977886167</v>
      </c>
      <c r="T192">
        <f>[4]data!T192*1000000000/(_xlfn.XLOOKUP($B192,[1]data!$C$2:$C$201,[1]data!AA$2:AA$201)*1000000)</f>
        <v>7987.1805374403875</v>
      </c>
      <c r="U192">
        <f>[4]data!U192*1000000000/(_xlfn.XLOOKUP($B192,[1]data!$C$2:$C$201,[1]data!AB$2:AB$201)*1000000)</f>
        <v>9298.5574205610719</v>
      </c>
      <c r="V192">
        <f>[4]data!V192*1000000000/(_xlfn.XLOOKUP($B192,[1]data!$C$2:$C$201,[1]data!AC$2:AC$201)*1000000)</f>
        <v>10868.137151105355</v>
      </c>
      <c r="W192">
        <f>[4]data!W192*1000000000/(_xlfn.XLOOKUP($B192,[1]data!$C$2:$C$201,[1]data!AD$2:AD$201)*1000000)</f>
        <v>12710.344443504628</v>
      </c>
      <c r="X192">
        <f>[4]data!X192*1000000000/(_xlfn.XLOOKUP($B192,[1]data!$C$2:$C$201,[1]data!AE$2:AE$201)*1000000)</f>
        <v>14874.342476536589</v>
      </c>
      <c r="Y192">
        <f>[4]data!Y192*1000000000/(_xlfn.XLOOKUP($B192,[1]data!$C$2:$C$201,[1]data!AF$2:AF$201)*1000000)</f>
        <v>17387.54411493614</v>
      </c>
      <c r="Z192">
        <f>[4]data!Z192*1000000000/(_xlfn.XLOOKUP($B192,[1]data!$C$2:$C$201,[1]data!AG$2:AG$201)*1000000)</f>
        <v>20254.38215608901</v>
      </c>
      <c r="AA192">
        <f>[4]data!AA192*1000000000/(_xlfn.XLOOKUP($B192,[1]data!$C$2:$C$201,[1]data!AH$2:AH$201)*1000000)</f>
        <v>23487.214675019644</v>
      </c>
      <c r="AB192">
        <f>[4]data!AB192*1000000000/(_xlfn.XLOOKUP($B192,[1]data!$C$2:$C$201,[1]data!AI$2:AI$201)*1000000)</f>
        <v>27112.845015904935</v>
      </c>
      <c r="AC192">
        <f>[4]data!AC192*1000000000/(_xlfn.XLOOKUP($B192,[1]data!$C$2:$C$201,[1]data!AJ$2:AJ$201)*1000000)</f>
        <v>31174.522172616707</v>
      </c>
    </row>
    <row r="193" spans="1:29" x14ac:dyDescent="0.25">
      <c r="A193" t="s">
        <v>232</v>
      </c>
      <c r="B193" t="s">
        <v>231</v>
      </c>
      <c r="C193" t="s">
        <v>233</v>
      </c>
      <c r="D193" t="s">
        <v>234</v>
      </c>
      <c r="E193" t="e">
        <f>[4]data!E193*1000000000/(_xlfn.XLOOKUP($B193,[1]data!$C$2:$C$201,[1]data!L$2:L$201)*1000000)</f>
        <v>#VALUE!</v>
      </c>
      <c r="F193" t="e">
        <f>[4]data!F193*1000000000/(_xlfn.XLOOKUP($B193,[1]data!$C$2:$C$201,[1]data!M$2:M$201)*1000000)</f>
        <v>#VALUE!</v>
      </c>
      <c r="G193">
        <f>[4]data!G193*1000000000/(_xlfn.XLOOKUP($B193,[1]data!$C$2:$C$201,[1]data!N$2:N$201)*1000000)</f>
        <v>2740.7677327690344</v>
      </c>
      <c r="H193">
        <f>[4]data!H193*1000000000/(_xlfn.XLOOKUP($B193,[1]data!$C$2:$C$201,[1]data!O$2:O$201)*1000000)</f>
        <v>2663.795871966739</v>
      </c>
      <c r="I193">
        <f>[4]data!I193*1000000000/(_xlfn.XLOOKUP($B193,[1]data!$C$2:$C$201,[1]data!P$2:P$201)*1000000)</f>
        <v>2817.9710757518269</v>
      </c>
      <c r="J193">
        <f>[4]data!J193*1000000000/(_xlfn.XLOOKUP($B193,[1]data!$C$2:$C$201,[1]data!Q$2:Q$201)*1000000)</f>
        <v>1819.8645443454996</v>
      </c>
      <c r="K193">
        <f>[4]data!K193*1000000000/(_xlfn.XLOOKUP($B193,[1]data!$C$2:$C$201,[1]data!R$2:R$201)*1000000)</f>
        <v>1743.847412312452</v>
      </c>
      <c r="L193">
        <f>[4]data!L193*1000000000/(_xlfn.XLOOKUP($B193,[1]data!$C$2:$C$201,[1]data!S$2:S$201)*1000000)</f>
        <v>2248.3615930216483</v>
      </c>
      <c r="M193">
        <f>[4]data!M193*1000000000/(_xlfn.XLOOKUP($B193,[1]data!$C$2:$C$201,[1]data!T$2:T$201)*1000000)</f>
        <v>1952.3039306958515</v>
      </c>
      <c r="N193">
        <f>[4]data!N193*1000000000/(_xlfn.XLOOKUP($B193,[1]data!$C$2:$C$201,[1]data!U$2:U$201)*1000000)</f>
        <v>2294.0873104789935</v>
      </c>
      <c r="O193">
        <f>[4]data!O193*1000000000/(_xlfn.XLOOKUP($B193,[1]data!$C$2:$C$201,[1]data!V$2:V$201)*1000000)</f>
        <v>2512.5887545983337</v>
      </c>
      <c r="P193">
        <f>[4]data!P193*1000000000/(_xlfn.XLOOKUP($B193,[1]data!$C$2:$C$201,[1]data!W$2:W$201)*1000000)</f>
        <v>2850.6234285779046</v>
      </c>
      <c r="Q193">
        <f>[4]data!Q193*1000000000/(_xlfn.XLOOKUP($B193,[1]data!$C$2:$C$201,[1]data!X$2:X$201)*1000000)</f>
        <v>3183.9504494274156</v>
      </c>
      <c r="R193">
        <f>[4]data!R193*1000000000/(_xlfn.XLOOKUP($B193,[1]data!$C$2:$C$201,[1]data!Y$2:Y$201)*1000000)</f>
        <v>3539.9492608220398</v>
      </c>
      <c r="S193">
        <f>[4]data!S193*1000000000/(_xlfn.XLOOKUP($B193,[1]data!$C$2:$C$201,[1]data!Z$2:Z$201)*1000000)</f>
        <v>3953.5058548493571</v>
      </c>
      <c r="T193">
        <f>[4]data!T193*1000000000/(_xlfn.XLOOKUP($B193,[1]data!$C$2:$C$201,[1]data!AA$2:AA$201)*1000000)</f>
        <v>4446.5031075999414</v>
      </c>
      <c r="U193">
        <f>[4]data!U193*1000000000/(_xlfn.XLOOKUP($B193,[1]data!$C$2:$C$201,[1]data!AB$2:AB$201)*1000000)</f>
        <v>5046.8781887175837</v>
      </c>
      <c r="V193">
        <f>[4]data!V193*1000000000/(_xlfn.XLOOKUP($B193,[1]data!$C$2:$C$201,[1]data!AC$2:AC$201)*1000000)</f>
        <v>5777.1633009854786</v>
      </c>
      <c r="W193">
        <f>[4]data!W193*1000000000/(_xlfn.XLOOKUP($B193,[1]data!$C$2:$C$201,[1]data!AD$2:AD$201)*1000000)</f>
        <v>6658.3945392781416</v>
      </c>
      <c r="X193">
        <f>[4]data!X193*1000000000/(_xlfn.XLOOKUP($B193,[1]data!$C$2:$C$201,[1]data!AE$2:AE$201)*1000000)</f>
        <v>7711.9706478550643</v>
      </c>
      <c r="Y193">
        <f>[4]data!Y193*1000000000/(_xlfn.XLOOKUP($B193,[1]data!$C$2:$C$201,[1]data!AF$2:AF$201)*1000000)</f>
        <v>8968.8924961385819</v>
      </c>
      <c r="Z193">
        <f>[4]data!Z193*1000000000/(_xlfn.XLOOKUP($B193,[1]data!$C$2:$C$201,[1]data!AG$2:AG$201)*1000000)</f>
        <v>10465.319574449235</v>
      </c>
      <c r="AA193">
        <f>[4]data!AA193*1000000000/(_xlfn.XLOOKUP($B193,[1]data!$C$2:$C$201,[1]data!AH$2:AH$201)*1000000)</f>
        <v>12265.971284522086</v>
      </c>
      <c r="AB193">
        <f>[4]data!AB193*1000000000/(_xlfn.XLOOKUP($B193,[1]data!$C$2:$C$201,[1]data!AI$2:AI$201)*1000000)</f>
        <v>14419.068116609866</v>
      </c>
      <c r="AC193">
        <f>[4]data!AC193*1000000000/(_xlfn.XLOOKUP($B193,[1]data!$C$2:$C$201,[1]data!AJ$2:AJ$201)*1000000)</f>
        <v>16981.498903968855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Urban population</vt:lpstr>
      <vt:lpstr>Rural population</vt:lpstr>
      <vt:lpstr>GDP</vt:lpstr>
      <vt:lpstr>GDP-cap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2024-11-19T21:08:50Z</dcterms:created>
  <dcterms:modified xsi:type="dcterms:W3CDTF">2025-01-28T15:15:38Z</dcterms:modified>
</cp:coreProperties>
</file>